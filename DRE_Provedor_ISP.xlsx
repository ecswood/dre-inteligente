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  <sheet name="De_Para" sheetId="2" state="visible" r:id="rId2"/>
    <sheet name="D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 (R$ #,##0.00); &quot;-&quot;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000000"/>
      <sz val="11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A0A0A0"/>
      </top>
      <bottom style="thin">
        <color rgb="00A0A0A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applyAlignment="1" pivotButton="0" quotePrefix="0" xfId="0">
      <alignment indent="1"/>
    </xf>
    <xf numFmtId="164" fontId="5" fillId="0" borderId="0" pivotButton="0" quotePrefix="0" xfId="0"/>
    <xf numFmtId="165" fontId="5" fillId="0" borderId="0" pivotButton="0" quotePrefix="0" xfId="0"/>
    <xf numFmtId="0" fontId="4" fillId="5" borderId="2" pivotButton="0" quotePrefix="0" xfId="0"/>
    <xf numFmtId="164" fontId="4" fillId="5" borderId="2" pivotButton="0" quotePrefix="0" xfId="0"/>
    <xf numFmtId="165" fontId="4" fillId="5" borderId="2" pivotButton="0" quotePrefix="0" xfId="0"/>
    <xf numFmtId="0" fontId="4" fillId="6" borderId="3" pivotButton="0" quotePrefix="0" xfId="0"/>
    <xf numFmtId="164" fontId="4" fillId="6" borderId="3" pivotButton="0" quotePrefix="0" xfId="0"/>
    <xf numFmtId="165" fontId="4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de Custos ISP (CSP)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'DRE'!$A$17:$A$19</f>
            </numRef>
          </cat>
          <val>
            <numRef>
              <f>'DRE'!$B$17:$B$19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Composição de Despesas (OPEX)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'DRE'!$A$23:$A$29</f>
            </numRef>
          </cat>
          <val>
            <numRef>
              <f>'DRE'!$B$23:$B$29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648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7" max="7"/>
    <col width="35" customWidth="1" min="8" max="8"/>
    <col width="15" customWidth="1" min="9" max="9"/>
    <col width="15" customWidth="1" min="10" max="10"/>
    <col width="35" customWidth="1" min="11" max="11"/>
  </cols>
  <sheetData>
    <row r="1">
      <c r="A1" s="1" t="inlineStr">
        <is>
          <t>Código</t>
        </is>
      </c>
      <c r="B1" s="1" t="inlineStr">
        <is>
          <t>Ponto Recebimento</t>
        </is>
      </c>
      <c r="C1" s="1" t="inlineStr">
        <is>
          <t>Data de Cadastro</t>
        </is>
      </c>
      <c r="D1" s="1" t="inlineStr">
        <is>
          <t>Data de Competência</t>
        </is>
      </c>
      <c r="E1" s="1" t="inlineStr">
        <is>
          <t>Modo Pagamento</t>
        </is>
      </c>
      <c r="F1" s="1" t="inlineStr">
        <is>
          <t>Histórico</t>
        </is>
      </c>
      <c r="G1" s="1" t="inlineStr">
        <is>
          <t>Usuário</t>
        </is>
      </c>
      <c r="H1" s="1" t="inlineStr">
        <is>
          <t>Plano de Contas</t>
        </is>
      </c>
      <c r="I1" s="1" t="inlineStr">
        <is>
          <t>Entrada</t>
        </is>
      </c>
      <c r="J1" s="1" t="inlineStr">
        <is>
          <t>Saída</t>
        </is>
      </c>
      <c r="K1" s="1" t="inlineStr">
        <is>
          <t>Categoria DRE</t>
        </is>
      </c>
    </row>
    <row r="2">
      <c r="A2" s="2" t="inlineStr">
        <is>
          <t>69697</t>
        </is>
      </c>
      <c r="B2" s="2" t="inlineStr">
        <is>
          <t>Sicredi SNI</t>
        </is>
      </c>
      <c r="C2" s="2" t="inlineStr">
        <is>
          <t>30/06/2026</t>
        </is>
      </c>
      <c r="D2" s="2" t="inlineStr">
        <is>
          <t>30/06/2026</t>
        </is>
      </c>
      <c r="E2" s="2" t="inlineStr">
        <is>
          <t>PIX</t>
        </is>
      </c>
      <c r="F2" s="2" t="inlineStr">
        <is>
          <t>Boleto "55644" do cliente "IVAN LUCAS GALDINO"</t>
        </is>
      </c>
      <c r="G2" s="2" t="inlineStr">
        <is>
          <t>system</t>
        </is>
      </c>
      <c r="H2" s="2" t="inlineStr">
        <is>
          <t>02.03.02.01 : Cobrança Bancaria</t>
        </is>
      </c>
      <c r="I2" s="2" t="n"/>
      <c r="J2" s="3" t="n">
        <v>-0.49</v>
      </c>
      <c r="K2" s="2">
        <f>IF(H2="02.09 : Outras Saídas", IF(OR(ISNUMBER(SEARCH("CHEQUE COMPE SICREDI", F2)), ISNUMBER(SEARCH("aniversario", F2)), ISNUMBER(SEARCH("churrasco", F2)), ISNUMBER(SEARCH("bolo", F2)), ISNUMBER(SEARCH("SUPERMERCADO", F2))), "6.1 Despesas Administrativas (Pessoal)", IF(OR(ISNUMBER(SEARCH("DLKNET", F2)), ISNUMBER(SEARCH("TESTE", F2))), "6.1 Despesas Administrativas (Gerais)", IFERROR(VLOOKUP(H2, De_Para!A:B, 2, FALSE), "NÃO MAPEADO"))), IFERROR(VLOOKUP(H2, De_Para!A:B, 2, FALSE), "NÃO MAPEADO"))</f>
        <v/>
      </c>
    </row>
    <row r="3">
      <c r="A3" s="2" t="inlineStr">
        <is>
          <t>69696</t>
        </is>
      </c>
      <c r="B3" s="2" t="inlineStr">
        <is>
          <t>Sicredi SNI</t>
        </is>
      </c>
      <c r="C3" s="2" t="inlineStr">
        <is>
          <t>30/06/2026</t>
        </is>
      </c>
      <c r="D3" s="2" t="inlineStr">
        <is>
          <t>30/06/2026</t>
        </is>
      </c>
      <c r="E3" s="2" t="inlineStr">
        <is>
          <t>PIX</t>
        </is>
      </c>
      <c r="F3" s="2" t="inlineStr">
        <is>
          <t>Boleto "55644" do cliente "IVAN LUCAS GALDINO"</t>
        </is>
      </c>
      <c r="G3" s="2" t="inlineStr">
        <is>
          <t>system</t>
        </is>
      </c>
      <c r="H3" s="2" t="inlineStr">
        <is>
          <t>01.01.01 : Mensalidade</t>
        </is>
      </c>
      <c r="I3" s="3" t="n">
        <v>105</v>
      </c>
      <c r="J3" s="2" t="n"/>
      <c r="K3" s="2">
        <f>IF(H3="02.09 : Outras Saídas", IF(OR(ISNUMBER(SEARCH("CHEQUE COMPE SICREDI", F3)), ISNUMBER(SEARCH("aniversario", F3)), ISNUMBER(SEARCH("churrasco", F3)), ISNUMBER(SEARCH("bolo", F3)), ISNUMBER(SEARCH("SUPERMERCADO", F3))), "6.1 Despesas Administrativas (Pessoal)", IF(OR(ISNUMBER(SEARCH("DLKNET", F3)), ISNUMBER(SEARCH("TESTE", F3))), "6.1 Despesas Administrativas (Gerais)", IFERROR(VLOOKUP(H3, De_Para!A:B, 2, FALSE), "NÃO MAPEADO"))), IFERROR(VLOOKUP(H3, De_Para!A:B, 2, FALSE), "NÃO MAPEADO"))</f>
        <v/>
      </c>
    </row>
    <row r="4">
      <c r="A4" s="2" t="inlineStr">
        <is>
          <t>69695</t>
        </is>
      </c>
      <c r="B4" s="2" t="inlineStr">
        <is>
          <t>Sicredi SNI</t>
        </is>
      </c>
      <c r="C4" s="2" t="inlineStr">
        <is>
          <t>30/06/2026</t>
        </is>
      </c>
      <c r="D4" s="2" t="inlineStr">
        <is>
          <t>30/06/2026</t>
        </is>
      </c>
      <c r="E4" s="2" t="inlineStr">
        <is>
          <t>PIX</t>
        </is>
      </c>
      <c r="F4" s="2" t="inlineStr">
        <is>
          <t>Boleto "67630" do cliente "RAFAEL APARECIDO DE SOUZA"</t>
        </is>
      </c>
      <c r="G4" s="2" t="inlineStr">
        <is>
          <t>system</t>
        </is>
      </c>
      <c r="H4" s="2" t="inlineStr">
        <is>
          <t>02.03.02.01 : Cobrança Bancaria</t>
        </is>
      </c>
      <c r="I4" s="2" t="n"/>
      <c r="J4" s="3" t="n">
        <v>-0.49</v>
      </c>
      <c r="K4" s="2">
        <f>IF(H4="02.09 : Outras Saídas", IF(OR(ISNUMBER(SEARCH("CHEQUE COMPE SICREDI", F4)), ISNUMBER(SEARCH("aniversario", F4)), ISNUMBER(SEARCH("churrasco", F4)), ISNUMBER(SEARCH("bolo", F4)), ISNUMBER(SEARCH("SUPERMERCADO", F4))), "6.1 Despesas Administrativas (Pessoal)", IF(OR(ISNUMBER(SEARCH("DLKNET", F4)), ISNUMBER(SEARCH("TESTE", F4))), "6.1 Despesas Administrativas (Gerais)", IFERROR(VLOOKUP(H4, De_Para!A:B, 2, FALSE), "NÃO MAPEADO"))), IFERROR(VLOOKUP(H4, De_Para!A:B, 2, FALSE), "NÃO MAPEADO"))</f>
        <v/>
      </c>
    </row>
    <row r="5">
      <c r="A5" s="2" t="inlineStr">
        <is>
          <t>69694</t>
        </is>
      </c>
      <c r="B5" s="2" t="inlineStr">
        <is>
          <t>Sicredi SNI</t>
        </is>
      </c>
      <c r="C5" s="2" t="inlineStr">
        <is>
          <t>30/06/2026</t>
        </is>
      </c>
      <c r="D5" s="2" t="inlineStr">
        <is>
          <t>30/06/2026</t>
        </is>
      </c>
      <c r="E5" s="2" t="inlineStr">
        <is>
          <t>PIX</t>
        </is>
      </c>
      <c r="F5" s="2" t="inlineStr">
        <is>
          <t>Boleto "67630" do cliente "RAFAEL APARECIDO DE SOUZA"</t>
        </is>
      </c>
      <c r="G5" s="2" t="inlineStr">
        <is>
          <t>system</t>
        </is>
      </c>
      <c r="H5" s="2" t="inlineStr">
        <is>
          <t>01.01.01 : Mensalidade</t>
        </is>
      </c>
      <c r="I5" s="3" t="n">
        <v>109.9</v>
      </c>
      <c r="J5" s="2" t="n"/>
      <c r="K5" s="2">
        <f>IF(H5="02.09 : Outras Saídas", IF(OR(ISNUMBER(SEARCH("CHEQUE COMPE SICREDI", F5)), ISNUMBER(SEARCH("aniversario", F5)), ISNUMBER(SEARCH("churrasco", F5)), ISNUMBER(SEARCH("bolo", F5)), ISNUMBER(SEARCH("SUPERMERCADO", F5))), "6.1 Despesas Administrativas (Pessoal)", IF(OR(ISNUMBER(SEARCH("DLKNET", F5)), ISNUMBER(SEARCH("TESTE", F5))), "6.1 Despesas Administrativas (Gerais)", IFERROR(VLOOKUP(H5, De_Para!A:B, 2, FALSE), "NÃO MAPEADO"))), IFERROR(VLOOKUP(H5, De_Para!A:B, 2, FALSE), "NÃO MAPEADO"))</f>
        <v/>
      </c>
    </row>
    <row r="6">
      <c r="A6" s="2" t="inlineStr">
        <is>
          <t>69693</t>
        </is>
      </c>
      <c r="B6" s="2" t="inlineStr">
        <is>
          <t>Sicredi SNI</t>
        </is>
      </c>
      <c r="C6" s="2" t="inlineStr">
        <is>
          <t>30/06/2026</t>
        </is>
      </c>
      <c r="D6" s="2" t="inlineStr">
        <is>
          <t>30/06/2026</t>
        </is>
      </c>
      <c r="E6" s="2" t="inlineStr">
        <is>
          <t>PIX</t>
        </is>
      </c>
      <c r="F6" s="2" t="inlineStr">
        <is>
          <t>Boleto "67752" do cliente "DARIO OLIVEIRA"</t>
        </is>
      </c>
      <c r="G6" s="2" t="inlineStr">
        <is>
          <t>system</t>
        </is>
      </c>
      <c r="H6" s="2" t="inlineStr">
        <is>
          <t>02.03.02.01 : Cobrança Bancaria</t>
        </is>
      </c>
      <c r="I6" s="2" t="n"/>
      <c r="J6" s="3" t="n">
        <v>-0.49</v>
      </c>
      <c r="K6" s="2">
        <f>IF(H6="02.09 : Outras Saídas", IF(OR(ISNUMBER(SEARCH("CHEQUE COMPE SICREDI", F6)), ISNUMBER(SEARCH("aniversario", F6)), ISNUMBER(SEARCH("churrasco", F6)), ISNUMBER(SEARCH("bolo", F6)), ISNUMBER(SEARCH("SUPERMERCADO", F6))), "6.1 Despesas Administrativas (Pessoal)", IF(OR(ISNUMBER(SEARCH("DLKNET", F6)), ISNUMBER(SEARCH("TESTE", F6))), "6.1 Despesas Administrativas (Gerais)", IFERROR(VLOOKUP(H6, De_Para!A:B, 2, FALSE), "NÃO MAPEADO"))), IFERROR(VLOOKUP(H6, De_Para!A:B, 2, FALSE), "NÃO MAPEADO"))</f>
        <v/>
      </c>
    </row>
    <row r="7">
      <c r="A7" s="2" t="inlineStr">
        <is>
          <t>69692</t>
        </is>
      </c>
      <c r="B7" s="2" t="inlineStr">
        <is>
          <t>Sicredi SNI</t>
        </is>
      </c>
      <c r="C7" s="2" t="inlineStr">
        <is>
          <t>30/06/2026</t>
        </is>
      </c>
      <c r="D7" s="2" t="inlineStr">
        <is>
          <t>30/06/2026</t>
        </is>
      </c>
      <c r="E7" s="2" t="inlineStr">
        <is>
          <t>PIX</t>
        </is>
      </c>
      <c r="F7" s="2" t="inlineStr">
        <is>
          <t>Boleto "67752" do cliente "DARIO OLIVEIRA"</t>
        </is>
      </c>
      <c r="G7" s="2" t="inlineStr">
        <is>
          <t>system</t>
        </is>
      </c>
      <c r="H7" s="2" t="inlineStr">
        <is>
          <t>01.01.01 : Mensalidade</t>
        </is>
      </c>
      <c r="I7" s="3" t="n">
        <v>104.9</v>
      </c>
      <c r="J7" s="2" t="n"/>
      <c r="K7" s="2">
        <f>IF(H7="02.09 : Outras Saídas", IF(OR(ISNUMBER(SEARCH("CHEQUE COMPE SICREDI", F7)), ISNUMBER(SEARCH("aniversario", F7)), ISNUMBER(SEARCH("churrasco", F7)), ISNUMBER(SEARCH("bolo", F7)), ISNUMBER(SEARCH("SUPERMERCADO", F7))), "6.1 Despesas Administrativas (Pessoal)", IF(OR(ISNUMBER(SEARCH("DLKNET", F7)), ISNUMBER(SEARCH("TESTE", F7))), "6.1 Despesas Administrativas (Gerais)", IFERROR(VLOOKUP(H7, De_Para!A:B, 2, FALSE), "NÃO MAPEADO"))), IFERROR(VLOOKUP(H7, De_Para!A:B, 2, FALSE), "NÃO MAPEADO"))</f>
        <v/>
      </c>
    </row>
    <row r="8">
      <c r="A8" s="2" t="inlineStr">
        <is>
          <t>69691</t>
        </is>
      </c>
      <c r="B8" s="2" t="inlineStr">
        <is>
          <t>Sicoob</t>
        </is>
      </c>
      <c r="C8" s="2" t="inlineStr">
        <is>
          <t>30/06/2026</t>
        </is>
      </c>
      <c r="D8" s="2" t="inlineStr">
        <is>
          <t>30/06/2026</t>
        </is>
      </c>
      <c r="E8" s="2" t="inlineStr">
        <is>
          <t>Dinheiro</t>
        </is>
      </c>
      <c r="F8" s="2" t="inlineStr">
        <is>
          <t>Boleto "63770" do cliente "JULIA ISABEL FARINCHA"</t>
        </is>
      </c>
      <c r="G8" s="2" t="inlineStr">
        <is>
          <t>system</t>
        </is>
      </c>
      <c r="H8" s="2" t="inlineStr">
        <is>
          <t>02.03.02.01 : Cobrança Bancaria</t>
        </is>
      </c>
      <c r="I8" s="2" t="n"/>
      <c r="J8" s="3" t="n">
        <v>-0.88</v>
      </c>
      <c r="K8" s="2">
        <f>IF(H8="02.09 : Outras Saídas", IF(OR(ISNUMBER(SEARCH("CHEQUE COMPE SICREDI", F8)), ISNUMBER(SEARCH("aniversario", F8)), ISNUMBER(SEARCH("churrasco", F8)), ISNUMBER(SEARCH("bolo", F8)), ISNUMBER(SEARCH("SUPERMERCADO", F8))), "6.1 Despesas Administrativas (Pessoal)", IF(OR(ISNUMBER(SEARCH("DLKNET", F8)), ISNUMBER(SEARCH("TESTE", F8))), "6.1 Despesas Administrativas (Gerais)", IFERROR(VLOOKUP(H8, De_Para!A:B, 2, FALSE), "NÃO MAPEADO"))), IFERROR(VLOOKUP(H8, De_Para!A:B, 2, FALSE), "NÃO MAPEADO"))</f>
        <v/>
      </c>
    </row>
    <row r="9">
      <c r="A9" s="2" t="inlineStr">
        <is>
          <t>69690</t>
        </is>
      </c>
      <c r="B9" s="2" t="inlineStr">
        <is>
          <t>Sicoob</t>
        </is>
      </c>
      <c r="C9" s="2" t="inlineStr">
        <is>
          <t>30/06/2026</t>
        </is>
      </c>
      <c r="D9" s="2" t="inlineStr">
        <is>
          <t>30/06/2026</t>
        </is>
      </c>
      <c r="E9" s="2" t="inlineStr">
        <is>
          <t>Dinheiro</t>
        </is>
      </c>
      <c r="F9" s="2" t="inlineStr">
        <is>
          <t>Boleto "63770" do cliente "JULIA ISABEL FARINCHA"</t>
        </is>
      </c>
      <c r="G9" s="2" t="inlineStr">
        <is>
          <t>system</t>
        </is>
      </c>
      <c r="H9" s="2" t="inlineStr">
        <is>
          <t>01.01.01 : Mensalidade</t>
        </is>
      </c>
      <c r="I9" s="3" t="n">
        <v>105</v>
      </c>
      <c r="J9" s="2" t="n"/>
      <c r="K9" s="2">
        <f>IF(H9="02.09 : Outras Saídas", IF(OR(ISNUMBER(SEARCH("CHEQUE COMPE SICREDI", F9)), ISNUMBER(SEARCH("aniversario", F9)), ISNUMBER(SEARCH("churrasco", F9)), ISNUMBER(SEARCH("bolo", F9)), ISNUMBER(SEARCH("SUPERMERCADO", F9))), "6.1 Despesas Administrativas (Pessoal)", IF(OR(ISNUMBER(SEARCH("DLKNET", F9)), ISNUMBER(SEARCH("TESTE", F9))), "6.1 Despesas Administrativas (Gerais)", IFERROR(VLOOKUP(H9, De_Para!A:B, 2, FALSE), "NÃO MAPEADO"))), IFERROR(VLOOKUP(H9, De_Para!A:B, 2, FALSE), "NÃO MAPEADO"))</f>
        <v/>
      </c>
    </row>
    <row r="10">
      <c r="A10" s="2" t="inlineStr">
        <is>
          <t>69689</t>
        </is>
      </c>
      <c r="B10" s="2" t="inlineStr">
        <is>
          <t>Sicoob</t>
        </is>
      </c>
      <c r="C10" s="2" t="inlineStr">
        <is>
          <t>30/06/2026</t>
        </is>
      </c>
      <c r="D10" s="2" t="inlineStr">
        <is>
          <t>30/06/2026</t>
        </is>
      </c>
      <c r="E10" s="2" t="inlineStr">
        <is>
          <t>Dinheiro</t>
        </is>
      </c>
      <c r="F10" s="2" t="inlineStr">
        <is>
          <t>Boleto "59534" do cliente "VILCIANE APARECIDA CAMARGO"</t>
        </is>
      </c>
      <c r="G10" s="2" t="inlineStr">
        <is>
          <t>system</t>
        </is>
      </c>
      <c r="H10" s="2" t="inlineStr">
        <is>
          <t>02.03.02.01 : Cobrança Bancaria</t>
        </is>
      </c>
      <c r="I10" s="2" t="n"/>
      <c r="J10" s="3" t="n">
        <v>-0.88</v>
      </c>
      <c r="K10" s="2">
        <f>IF(H10="02.09 : Outras Saídas", IF(OR(ISNUMBER(SEARCH("CHEQUE COMPE SICREDI", F10)), ISNUMBER(SEARCH("aniversario", F10)), ISNUMBER(SEARCH("churrasco", F10)), ISNUMBER(SEARCH("bolo", F10)), ISNUMBER(SEARCH("SUPERMERCADO", F10))), "6.1 Despesas Administrativas (Pessoal)", IF(OR(ISNUMBER(SEARCH("DLKNET", F10)), ISNUMBER(SEARCH("TESTE", F10))), "6.1 Despesas Administrativas (Gerais)", IFERROR(VLOOKUP(H10, De_Para!A:B, 2, FALSE), "NÃO MAPEADO"))), IFERROR(VLOOKUP(H10, De_Para!A:B, 2, FALSE), "NÃO MAPEADO"))</f>
        <v/>
      </c>
    </row>
    <row r="11">
      <c r="A11" s="2" t="inlineStr">
        <is>
          <t>69688</t>
        </is>
      </c>
      <c r="B11" s="2" t="inlineStr">
        <is>
          <t>Sicoob</t>
        </is>
      </c>
      <c r="C11" s="2" t="inlineStr">
        <is>
          <t>30/06/2026</t>
        </is>
      </c>
      <c r="D11" s="2" t="inlineStr">
        <is>
          <t>30/06/2026</t>
        </is>
      </c>
      <c r="E11" s="2" t="inlineStr">
        <is>
          <t>Dinheiro</t>
        </is>
      </c>
      <c r="F11" s="2" t="inlineStr">
        <is>
          <t>Boleto "59534" do cliente "VILCIANE APARECIDA CAMARGO"</t>
        </is>
      </c>
      <c r="G11" s="2" t="inlineStr">
        <is>
          <t>system</t>
        </is>
      </c>
      <c r="H11" s="2" t="inlineStr">
        <is>
          <t>01.01.01 : Mensalidade</t>
        </is>
      </c>
      <c r="I11" s="3" t="n">
        <v>105</v>
      </c>
      <c r="J11" s="2" t="n"/>
      <c r="K11" s="2">
        <f>IF(H11="02.09 : Outras Saídas", IF(OR(ISNUMBER(SEARCH("CHEQUE COMPE SICREDI", F11)), ISNUMBER(SEARCH("aniversario", F11)), ISNUMBER(SEARCH("churrasco", F11)), ISNUMBER(SEARCH("bolo", F11)), ISNUMBER(SEARCH("SUPERMERCADO", F11))), "6.1 Despesas Administrativas (Pessoal)", IF(OR(ISNUMBER(SEARCH("DLKNET", F11)), ISNUMBER(SEARCH("TESTE", F11))), "6.1 Despesas Administrativas (Gerais)", IFERROR(VLOOKUP(H11, De_Para!A:B, 2, FALSE), "NÃO MAPEADO"))), IFERROR(VLOOKUP(H11, De_Para!A:B, 2, FALSE), "NÃO MAPEADO"))</f>
        <v/>
      </c>
    </row>
    <row r="12">
      <c r="A12" s="2" t="inlineStr">
        <is>
          <t>69687</t>
        </is>
      </c>
      <c r="B12" s="2" t="inlineStr">
        <is>
          <t>Sicoob</t>
        </is>
      </c>
      <c r="C12" s="2" t="inlineStr">
        <is>
          <t>30/06/2026</t>
        </is>
      </c>
      <c r="D12" s="2" t="inlineStr">
        <is>
          <t>30/06/2026</t>
        </is>
      </c>
      <c r="E12" s="2" t="inlineStr">
        <is>
          <t>Dinheiro</t>
        </is>
      </c>
      <c r="F12" s="2" t="inlineStr">
        <is>
          <t>Boleto "59513" do cliente "MARCOS SOUZA ESPLUGUES"</t>
        </is>
      </c>
      <c r="G12" s="2" t="inlineStr">
        <is>
          <t>system</t>
        </is>
      </c>
      <c r="H12" s="2" t="inlineStr">
        <is>
          <t>02.03.02.01 : Cobrança Bancaria</t>
        </is>
      </c>
      <c r="I12" s="2" t="n"/>
      <c r="J12" s="3" t="n">
        <v>-0.88</v>
      </c>
      <c r="K12" s="2">
        <f>IF(H12="02.09 : Outras Saídas", IF(OR(ISNUMBER(SEARCH("CHEQUE COMPE SICREDI", F12)), ISNUMBER(SEARCH("aniversario", F12)), ISNUMBER(SEARCH("churrasco", F12)), ISNUMBER(SEARCH("bolo", F12)), ISNUMBER(SEARCH("SUPERMERCADO", F12))), "6.1 Despesas Administrativas (Pessoal)", IF(OR(ISNUMBER(SEARCH("DLKNET", F12)), ISNUMBER(SEARCH("TESTE", F12))), "6.1 Despesas Administrativas (Gerais)", IFERROR(VLOOKUP(H12, De_Para!A:B, 2, FALSE), "NÃO MAPEADO"))), IFERROR(VLOOKUP(H12, De_Para!A:B, 2, FALSE), "NÃO MAPEADO"))</f>
        <v/>
      </c>
    </row>
    <row r="13">
      <c r="A13" s="2" t="inlineStr">
        <is>
          <t>69686</t>
        </is>
      </c>
      <c r="B13" s="2" t="inlineStr">
        <is>
          <t>Sicoob</t>
        </is>
      </c>
      <c r="C13" s="2" t="inlineStr">
        <is>
          <t>30/06/2026</t>
        </is>
      </c>
      <c r="D13" s="2" t="inlineStr">
        <is>
          <t>30/06/2026</t>
        </is>
      </c>
      <c r="E13" s="2" t="inlineStr">
        <is>
          <t>Dinheiro</t>
        </is>
      </c>
      <c r="F13" s="2" t="inlineStr">
        <is>
          <t>Boleto "59513" do cliente "MARCOS SOUZA ESPLUGUES"</t>
        </is>
      </c>
      <c r="G13" s="2" t="inlineStr">
        <is>
          <t>system</t>
        </is>
      </c>
      <c r="H13" s="2" t="inlineStr">
        <is>
          <t>01.01.01 : Mensalidade</t>
        </is>
      </c>
      <c r="I13" s="3" t="n">
        <v>105</v>
      </c>
      <c r="J13" s="2" t="n"/>
      <c r="K13" s="2">
        <f>IF(H13="02.09 : Outras Saídas", IF(OR(ISNUMBER(SEARCH("CHEQUE COMPE SICREDI", F13)), ISNUMBER(SEARCH("aniversario", F13)), ISNUMBER(SEARCH("churrasco", F13)), ISNUMBER(SEARCH("bolo", F13)), ISNUMBER(SEARCH("SUPERMERCADO", F13))), "6.1 Despesas Administrativas (Pessoal)", IF(OR(ISNUMBER(SEARCH("DLKNET", F13)), ISNUMBER(SEARCH("TESTE", F13))), "6.1 Despesas Administrativas (Gerais)", IFERROR(VLOOKUP(H13, De_Para!A:B, 2, FALSE), "NÃO MAPEADO"))), IFERROR(VLOOKUP(H13, De_Para!A:B, 2, FALSE), "NÃO MAPEADO"))</f>
        <v/>
      </c>
    </row>
    <row r="14">
      <c r="A14" s="2" t="inlineStr">
        <is>
          <t>69685</t>
        </is>
      </c>
      <c r="B14" s="2" t="inlineStr">
        <is>
          <t>Sicredi SNI</t>
        </is>
      </c>
      <c r="C14" s="2" t="inlineStr">
        <is>
          <t>30/06/2026</t>
        </is>
      </c>
      <c r="D14" s="2" t="inlineStr">
        <is>
          <t>30/06/2026</t>
        </is>
      </c>
      <c r="E14" s="2" t="inlineStr">
        <is>
          <t>Dinheiro</t>
        </is>
      </c>
      <c r="F14" s="2" t="inlineStr">
        <is>
          <t>Boleto "67762" do cliente "JOSE CARLOS DE LIMA"</t>
        </is>
      </c>
      <c r="G14" s="2" t="inlineStr">
        <is>
          <t>system</t>
        </is>
      </c>
      <c r="H14" s="2" t="inlineStr">
        <is>
          <t>02.03.02.01 : Cobrança Bancaria</t>
        </is>
      </c>
      <c r="I14" s="2" t="n"/>
      <c r="J14" s="3" t="n">
        <v>-1.08</v>
      </c>
      <c r="K14" s="2">
        <f>IF(H14="02.09 : Outras Saídas", IF(OR(ISNUMBER(SEARCH("CHEQUE COMPE SICREDI", F14)), ISNUMBER(SEARCH("aniversario", F14)), ISNUMBER(SEARCH("churrasco", F14)), ISNUMBER(SEARCH("bolo", F14)), ISNUMBER(SEARCH("SUPERMERCADO", F14))), "6.1 Despesas Administrativas (Pessoal)", IF(OR(ISNUMBER(SEARCH("DLKNET", F14)), ISNUMBER(SEARCH("TESTE", F14))), "6.1 Despesas Administrativas (Gerais)", IFERROR(VLOOKUP(H14, De_Para!A:B, 2, FALSE), "NÃO MAPEADO"))), IFERROR(VLOOKUP(H14, De_Para!A:B, 2, FALSE), "NÃO MAPEADO"))</f>
        <v/>
      </c>
    </row>
    <row r="15">
      <c r="A15" s="2" t="inlineStr">
        <is>
          <t>69684</t>
        </is>
      </c>
      <c r="B15" s="2" t="inlineStr">
        <is>
          <t>Sicredi SNI</t>
        </is>
      </c>
      <c r="C15" s="2" t="inlineStr">
        <is>
          <t>30/06/2026</t>
        </is>
      </c>
      <c r="D15" s="2" t="inlineStr">
        <is>
          <t>30/06/2026</t>
        </is>
      </c>
      <c r="E15" s="2" t="inlineStr">
        <is>
          <t>Dinheiro</t>
        </is>
      </c>
      <c r="F15" s="2" t="inlineStr">
        <is>
          <t>Boleto "67762" do cliente "JOSE CARLOS DE LIMA"</t>
        </is>
      </c>
      <c r="G15" s="2" t="inlineStr">
        <is>
          <t>system</t>
        </is>
      </c>
      <c r="H15" s="2" t="inlineStr">
        <is>
          <t>01.01.01 : Mensalidade</t>
        </is>
      </c>
      <c r="I15" s="3" t="n">
        <v>80</v>
      </c>
      <c r="J15" s="2" t="n"/>
      <c r="K15" s="2">
        <f>IF(H15="02.09 : Outras Saídas", IF(OR(ISNUMBER(SEARCH("CHEQUE COMPE SICREDI", F15)), ISNUMBER(SEARCH("aniversario", F15)), ISNUMBER(SEARCH("churrasco", F15)), ISNUMBER(SEARCH("bolo", F15)), ISNUMBER(SEARCH("SUPERMERCADO", F15))), "6.1 Despesas Administrativas (Pessoal)", IF(OR(ISNUMBER(SEARCH("DLKNET", F15)), ISNUMBER(SEARCH("TESTE", F15))), "6.1 Despesas Administrativas (Gerais)", IFERROR(VLOOKUP(H15, De_Para!A:B, 2, FALSE), "NÃO MAPEADO"))), IFERROR(VLOOKUP(H15, De_Para!A:B, 2, FALSE), "NÃO MAPEADO"))</f>
        <v/>
      </c>
    </row>
    <row r="16">
      <c r="A16" s="2" t="inlineStr">
        <is>
          <t>69683</t>
        </is>
      </c>
      <c r="B16" s="2" t="inlineStr">
        <is>
          <t>Sicredi SNI</t>
        </is>
      </c>
      <c r="C16" s="2" t="inlineStr">
        <is>
          <t>30/06/2026</t>
        </is>
      </c>
      <c r="D16" s="2" t="inlineStr">
        <is>
          <t>30/06/2026</t>
        </is>
      </c>
      <c r="E16" s="2" t="inlineStr">
        <is>
          <t>Dinheiro</t>
        </is>
      </c>
      <c r="F16" s="2" t="inlineStr">
        <is>
          <t>Boleto "67153" do cliente "VANDA APARECIDA CAMARGO"</t>
        </is>
      </c>
      <c r="G16" s="2" t="inlineStr">
        <is>
          <t>system</t>
        </is>
      </c>
      <c r="H16" s="2" t="inlineStr">
        <is>
          <t>02.03.02.01 : Cobrança Bancaria</t>
        </is>
      </c>
      <c r="I16" s="2" t="n"/>
      <c r="J16" s="3" t="n">
        <v>-1.08</v>
      </c>
      <c r="K16" s="2">
        <f>IF(H16="02.09 : Outras Saídas", IF(OR(ISNUMBER(SEARCH("CHEQUE COMPE SICREDI", F16)), ISNUMBER(SEARCH("aniversario", F16)), ISNUMBER(SEARCH("churrasco", F16)), ISNUMBER(SEARCH("bolo", F16)), ISNUMBER(SEARCH("SUPERMERCADO", F16))), "6.1 Despesas Administrativas (Pessoal)", IF(OR(ISNUMBER(SEARCH("DLKNET", F16)), ISNUMBER(SEARCH("TESTE", F16))), "6.1 Despesas Administrativas (Gerais)", IFERROR(VLOOKUP(H16, De_Para!A:B, 2, FALSE), "NÃO MAPEADO"))), IFERROR(VLOOKUP(H16, De_Para!A:B, 2, FALSE), "NÃO MAPEADO"))</f>
        <v/>
      </c>
    </row>
    <row r="17">
      <c r="A17" s="2" t="inlineStr">
        <is>
          <t>69682</t>
        </is>
      </c>
      <c r="B17" s="2" t="inlineStr">
        <is>
          <t>Sicredi SNI</t>
        </is>
      </c>
      <c r="C17" s="2" t="inlineStr">
        <is>
          <t>30/06/2026</t>
        </is>
      </c>
      <c r="D17" s="2" t="inlineStr">
        <is>
          <t>30/06/2026</t>
        </is>
      </c>
      <c r="E17" s="2" t="inlineStr">
        <is>
          <t>Dinheiro</t>
        </is>
      </c>
      <c r="F17" s="2" t="inlineStr">
        <is>
          <t>Boleto "67153" do cliente "VANDA APARECIDA CAMARGO"</t>
        </is>
      </c>
      <c r="G17" s="2" t="inlineStr">
        <is>
          <t>system</t>
        </is>
      </c>
      <c r="H17" s="2" t="inlineStr">
        <is>
          <t>01.01.01 : Mensalidade</t>
        </is>
      </c>
      <c r="I17" s="3" t="n">
        <v>112.41</v>
      </c>
      <c r="J17" s="2" t="n"/>
      <c r="K17" s="2">
        <f>IF(H17="02.09 : Outras Saídas", IF(OR(ISNUMBER(SEARCH("CHEQUE COMPE SICREDI", F17)), ISNUMBER(SEARCH("aniversario", F17)), ISNUMBER(SEARCH("churrasco", F17)), ISNUMBER(SEARCH("bolo", F17)), ISNUMBER(SEARCH("SUPERMERCADO", F17))), "6.1 Despesas Administrativas (Pessoal)", IF(OR(ISNUMBER(SEARCH("DLKNET", F17)), ISNUMBER(SEARCH("TESTE", F17))), "6.1 Despesas Administrativas (Gerais)", IFERROR(VLOOKUP(H17, De_Para!A:B, 2, FALSE), "NÃO MAPEADO"))), IFERROR(VLOOKUP(H17, De_Para!A:B, 2, FALSE), "NÃO MAPEADO"))</f>
        <v/>
      </c>
    </row>
    <row r="18">
      <c r="A18" s="2" t="inlineStr">
        <is>
          <t>69681</t>
        </is>
      </c>
      <c r="B18" s="2" t="inlineStr">
        <is>
          <t>Sicoob</t>
        </is>
      </c>
      <c r="C18" s="2" t="inlineStr">
        <is>
          <t>30/06/2026</t>
        </is>
      </c>
      <c r="D18" s="2" t="inlineStr">
        <is>
          <t>30/06/2026</t>
        </is>
      </c>
      <c r="E18" s="2" t="inlineStr">
        <is>
          <t>Dinheiro</t>
        </is>
      </c>
      <c r="F18" s="2" t="inlineStr">
        <is>
          <t>Boleto "66152" do cliente "VALMIR TEODORO LEITE"</t>
        </is>
      </c>
      <c r="G18" s="2" t="inlineStr">
        <is>
          <t>system</t>
        </is>
      </c>
      <c r="H18" s="2" t="inlineStr">
        <is>
          <t>02.03.02.01 : Cobrança Bancaria</t>
        </is>
      </c>
      <c r="I18" s="2" t="n"/>
      <c r="J18" s="3" t="n">
        <v>-0.88</v>
      </c>
      <c r="K18" s="2">
        <f>IF(H18="02.09 : Outras Saídas", IF(OR(ISNUMBER(SEARCH("CHEQUE COMPE SICREDI", F18)), ISNUMBER(SEARCH("aniversario", F18)), ISNUMBER(SEARCH("churrasco", F18)), ISNUMBER(SEARCH("bolo", F18)), ISNUMBER(SEARCH("SUPERMERCADO", F18))), "6.1 Despesas Administrativas (Pessoal)", IF(OR(ISNUMBER(SEARCH("DLKNET", F18)), ISNUMBER(SEARCH("TESTE", F18))), "6.1 Despesas Administrativas (Gerais)", IFERROR(VLOOKUP(H18, De_Para!A:B, 2, FALSE), "NÃO MAPEADO"))), IFERROR(VLOOKUP(H18, De_Para!A:B, 2, FALSE), "NÃO MAPEADO"))</f>
        <v/>
      </c>
    </row>
    <row r="19">
      <c r="A19" s="2" t="inlineStr">
        <is>
          <t>69680</t>
        </is>
      </c>
      <c r="B19" s="2" t="inlineStr">
        <is>
          <t>Sicoob</t>
        </is>
      </c>
      <c r="C19" s="2" t="inlineStr">
        <is>
          <t>30/06/2026</t>
        </is>
      </c>
      <c r="D19" s="2" t="inlineStr">
        <is>
          <t>30/06/2026</t>
        </is>
      </c>
      <c r="E19" s="2" t="inlineStr">
        <is>
          <t>Dinheiro</t>
        </is>
      </c>
      <c r="F19" s="2" t="inlineStr">
        <is>
          <t>Boleto "66152" do cliente "VALMIR TEODORO LEITE"</t>
        </is>
      </c>
      <c r="G19" s="2" t="inlineStr">
        <is>
          <t>system</t>
        </is>
      </c>
      <c r="H19" s="2" t="inlineStr">
        <is>
          <t>01.03.01 : Mensalidade</t>
        </is>
      </c>
      <c r="I19" s="3" t="n">
        <v>107.45</v>
      </c>
      <c r="J19" s="2" t="n"/>
      <c r="K19" s="2">
        <f>IF(H19="02.09 : Outras Saídas", IF(OR(ISNUMBER(SEARCH("CHEQUE COMPE SICREDI", F19)), ISNUMBER(SEARCH("aniversario", F19)), ISNUMBER(SEARCH("churrasco", F19)), ISNUMBER(SEARCH("bolo", F19)), ISNUMBER(SEARCH("SUPERMERCADO", F19))), "6.1 Despesas Administrativas (Pessoal)", IF(OR(ISNUMBER(SEARCH("DLKNET", F19)), ISNUMBER(SEARCH("TESTE", F19))), "6.1 Despesas Administrativas (Gerais)", IFERROR(VLOOKUP(H19, De_Para!A:B, 2, FALSE), "NÃO MAPEADO"))), IFERROR(VLOOKUP(H19, De_Para!A:B, 2, FALSE), "NÃO MAPEADO"))</f>
        <v/>
      </c>
    </row>
    <row r="20">
      <c r="A20" s="2" t="inlineStr">
        <is>
          <t>69679</t>
        </is>
      </c>
      <c r="B20" s="2" t="inlineStr">
        <is>
          <t>Sicoob</t>
        </is>
      </c>
      <c r="C20" s="2" t="inlineStr">
        <is>
          <t>30/06/2026</t>
        </is>
      </c>
      <c r="D20" s="2" t="inlineStr">
        <is>
          <t>30/06/2026</t>
        </is>
      </c>
      <c r="E20" s="2" t="inlineStr">
        <is>
          <t>Dinheiro</t>
        </is>
      </c>
      <c r="F20" s="2" t="inlineStr">
        <is>
          <t>Boleto "65405" do cliente "JOSE HUGO BRUNHARI"</t>
        </is>
      </c>
      <c r="G20" s="2" t="inlineStr">
        <is>
          <t>system</t>
        </is>
      </c>
      <c r="H20" s="2" t="inlineStr">
        <is>
          <t>02.03.02.01 : Cobrança Bancaria</t>
        </is>
      </c>
      <c r="I20" s="2" t="n"/>
      <c r="J20" s="3" t="n">
        <v>-0.88</v>
      </c>
      <c r="K20" s="2">
        <f>IF(H20="02.09 : Outras Saídas", IF(OR(ISNUMBER(SEARCH("CHEQUE COMPE SICREDI", F20)), ISNUMBER(SEARCH("aniversario", F20)), ISNUMBER(SEARCH("churrasco", F20)), ISNUMBER(SEARCH("bolo", F20)), ISNUMBER(SEARCH("SUPERMERCADO", F20))), "6.1 Despesas Administrativas (Pessoal)", IF(OR(ISNUMBER(SEARCH("DLKNET", F20)), ISNUMBER(SEARCH("TESTE", F20))), "6.1 Despesas Administrativas (Gerais)", IFERROR(VLOOKUP(H20, De_Para!A:B, 2, FALSE), "NÃO MAPEADO"))), IFERROR(VLOOKUP(H20, De_Para!A:B, 2, FALSE), "NÃO MAPEADO"))</f>
        <v/>
      </c>
    </row>
    <row r="21">
      <c r="A21" s="2" t="inlineStr">
        <is>
          <t>69678</t>
        </is>
      </c>
      <c r="B21" s="2" t="inlineStr">
        <is>
          <t>Sicoob</t>
        </is>
      </c>
      <c r="C21" s="2" t="inlineStr">
        <is>
          <t>30/06/2026</t>
        </is>
      </c>
      <c r="D21" s="2" t="inlineStr">
        <is>
          <t>30/06/2026</t>
        </is>
      </c>
      <c r="E21" s="2" t="inlineStr">
        <is>
          <t>Dinheiro</t>
        </is>
      </c>
      <c r="F21" s="2" t="inlineStr">
        <is>
          <t>Boleto "65405" do cliente "JOSE HUGO BRUNHARI"</t>
        </is>
      </c>
      <c r="G21" s="2" t="inlineStr">
        <is>
          <t>system</t>
        </is>
      </c>
      <c r="H21" s="2" t="inlineStr">
        <is>
          <t>01.01.01 : Mensalidade</t>
        </is>
      </c>
      <c r="I21" s="3" t="n">
        <v>99.90000000000001</v>
      </c>
      <c r="J21" s="2" t="n"/>
      <c r="K21" s="2">
        <f>IF(H21="02.09 : Outras Saídas", IF(OR(ISNUMBER(SEARCH("CHEQUE COMPE SICREDI", F21)), ISNUMBER(SEARCH("aniversario", F21)), ISNUMBER(SEARCH("churrasco", F21)), ISNUMBER(SEARCH("bolo", F21)), ISNUMBER(SEARCH("SUPERMERCADO", F21))), "6.1 Despesas Administrativas (Pessoal)", IF(OR(ISNUMBER(SEARCH("DLKNET", F21)), ISNUMBER(SEARCH("TESTE", F21))), "6.1 Despesas Administrativas (Gerais)", IFERROR(VLOOKUP(H21, De_Para!A:B, 2, FALSE), "NÃO MAPEADO"))), IFERROR(VLOOKUP(H21, De_Para!A:B, 2, FALSE), "NÃO MAPEADO"))</f>
        <v/>
      </c>
    </row>
    <row r="22">
      <c r="A22" s="2" t="inlineStr">
        <is>
          <t>69677</t>
        </is>
      </c>
      <c r="B22" s="2" t="inlineStr">
        <is>
          <t>Sicoob</t>
        </is>
      </c>
      <c r="C22" s="2" t="inlineStr">
        <is>
          <t>30/06/2026</t>
        </is>
      </c>
      <c r="D22" s="2" t="inlineStr">
        <is>
          <t>30/06/2026</t>
        </is>
      </c>
      <c r="E22" s="2" t="inlineStr">
        <is>
          <t>Dinheiro</t>
        </is>
      </c>
      <c r="F22" s="2" t="inlineStr">
        <is>
          <t>Boleto "64675" do cliente "ADILSON SILVIO AMBROSIO"</t>
        </is>
      </c>
      <c r="G22" s="2" t="inlineStr">
        <is>
          <t>system</t>
        </is>
      </c>
      <c r="H22" s="2" t="inlineStr">
        <is>
          <t>02.03.02.01 : Cobrança Bancaria</t>
        </is>
      </c>
      <c r="I22" s="2" t="n"/>
      <c r="J22" s="3" t="n">
        <v>-0.88</v>
      </c>
      <c r="K22" s="2">
        <f>IF(H22="02.09 : Outras Saídas", IF(OR(ISNUMBER(SEARCH("CHEQUE COMPE SICREDI", F22)), ISNUMBER(SEARCH("aniversario", F22)), ISNUMBER(SEARCH("churrasco", F22)), ISNUMBER(SEARCH("bolo", F22)), ISNUMBER(SEARCH("SUPERMERCADO", F22))), "6.1 Despesas Administrativas (Pessoal)", IF(OR(ISNUMBER(SEARCH("DLKNET", F22)), ISNUMBER(SEARCH("TESTE", F22))), "6.1 Despesas Administrativas (Gerais)", IFERROR(VLOOKUP(H22, De_Para!A:B, 2, FALSE), "NÃO MAPEADO"))), IFERROR(VLOOKUP(H22, De_Para!A:B, 2, FALSE), "NÃO MAPEADO"))</f>
        <v/>
      </c>
    </row>
    <row r="23">
      <c r="A23" s="2" t="inlineStr">
        <is>
          <t>69676</t>
        </is>
      </c>
      <c r="B23" s="2" t="inlineStr">
        <is>
          <t>Sicoob</t>
        </is>
      </c>
      <c r="C23" s="2" t="inlineStr">
        <is>
          <t>30/06/2026</t>
        </is>
      </c>
      <c r="D23" s="2" t="inlineStr">
        <is>
          <t>30/06/2026</t>
        </is>
      </c>
      <c r="E23" s="2" t="inlineStr">
        <is>
          <t>Dinheiro</t>
        </is>
      </c>
      <c r="F23" s="2" t="inlineStr">
        <is>
          <t>Boleto "64675" do cliente "ADILSON SILVIO AMBROSIO"</t>
        </is>
      </c>
      <c r="G23" s="2" t="inlineStr">
        <is>
          <t>system</t>
        </is>
      </c>
      <c r="H23" s="2" t="inlineStr">
        <is>
          <t>01.01.01 : Mensalidade</t>
        </is>
      </c>
      <c r="I23" s="3" t="n">
        <v>107.51</v>
      </c>
      <c r="J23" s="2" t="n"/>
      <c r="K23" s="2">
        <f>IF(H23="02.09 : Outras Saídas", IF(OR(ISNUMBER(SEARCH("CHEQUE COMPE SICREDI", F23)), ISNUMBER(SEARCH("aniversario", F23)), ISNUMBER(SEARCH("churrasco", F23)), ISNUMBER(SEARCH("bolo", F23)), ISNUMBER(SEARCH("SUPERMERCADO", F23))), "6.1 Despesas Administrativas (Pessoal)", IF(OR(ISNUMBER(SEARCH("DLKNET", F23)), ISNUMBER(SEARCH("TESTE", F23))), "6.1 Despesas Administrativas (Gerais)", IFERROR(VLOOKUP(H23, De_Para!A:B, 2, FALSE), "NÃO MAPEADO"))), IFERROR(VLOOKUP(H23, De_Para!A:B, 2, FALSE), "NÃO MAPEADO"))</f>
        <v/>
      </c>
    </row>
    <row r="24">
      <c r="A24" s="2" t="inlineStr">
        <is>
          <t>69675</t>
        </is>
      </c>
      <c r="B24" s="2" t="inlineStr">
        <is>
          <t>Sicoob</t>
        </is>
      </c>
      <c r="C24" s="2" t="inlineStr">
        <is>
          <t>30/06/2026</t>
        </is>
      </c>
      <c r="D24" s="2" t="inlineStr">
        <is>
          <t>30/06/2026</t>
        </is>
      </c>
      <c r="E24" s="2" t="inlineStr">
        <is>
          <t>Dinheiro</t>
        </is>
      </c>
      <c r="F24" s="2" t="inlineStr">
        <is>
          <t>Boleto "62711" do cliente "JOSE CANDIDO DA ROSA"</t>
        </is>
      </c>
      <c r="G24" s="2" t="inlineStr">
        <is>
          <t>system</t>
        </is>
      </c>
      <c r="H24" s="2" t="inlineStr">
        <is>
          <t>02.03.02.01 : Cobrança Bancaria</t>
        </is>
      </c>
      <c r="I24" s="2" t="n"/>
      <c r="J24" s="3" t="n">
        <v>-0.88</v>
      </c>
      <c r="K24" s="2">
        <f>IF(H24="02.09 : Outras Saídas", IF(OR(ISNUMBER(SEARCH("CHEQUE COMPE SICREDI", F24)), ISNUMBER(SEARCH("aniversario", F24)), ISNUMBER(SEARCH("churrasco", F24)), ISNUMBER(SEARCH("bolo", F24)), ISNUMBER(SEARCH("SUPERMERCADO", F24))), "6.1 Despesas Administrativas (Pessoal)", IF(OR(ISNUMBER(SEARCH("DLKNET", F24)), ISNUMBER(SEARCH("TESTE", F24))), "6.1 Despesas Administrativas (Gerais)", IFERROR(VLOOKUP(H24, De_Para!A:B, 2, FALSE), "NÃO MAPEADO"))), IFERROR(VLOOKUP(H24, De_Para!A:B, 2, FALSE), "NÃO MAPEADO"))</f>
        <v/>
      </c>
    </row>
    <row r="25">
      <c r="A25" s="2" t="inlineStr">
        <is>
          <t>69674</t>
        </is>
      </c>
      <c r="B25" s="2" t="inlineStr">
        <is>
          <t>Sicoob</t>
        </is>
      </c>
      <c r="C25" s="2" t="inlineStr">
        <is>
          <t>30/06/2026</t>
        </is>
      </c>
      <c r="D25" s="2" t="inlineStr">
        <is>
          <t>30/06/2026</t>
        </is>
      </c>
      <c r="E25" s="2" t="inlineStr">
        <is>
          <t>Dinheiro</t>
        </is>
      </c>
      <c r="F25" s="2" t="inlineStr">
        <is>
          <t>Boleto "62711" do cliente "JOSE CANDIDO DA ROSA"</t>
        </is>
      </c>
      <c r="G25" s="2" t="inlineStr">
        <is>
          <t>system</t>
        </is>
      </c>
      <c r="H25" s="2" t="inlineStr">
        <is>
          <t>01.01.01 : Mensalidade</t>
        </is>
      </c>
      <c r="I25" s="3" t="n">
        <v>109.9</v>
      </c>
      <c r="J25" s="2" t="n"/>
      <c r="K25" s="2">
        <f>IF(H25="02.09 : Outras Saídas", IF(OR(ISNUMBER(SEARCH("CHEQUE COMPE SICREDI", F25)), ISNUMBER(SEARCH("aniversario", F25)), ISNUMBER(SEARCH("churrasco", F25)), ISNUMBER(SEARCH("bolo", F25)), ISNUMBER(SEARCH("SUPERMERCADO", F25))), "6.1 Despesas Administrativas (Pessoal)", IF(OR(ISNUMBER(SEARCH("DLKNET", F25)), ISNUMBER(SEARCH("TESTE", F25))), "6.1 Despesas Administrativas (Gerais)", IFERROR(VLOOKUP(H25, De_Para!A:B, 2, FALSE), "NÃO MAPEADO"))), IFERROR(VLOOKUP(H25, De_Para!A:B, 2, FALSE), "NÃO MAPEADO"))</f>
        <v/>
      </c>
    </row>
    <row r="26">
      <c r="A26" s="2" t="inlineStr">
        <is>
          <t>69673</t>
        </is>
      </c>
      <c r="B26" s="2" t="inlineStr">
        <is>
          <t>Sicoob</t>
        </is>
      </c>
      <c r="C26" s="2" t="inlineStr">
        <is>
          <t>30/06/2026</t>
        </is>
      </c>
      <c r="D26" s="2" t="inlineStr">
        <is>
          <t>30/06/2026</t>
        </is>
      </c>
      <c r="E26" s="2" t="inlineStr">
        <is>
          <t>Dinheiro</t>
        </is>
      </c>
      <c r="F26" s="2" t="inlineStr">
        <is>
          <t>Boleto "61154" do cliente "ELAINE TUONO DE OLIVEIRA SANTOS"</t>
        </is>
      </c>
      <c r="G26" s="2" t="inlineStr">
        <is>
          <t>system</t>
        </is>
      </c>
      <c r="H26" s="2" t="inlineStr">
        <is>
          <t>02.03.02.01 : Cobrança Bancaria</t>
        </is>
      </c>
      <c r="I26" s="2" t="n"/>
      <c r="J26" s="3" t="n">
        <v>-0.88</v>
      </c>
      <c r="K26" s="2">
        <f>IF(H26="02.09 : Outras Saídas", IF(OR(ISNUMBER(SEARCH("CHEQUE COMPE SICREDI", F26)), ISNUMBER(SEARCH("aniversario", F26)), ISNUMBER(SEARCH("churrasco", F26)), ISNUMBER(SEARCH("bolo", F26)), ISNUMBER(SEARCH("SUPERMERCADO", F26))), "6.1 Despesas Administrativas (Pessoal)", IF(OR(ISNUMBER(SEARCH("DLKNET", F26)), ISNUMBER(SEARCH("TESTE", F26))), "6.1 Despesas Administrativas (Gerais)", IFERROR(VLOOKUP(H26, De_Para!A:B, 2, FALSE), "NÃO MAPEADO"))), IFERROR(VLOOKUP(H26, De_Para!A:B, 2, FALSE), "NÃO MAPEADO"))</f>
        <v/>
      </c>
    </row>
    <row r="27">
      <c r="A27" s="2" t="inlineStr">
        <is>
          <t>69672</t>
        </is>
      </c>
      <c r="B27" s="2" t="inlineStr">
        <is>
          <t>Sicoob</t>
        </is>
      </c>
      <c r="C27" s="2" t="inlineStr">
        <is>
          <t>30/06/2026</t>
        </is>
      </c>
      <c r="D27" s="2" t="inlineStr">
        <is>
          <t>30/06/2026</t>
        </is>
      </c>
      <c r="E27" s="2" t="inlineStr">
        <is>
          <t>Dinheiro</t>
        </is>
      </c>
      <c r="F27" s="2" t="inlineStr">
        <is>
          <t>Boleto "61154" do cliente "ELAINE TUONO DE OLIVEIRA SANTOS"</t>
        </is>
      </c>
      <c r="G27" s="2" t="inlineStr">
        <is>
          <t>system</t>
        </is>
      </c>
      <c r="H27" s="2" t="inlineStr">
        <is>
          <t>01.03.01 : Mensalidade</t>
        </is>
      </c>
      <c r="I27" s="3" t="n">
        <v>107.8</v>
      </c>
      <c r="J27" s="2" t="n"/>
      <c r="K27" s="2">
        <f>IF(H27="02.09 : Outras Saídas", IF(OR(ISNUMBER(SEARCH("CHEQUE COMPE SICREDI", F27)), ISNUMBER(SEARCH("aniversario", F27)), ISNUMBER(SEARCH("churrasco", F27)), ISNUMBER(SEARCH("bolo", F27)), ISNUMBER(SEARCH("SUPERMERCADO", F27))), "6.1 Despesas Administrativas (Pessoal)", IF(OR(ISNUMBER(SEARCH("DLKNET", F27)), ISNUMBER(SEARCH("TESTE", F27))), "6.1 Despesas Administrativas (Gerais)", IFERROR(VLOOKUP(H27, De_Para!A:B, 2, FALSE), "NÃO MAPEADO"))), IFERROR(VLOOKUP(H27, De_Para!A:B, 2, FALSE), "NÃO MAPEADO"))</f>
        <v/>
      </c>
    </row>
    <row r="28">
      <c r="A28" s="2" t="inlineStr">
        <is>
          <t>69671</t>
        </is>
      </c>
      <c r="B28" s="2" t="inlineStr">
        <is>
          <t>Sicoob</t>
        </is>
      </c>
      <c r="C28" s="2" t="inlineStr">
        <is>
          <t>30/06/2026</t>
        </is>
      </c>
      <c r="D28" s="2" t="inlineStr">
        <is>
          <t>30/06/2026</t>
        </is>
      </c>
      <c r="E28" s="2" t="inlineStr">
        <is>
          <t>Dinheiro</t>
        </is>
      </c>
      <c r="F28" s="2" t="inlineStr">
        <is>
          <t>Boleto "55145" do cliente "TIAGO APARECIDO DA SILVA"</t>
        </is>
      </c>
      <c r="G28" s="2" t="inlineStr">
        <is>
          <t>system</t>
        </is>
      </c>
      <c r="H28" s="2" t="inlineStr">
        <is>
          <t>02.03.02.01 : Cobrança Bancaria</t>
        </is>
      </c>
      <c r="I28" s="2" t="n"/>
      <c r="J28" s="3" t="n">
        <v>-0.88</v>
      </c>
      <c r="K28" s="2">
        <f>IF(H28="02.09 : Outras Saídas", IF(OR(ISNUMBER(SEARCH("CHEQUE COMPE SICREDI", F28)), ISNUMBER(SEARCH("aniversario", F28)), ISNUMBER(SEARCH("churrasco", F28)), ISNUMBER(SEARCH("bolo", F28)), ISNUMBER(SEARCH("SUPERMERCADO", F28))), "6.1 Despesas Administrativas (Pessoal)", IF(OR(ISNUMBER(SEARCH("DLKNET", F28)), ISNUMBER(SEARCH("TESTE", F28))), "6.1 Despesas Administrativas (Gerais)", IFERROR(VLOOKUP(H28, De_Para!A:B, 2, FALSE), "NÃO MAPEADO"))), IFERROR(VLOOKUP(H28, De_Para!A:B, 2, FALSE), "NÃO MAPEADO"))</f>
        <v/>
      </c>
    </row>
    <row r="29">
      <c r="A29" s="2" t="inlineStr">
        <is>
          <t>69670</t>
        </is>
      </c>
      <c r="B29" s="2" t="inlineStr">
        <is>
          <t>Sicoob</t>
        </is>
      </c>
      <c r="C29" s="2" t="inlineStr">
        <is>
          <t>30/06/2026</t>
        </is>
      </c>
      <c r="D29" s="2" t="inlineStr">
        <is>
          <t>30/06/2026</t>
        </is>
      </c>
      <c r="E29" s="2" t="inlineStr">
        <is>
          <t>Dinheiro</t>
        </is>
      </c>
      <c r="F29" s="2" t="inlineStr">
        <is>
          <t>Boleto "55145" do cliente "TIAGO APARECIDO DA SILVA"</t>
        </is>
      </c>
      <c r="G29" s="2" t="inlineStr">
        <is>
          <t>system</t>
        </is>
      </c>
      <c r="H29" s="2" t="inlineStr">
        <is>
          <t>01.01.01 : Mensalidade</t>
        </is>
      </c>
      <c r="I29" s="3" t="n">
        <v>107.27</v>
      </c>
      <c r="J29" s="2" t="n"/>
      <c r="K29" s="2">
        <f>IF(H29="02.09 : Outras Saídas", IF(OR(ISNUMBER(SEARCH("CHEQUE COMPE SICREDI", F29)), ISNUMBER(SEARCH("aniversario", F29)), ISNUMBER(SEARCH("churrasco", F29)), ISNUMBER(SEARCH("bolo", F29)), ISNUMBER(SEARCH("SUPERMERCADO", F29))), "6.1 Despesas Administrativas (Pessoal)", IF(OR(ISNUMBER(SEARCH("DLKNET", F29)), ISNUMBER(SEARCH("TESTE", F29))), "6.1 Despesas Administrativas (Gerais)", IFERROR(VLOOKUP(H29, De_Para!A:B, 2, FALSE), "NÃO MAPEADO"))), IFERROR(VLOOKUP(H29, De_Para!A:B, 2, FALSE), "NÃO MAPEADO"))</f>
        <v/>
      </c>
    </row>
    <row r="30">
      <c r="A30" s="2" t="inlineStr">
        <is>
          <t>69669</t>
        </is>
      </c>
      <c r="B30" s="2" t="inlineStr">
        <is>
          <t>Sicredi SNI</t>
        </is>
      </c>
      <c r="C30" s="2" t="inlineStr">
        <is>
          <t>30/06/2026</t>
        </is>
      </c>
      <c r="D30" s="2" t="inlineStr">
        <is>
          <t>30/06/2026</t>
        </is>
      </c>
      <c r="E30" s="2" t="inlineStr">
        <is>
          <t>PIX</t>
        </is>
      </c>
      <c r="F30" s="2" t="inlineStr">
        <is>
          <t>Boleto "54988" do cliente "ALEX GOES RIBEIRO"</t>
        </is>
      </c>
      <c r="G30" s="2" t="inlineStr">
        <is>
          <t>system</t>
        </is>
      </c>
      <c r="H30" s="2" t="inlineStr">
        <is>
          <t>02.03.02.01 : Cobrança Bancaria</t>
        </is>
      </c>
      <c r="I30" s="2" t="n"/>
      <c r="J30" s="3" t="n">
        <v>-0.49</v>
      </c>
      <c r="K30" s="2">
        <f>IF(H30="02.09 : Outras Saídas", IF(OR(ISNUMBER(SEARCH("CHEQUE COMPE SICREDI", F30)), ISNUMBER(SEARCH("aniversario", F30)), ISNUMBER(SEARCH("churrasco", F30)), ISNUMBER(SEARCH("bolo", F30)), ISNUMBER(SEARCH("SUPERMERCADO", F30))), "6.1 Despesas Administrativas (Pessoal)", IF(OR(ISNUMBER(SEARCH("DLKNET", F30)), ISNUMBER(SEARCH("TESTE", F30))), "6.1 Despesas Administrativas (Gerais)", IFERROR(VLOOKUP(H30, De_Para!A:B, 2, FALSE), "NÃO MAPEADO"))), IFERROR(VLOOKUP(H30, De_Para!A:B, 2, FALSE), "NÃO MAPEADO"))</f>
        <v/>
      </c>
    </row>
    <row r="31">
      <c r="A31" s="2" t="inlineStr">
        <is>
          <t>69668</t>
        </is>
      </c>
      <c r="B31" s="2" t="inlineStr">
        <is>
          <t>Sicredi SNI</t>
        </is>
      </c>
      <c r="C31" s="2" t="inlineStr">
        <is>
          <t>30/06/2026</t>
        </is>
      </c>
      <c r="D31" s="2" t="inlineStr">
        <is>
          <t>30/06/2026</t>
        </is>
      </c>
      <c r="E31" s="2" t="inlineStr">
        <is>
          <t>PIX</t>
        </is>
      </c>
      <c r="F31" s="2" t="inlineStr">
        <is>
          <t>Boleto "54988" do cliente "ALEX GOES RIBEIRO"</t>
        </is>
      </c>
      <c r="G31" s="2" t="inlineStr">
        <is>
          <t>system</t>
        </is>
      </c>
      <c r="H31" s="2" t="inlineStr">
        <is>
          <t>01.01.01 : Mensalidade</t>
        </is>
      </c>
      <c r="I31" s="3" t="n">
        <v>107.45</v>
      </c>
      <c r="J31" s="2" t="n"/>
      <c r="K31" s="2">
        <f>IF(H31="02.09 : Outras Saídas", IF(OR(ISNUMBER(SEARCH("CHEQUE COMPE SICREDI", F31)), ISNUMBER(SEARCH("aniversario", F31)), ISNUMBER(SEARCH("churrasco", F31)), ISNUMBER(SEARCH("bolo", F31)), ISNUMBER(SEARCH("SUPERMERCADO", F31))), "6.1 Despesas Administrativas (Pessoal)", IF(OR(ISNUMBER(SEARCH("DLKNET", F31)), ISNUMBER(SEARCH("TESTE", F31))), "6.1 Despesas Administrativas (Gerais)", IFERROR(VLOOKUP(H31, De_Para!A:B, 2, FALSE), "NÃO MAPEADO"))), IFERROR(VLOOKUP(H31, De_Para!A:B, 2, FALSE), "NÃO MAPEADO"))</f>
        <v/>
      </c>
    </row>
    <row r="32">
      <c r="A32" s="2" t="inlineStr">
        <is>
          <t>69667</t>
        </is>
      </c>
      <c r="B32" s="2" t="inlineStr">
        <is>
          <t>Sicoob</t>
        </is>
      </c>
      <c r="C32" s="2" t="inlineStr">
        <is>
          <t>30/06/2026</t>
        </is>
      </c>
      <c r="D32" s="2" t="inlineStr">
        <is>
          <t>29/06/2026</t>
        </is>
      </c>
      <c r="E32" s="2" t="inlineStr">
        <is>
          <t>Débito em Conta</t>
        </is>
      </c>
      <c r="F32" s="2" t="inlineStr">
        <is>
          <t>TARIFA COBRANÇA</t>
        </is>
      </c>
      <c r="G32" s="2" t="inlineStr">
        <is>
          <t>clau</t>
        </is>
      </c>
      <c r="H32" s="2" t="inlineStr">
        <is>
          <t>02.03.03.01 : Tarifas Bancarias</t>
        </is>
      </c>
      <c r="I32" s="2" t="n"/>
      <c r="J32" s="3" t="n">
        <v>-5.62</v>
      </c>
      <c r="K32" s="2">
        <f>IF(H32="02.09 : Outras Saídas", IF(OR(ISNUMBER(SEARCH("CHEQUE COMPE SICREDI", F32)), ISNUMBER(SEARCH("aniversario", F32)), ISNUMBER(SEARCH("churrasco", F32)), ISNUMBER(SEARCH("bolo", F32)), ISNUMBER(SEARCH("SUPERMERCADO", F32))), "6.1 Despesas Administrativas (Pessoal)", IF(OR(ISNUMBER(SEARCH("DLKNET", F32)), ISNUMBER(SEARCH("TESTE", F32))), "6.1 Despesas Administrativas (Gerais)", IFERROR(VLOOKUP(H32, De_Para!A:B, 2, FALSE), "NÃO MAPEADO"))), IFERROR(VLOOKUP(H32, De_Para!A:B, 2, FALSE), "NÃO MAPEADO"))</f>
        <v/>
      </c>
    </row>
    <row r="33">
      <c r="A33" s="2" t="inlineStr">
        <is>
          <t>69666</t>
        </is>
      </c>
      <c r="B33" s="2" t="inlineStr">
        <is>
          <t>Sicoob</t>
        </is>
      </c>
      <c r="C33" s="2" t="inlineStr">
        <is>
          <t>30/06/2026</t>
        </is>
      </c>
      <c r="D33" s="2" t="inlineStr">
        <is>
          <t>29/06/2026</t>
        </is>
      </c>
      <c r="E33" s="2" t="inlineStr">
        <is>
          <t>PIX</t>
        </is>
      </c>
      <c r="F33" s="2" t="inlineStr">
        <is>
          <t>PIX EMITIDO OUTRA IF_x000D_
Pagamento Pix_x000D_
04.368.898 0001-06</t>
        </is>
      </c>
      <c r="G33" s="2" t="inlineStr">
        <is>
          <t>clau</t>
        </is>
      </c>
      <c r="H33" s="2" t="inlineStr">
        <is>
          <t>02.03.04.07 : ALUGUEL POSTE</t>
        </is>
      </c>
      <c r="I33" s="2" t="n"/>
      <c r="J33" s="3" t="n">
        <v>-5929.6</v>
      </c>
      <c r="K33" s="2">
        <f>IF(H33="02.09 : Outras Saídas", IF(OR(ISNUMBER(SEARCH("CHEQUE COMPE SICREDI", F33)), ISNUMBER(SEARCH("aniversario", F33)), ISNUMBER(SEARCH("churrasco", F33)), ISNUMBER(SEARCH("bolo", F33)), ISNUMBER(SEARCH("SUPERMERCADO", F33))), "6.1 Despesas Administrativas (Pessoal)", IF(OR(ISNUMBER(SEARCH("DLKNET", F33)), ISNUMBER(SEARCH("TESTE", F33))), "6.1 Despesas Administrativas (Gerais)", IFERROR(VLOOKUP(H33, De_Para!A:B, 2, FALSE), "NÃO MAPEADO"))), IFERROR(VLOOKUP(H33, De_Para!A:B, 2, FALSE), "NÃO MAPEADO"))</f>
        <v/>
      </c>
    </row>
    <row r="34">
      <c r="A34" s="2" t="inlineStr">
        <is>
          <t>69665</t>
        </is>
      </c>
      <c r="B34" s="2" t="inlineStr">
        <is>
          <t>Sicredi SNI</t>
        </is>
      </c>
      <c r="C34" s="2" t="inlineStr">
        <is>
          <t>30/06/2026</t>
        </is>
      </c>
      <c r="D34" s="2" t="inlineStr">
        <is>
          <t>30/06/2026</t>
        </is>
      </c>
      <c r="E34" s="2" t="inlineStr">
        <is>
          <t>Débito em Conta</t>
        </is>
      </c>
      <c r="F34" s="2" t="inlineStr">
        <is>
          <t>PIX EMITIDO OUTRA IF_x000D_
Pagamento Pix_x000D_
04.368.898 0001-06</t>
        </is>
      </c>
      <c r="G34" s="2" t="inlineStr">
        <is>
          <t>clau</t>
        </is>
      </c>
      <c r="H34" s="2" t="inlineStr">
        <is>
          <t>02.03.03.01 : Tarifas Bancarias</t>
        </is>
      </c>
      <c r="I34" s="2" t="n"/>
      <c r="J34" s="3" t="n">
        <v>-13.52</v>
      </c>
      <c r="K34" s="2">
        <f>IF(H34="02.09 : Outras Saídas", IF(OR(ISNUMBER(SEARCH("CHEQUE COMPE SICREDI", F34)), ISNUMBER(SEARCH("aniversario", F34)), ISNUMBER(SEARCH("churrasco", F34)), ISNUMBER(SEARCH("bolo", F34)), ISNUMBER(SEARCH("SUPERMERCADO", F34))), "6.1 Despesas Administrativas (Pessoal)", IF(OR(ISNUMBER(SEARCH("DLKNET", F34)), ISNUMBER(SEARCH("TESTE", F34))), "6.1 Despesas Administrativas (Gerais)", IFERROR(VLOOKUP(H34, De_Para!A:B, 2, FALSE), "NÃO MAPEADO"))), IFERROR(VLOOKUP(H34, De_Para!A:B, 2, FALSE), "NÃO MAPEADO"))</f>
        <v/>
      </c>
    </row>
    <row r="35">
      <c r="A35" s="2" t="inlineStr">
        <is>
          <t>69664</t>
        </is>
      </c>
      <c r="B35" s="2" t="inlineStr">
        <is>
          <t>Sicoob</t>
        </is>
      </c>
      <c r="C35" s="2" t="inlineStr">
        <is>
          <t>30/06/2026</t>
        </is>
      </c>
      <c r="D35" s="2" t="inlineStr">
        <is>
          <t>30/06/2026</t>
        </is>
      </c>
      <c r="E35" s="2" t="inlineStr">
        <is>
          <t>PIX</t>
        </is>
      </c>
      <c r="F35" s="2" t="inlineStr">
        <is>
          <t>PIX EMITIDO OUTRA IF - MESMA TIT._x000D_
Pagamento Pix_x000D_
10.145.409 0001-50</t>
        </is>
      </c>
      <c r="G35" s="2" t="inlineStr">
        <is>
          <t>clau</t>
        </is>
      </c>
      <c r="H35" s="2" t="inlineStr">
        <is>
          <t>03.02 : TRANSFERENCIA ENTRE CONTAS</t>
        </is>
      </c>
      <c r="I35" s="2" t="n"/>
      <c r="J35" s="3" t="n">
        <v>-2250</v>
      </c>
      <c r="K35" s="2">
        <f>IF(H35="02.09 : Outras Saídas", IF(OR(ISNUMBER(SEARCH("CHEQUE COMPE SICREDI", F35)), ISNUMBER(SEARCH("aniversario", F35)), ISNUMBER(SEARCH("churrasco", F35)), ISNUMBER(SEARCH("bolo", F35)), ISNUMBER(SEARCH("SUPERMERCADO", F35))), "6.1 Despesas Administrativas (Pessoal)", IF(OR(ISNUMBER(SEARCH("DLKNET", F35)), ISNUMBER(SEARCH("TESTE", F35))), "6.1 Despesas Administrativas (Gerais)", IFERROR(VLOOKUP(H35, De_Para!A:B, 2, FALSE), "NÃO MAPEADO"))), IFERROR(VLOOKUP(H35, De_Para!A:B, 2, FALSE), "NÃO MAPEADO"))</f>
        <v/>
      </c>
    </row>
    <row r="36">
      <c r="A36" s="2" t="inlineStr">
        <is>
          <t>69663</t>
        </is>
      </c>
      <c r="B36" s="2" t="inlineStr">
        <is>
          <t>Sicredi SNI</t>
        </is>
      </c>
      <c r="C36" s="2" t="inlineStr">
        <is>
          <t>30/06/2026</t>
        </is>
      </c>
      <c r="D36" s="2" t="inlineStr">
        <is>
          <t>30/06/2026</t>
        </is>
      </c>
      <c r="E36" s="2" t="inlineStr">
        <is>
          <t>Dinheiro</t>
        </is>
      </c>
      <c r="F36" s="2" t="inlineStr">
        <is>
          <t>Boleto "66667" do cliente "LAURINDA DAS DORES IZIDORO"</t>
        </is>
      </c>
      <c r="G36" s="2" t="inlineStr">
        <is>
          <t>system</t>
        </is>
      </c>
      <c r="H36" s="2" t="inlineStr">
        <is>
          <t>02.03.02.01 : Cobrança Bancaria</t>
        </is>
      </c>
      <c r="I36" s="2" t="n"/>
      <c r="J36" s="3" t="n">
        <v>-1.08</v>
      </c>
      <c r="K36" s="2">
        <f>IF(H36="02.09 : Outras Saídas", IF(OR(ISNUMBER(SEARCH("CHEQUE COMPE SICREDI", F36)), ISNUMBER(SEARCH("aniversario", F36)), ISNUMBER(SEARCH("churrasco", F36)), ISNUMBER(SEARCH("bolo", F36)), ISNUMBER(SEARCH("SUPERMERCADO", F36))), "6.1 Despesas Administrativas (Pessoal)", IF(OR(ISNUMBER(SEARCH("DLKNET", F36)), ISNUMBER(SEARCH("TESTE", F36))), "6.1 Despesas Administrativas (Gerais)", IFERROR(VLOOKUP(H36, De_Para!A:B, 2, FALSE), "NÃO MAPEADO"))), IFERROR(VLOOKUP(H36, De_Para!A:B, 2, FALSE), "NÃO MAPEADO"))</f>
        <v/>
      </c>
    </row>
    <row r="37">
      <c r="A37" s="2" t="inlineStr">
        <is>
          <t>69662</t>
        </is>
      </c>
      <c r="B37" s="2" t="inlineStr">
        <is>
          <t>Sicredi SNI</t>
        </is>
      </c>
      <c r="C37" s="2" t="inlineStr">
        <is>
          <t>30/06/2026</t>
        </is>
      </c>
      <c r="D37" s="2" t="inlineStr">
        <is>
          <t>30/06/2026</t>
        </is>
      </c>
      <c r="E37" s="2" t="inlineStr">
        <is>
          <t>Dinheiro</t>
        </is>
      </c>
      <c r="F37" s="2" t="inlineStr">
        <is>
          <t>Boleto "66667" do cliente "LAURINDA DAS DORES IZIDORO"</t>
        </is>
      </c>
      <c r="G37" s="2" t="inlineStr">
        <is>
          <t>system</t>
        </is>
      </c>
      <c r="H37" s="2" t="inlineStr">
        <is>
          <t>01.01.01 : Mensalidade</t>
        </is>
      </c>
      <c r="I37" s="3" t="n">
        <v>104.9</v>
      </c>
      <c r="J37" s="2" t="n"/>
      <c r="K37" s="2">
        <f>IF(H37="02.09 : Outras Saídas", IF(OR(ISNUMBER(SEARCH("CHEQUE COMPE SICREDI", F37)), ISNUMBER(SEARCH("aniversario", F37)), ISNUMBER(SEARCH("churrasco", F37)), ISNUMBER(SEARCH("bolo", F37)), ISNUMBER(SEARCH("SUPERMERCADO", F37))), "6.1 Despesas Administrativas (Pessoal)", IF(OR(ISNUMBER(SEARCH("DLKNET", F37)), ISNUMBER(SEARCH("TESTE", F37))), "6.1 Despesas Administrativas (Gerais)", IFERROR(VLOOKUP(H37, De_Para!A:B, 2, FALSE), "NÃO MAPEADO"))), IFERROR(VLOOKUP(H37, De_Para!A:B, 2, FALSE), "NÃO MAPEADO"))</f>
        <v/>
      </c>
    </row>
    <row r="38">
      <c r="A38" s="2" t="inlineStr">
        <is>
          <t>69661</t>
        </is>
      </c>
      <c r="B38" s="2" t="inlineStr">
        <is>
          <t>Sicredi SNI</t>
        </is>
      </c>
      <c r="C38" s="2" t="inlineStr">
        <is>
          <t>30/06/2026</t>
        </is>
      </c>
      <c r="D38" s="2" t="inlineStr">
        <is>
          <t>30/06/2026</t>
        </is>
      </c>
      <c r="E38" s="2" t="inlineStr">
        <is>
          <t>PIX</t>
        </is>
      </c>
      <c r="F38" s="2" t="inlineStr">
        <is>
          <t>Boleto "63097" do cliente "MARIA APARECIDA BREKE BONDARYK"</t>
        </is>
      </c>
      <c r="G38" s="2" t="inlineStr">
        <is>
          <t>system</t>
        </is>
      </c>
      <c r="H38" s="2" t="inlineStr">
        <is>
          <t>02.03.02.01 : Cobrança Bancaria</t>
        </is>
      </c>
      <c r="I38" s="2" t="n"/>
      <c r="J38" s="3" t="n">
        <v>-0.49</v>
      </c>
      <c r="K38" s="2">
        <f>IF(H38="02.09 : Outras Saídas", IF(OR(ISNUMBER(SEARCH("CHEQUE COMPE SICREDI", F38)), ISNUMBER(SEARCH("aniversario", F38)), ISNUMBER(SEARCH("churrasco", F38)), ISNUMBER(SEARCH("bolo", F38)), ISNUMBER(SEARCH("SUPERMERCADO", F38))), "6.1 Despesas Administrativas (Pessoal)", IF(OR(ISNUMBER(SEARCH("DLKNET", F38)), ISNUMBER(SEARCH("TESTE", F38))), "6.1 Despesas Administrativas (Gerais)", IFERROR(VLOOKUP(H38, De_Para!A:B, 2, FALSE), "NÃO MAPEADO"))), IFERROR(VLOOKUP(H38, De_Para!A:B, 2, FALSE), "NÃO MAPEADO"))</f>
        <v/>
      </c>
    </row>
    <row r="39">
      <c r="A39" s="2" t="inlineStr">
        <is>
          <t>69660</t>
        </is>
      </c>
      <c r="B39" s="2" t="inlineStr">
        <is>
          <t>Sicredi SNI</t>
        </is>
      </c>
      <c r="C39" s="2" t="inlineStr">
        <is>
          <t>30/06/2026</t>
        </is>
      </c>
      <c r="D39" s="2" t="inlineStr">
        <is>
          <t>30/06/2026</t>
        </is>
      </c>
      <c r="E39" s="2" t="inlineStr">
        <is>
          <t>PIX</t>
        </is>
      </c>
      <c r="F39" s="2" t="inlineStr">
        <is>
          <t>Boleto "63097" do cliente "MARIA APARECIDA BREKE BONDARYK"</t>
        </is>
      </c>
      <c r="G39" s="2" t="inlineStr">
        <is>
          <t>system</t>
        </is>
      </c>
      <c r="H39" s="2" t="inlineStr">
        <is>
          <t>01.01.01 : Mensalidade</t>
        </is>
      </c>
      <c r="I39" s="3" t="n">
        <v>104.9</v>
      </c>
      <c r="J39" s="2" t="n"/>
      <c r="K39" s="2">
        <f>IF(H39="02.09 : Outras Saídas", IF(OR(ISNUMBER(SEARCH("CHEQUE COMPE SICREDI", F39)), ISNUMBER(SEARCH("aniversario", F39)), ISNUMBER(SEARCH("churrasco", F39)), ISNUMBER(SEARCH("bolo", F39)), ISNUMBER(SEARCH("SUPERMERCADO", F39))), "6.1 Despesas Administrativas (Pessoal)", IF(OR(ISNUMBER(SEARCH("DLKNET", F39)), ISNUMBER(SEARCH("TESTE", F39))), "6.1 Despesas Administrativas (Gerais)", IFERROR(VLOOKUP(H39, De_Para!A:B, 2, FALSE), "NÃO MAPEADO"))), IFERROR(VLOOKUP(H39, De_Para!A:B, 2, FALSE), "NÃO MAPEADO"))</f>
        <v/>
      </c>
    </row>
    <row r="40">
      <c r="A40" s="2" t="inlineStr">
        <is>
          <t>69659</t>
        </is>
      </c>
      <c r="B40" s="2" t="inlineStr">
        <is>
          <t>Sicoob</t>
        </is>
      </c>
      <c r="C40" s="2" t="inlineStr">
        <is>
          <t>30/06/2026</t>
        </is>
      </c>
      <c r="D40" s="2" t="inlineStr">
        <is>
          <t>30/06/2026</t>
        </is>
      </c>
      <c r="E40" s="2" t="inlineStr">
        <is>
          <t>Dinheiro</t>
        </is>
      </c>
      <c r="F40" s="2" t="inlineStr">
        <is>
          <t>Boleto "57569" do cliente "MARIA LÚCIA BATISTA DOS REIS"</t>
        </is>
      </c>
      <c r="G40" s="2" t="inlineStr">
        <is>
          <t>system</t>
        </is>
      </c>
      <c r="H40" s="2" t="inlineStr">
        <is>
          <t>02.03.02.01 : Cobrança Bancaria</t>
        </is>
      </c>
      <c r="I40" s="2" t="n"/>
      <c r="J40" s="3" t="n">
        <v>-0.88</v>
      </c>
      <c r="K40" s="2">
        <f>IF(H40="02.09 : Outras Saídas", IF(OR(ISNUMBER(SEARCH("CHEQUE COMPE SICREDI", F40)), ISNUMBER(SEARCH("aniversario", F40)), ISNUMBER(SEARCH("churrasco", F40)), ISNUMBER(SEARCH("bolo", F40)), ISNUMBER(SEARCH("SUPERMERCADO", F40))), "6.1 Despesas Administrativas (Pessoal)", IF(OR(ISNUMBER(SEARCH("DLKNET", F40)), ISNUMBER(SEARCH("TESTE", F40))), "6.1 Despesas Administrativas (Gerais)", IFERROR(VLOOKUP(H40, De_Para!A:B, 2, FALSE), "NÃO MAPEADO"))), IFERROR(VLOOKUP(H40, De_Para!A:B, 2, FALSE), "NÃO MAPEADO"))</f>
        <v/>
      </c>
    </row>
    <row r="41">
      <c r="A41" s="2" t="inlineStr">
        <is>
          <t>69658</t>
        </is>
      </c>
      <c r="B41" s="2" t="inlineStr">
        <is>
          <t>Sicoob</t>
        </is>
      </c>
      <c r="C41" s="2" t="inlineStr">
        <is>
          <t>30/06/2026</t>
        </is>
      </c>
      <c r="D41" s="2" t="inlineStr">
        <is>
          <t>30/06/2026</t>
        </is>
      </c>
      <c r="E41" s="2" t="inlineStr">
        <is>
          <t>Dinheiro</t>
        </is>
      </c>
      <c r="F41" s="2" t="inlineStr">
        <is>
          <t>Boleto "57569" do cliente "MARIA LÚCIA BATISTA DOS REIS"</t>
        </is>
      </c>
      <c r="G41" s="2" t="inlineStr">
        <is>
          <t>system</t>
        </is>
      </c>
      <c r="H41" s="2" t="inlineStr">
        <is>
          <t>01.01.01 : Mensalidade</t>
        </is>
      </c>
      <c r="I41" s="3" t="n">
        <v>80</v>
      </c>
      <c r="J41" s="2" t="n"/>
      <c r="K41" s="2">
        <f>IF(H41="02.09 : Outras Saídas", IF(OR(ISNUMBER(SEARCH("CHEQUE COMPE SICREDI", F41)), ISNUMBER(SEARCH("aniversario", F41)), ISNUMBER(SEARCH("churrasco", F41)), ISNUMBER(SEARCH("bolo", F41)), ISNUMBER(SEARCH("SUPERMERCADO", F41))), "6.1 Despesas Administrativas (Pessoal)", IF(OR(ISNUMBER(SEARCH("DLKNET", F41)), ISNUMBER(SEARCH("TESTE", F41))), "6.1 Despesas Administrativas (Gerais)", IFERROR(VLOOKUP(H41, De_Para!A:B, 2, FALSE), "NÃO MAPEADO"))), IFERROR(VLOOKUP(H41, De_Para!A:B, 2, FALSE), "NÃO MAPEADO"))</f>
        <v/>
      </c>
    </row>
    <row r="42">
      <c r="A42" s="2" t="inlineStr">
        <is>
          <t>69657</t>
        </is>
      </c>
      <c r="B42" s="2" t="inlineStr">
        <is>
          <t>Sicoob</t>
        </is>
      </c>
      <c r="C42" s="2" t="inlineStr">
        <is>
          <t>30/06/2026</t>
        </is>
      </c>
      <c r="D42" s="2" t="inlineStr">
        <is>
          <t>30/06/2026</t>
        </is>
      </c>
      <c r="E42" s="2" t="inlineStr">
        <is>
          <t>Dinheiro</t>
        </is>
      </c>
      <c r="F42" s="2" t="inlineStr">
        <is>
          <t>Boleto "57371" do cliente "SEBASTIAO DONIZETE DE FARIA"</t>
        </is>
      </c>
      <c r="G42" s="2" t="inlineStr">
        <is>
          <t>system</t>
        </is>
      </c>
      <c r="H42" s="2" t="inlineStr">
        <is>
          <t>02.03.02.01 : Cobrança Bancaria</t>
        </is>
      </c>
      <c r="I42" s="2" t="n"/>
      <c r="J42" s="3" t="n">
        <v>-0.88</v>
      </c>
      <c r="K42" s="2">
        <f>IF(H42="02.09 : Outras Saídas", IF(OR(ISNUMBER(SEARCH("CHEQUE COMPE SICREDI", F42)), ISNUMBER(SEARCH("aniversario", F42)), ISNUMBER(SEARCH("churrasco", F42)), ISNUMBER(SEARCH("bolo", F42)), ISNUMBER(SEARCH("SUPERMERCADO", F42))), "6.1 Despesas Administrativas (Pessoal)", IF(OR(ISNUMBER(SEARCH("DLKNET", F42)), ISNUMBER(SEARCH("TESTE", F42))), "6.1 Despesas Administrativas (Gerais)", IFERROR(VLOOKUP(H42, De_Para!A:B, 2, FALSE), "NÃO MAPEADO"))), IFERROR(VLOOKUP(H42, De_Para!A:B, 2, FALSE), "NÃO MAPEADO"))</f>
        <v/>
      </c>
    </row>
    <row r="43">
      <c r="A43" s="2" t="inlineStr">
        <is>
          <t>69656</t>
        </is>
      </c>
      <c r="B43" s="2" t="inlineStr">
        <is>
          <t>Sicoob</t>
        </is>
      </c>
      <c r="C43" s="2" t="inlineStr">
        <is>
          <t>30/06/2026</t>
        </is>
      </c>
      <c r="D43" s="2" t="inlineStr">
        <is>
          <t>30/06/2026</t>
        </is>
      </c>
      <c r="E43" s="2" t="inlineStr">
        <is>
          <t>Dinheiro</t>
        </is>
      </c>
      <c r="F43" s="2" t="inlineStr">
        <is>
          <t>Boleto "57371" do cliente "SEBASTIAO DONIZETE DE FARIA"</t>
        </is>
      </c>
      <c r="G43" s="2" t="inlineStr">
        <is>
          <t>system</t>
        </is>
      </c>
      <c r="H43" s="2" t="inlineStr">
        <is>
          <t>01.01.01 : Mensalidade</t>
        </is>
      </c>
      <c r="I43" s="3" t="n">
        <v>105</v>
      </c>
      <c r="J43" s="2" t="n"/>
      <c r="K43" s="2">
        <f>IF(H43="02.09 : Outras Saídas", IF(OR(ISNUMBER(SEARCH("CHEQUE COMPE SICREDI", F43)), ISNUMBER(SEARCH("aniversario", F43)), ISNUMBER(SEARCH("churrasco", F43)), ISNUMBER(SEARCH("bolo", F43)), ISNUMBER(SEARCH("SUPERMERCADO", F43))), "6.1 Despesas Administrativas (Pessoal)", IF(OR(ISNUMBER(SEARCH("DLKNET", F43)), ISNUMBER(SEARCH("TESTE", F43))), "6.1 Despesas Administrativas (Gerais)", IFERROR(VLOOKUP(H43, De_Para!A:B, 2, FALSE), "NÃO MAPEADO"))), IFERROR(VLOOKUP(H43, De_Para!A:B, 2, FALSE), "NÃO MAPEADO"))</f>
        <v/>
      </c>
    </row>
    <row r="44">
      <c r="A44" s="2" t="inlineStr">
        <is>
          <t>69655</t>
        </is>
      </c>
      <c r="B44" s="2" t="inlineStr">
        <is>
          <t>Sicoob</t>
        </is>
      </c>
      <c r="C44" s="2" t="inlineStr">
        <is>
          <t>30/06/2026</t>
        </is>
      </c>
      <c r="D44" s="2" t="inlineStr">
        <is>
          <t>30/06/2026</t>
        </is>
      </c>
      <c r="E44" s="2" t="inlineStr">
        <is>
          <t>Dinheiro</t>
        </is>
      </c>
      <c r="F44" s="2" t="inlineStr">
        <is>
          <t>Boleto "67854" do cliente "NEUZA FERNANDES"</t>
        </is>
      </c>
      <c r="G44" s="2" t="inlineStr">
        <is>
          <t>system</t>
        </is>
      </c>
      <c r="H44" s="2" t="inlineStr">
        <is>
          <t>02.03.02.01 : Cobrança Bancaria</t>
        </is>
      </c>
      <c r="I44" s="2" t="n"/>
      <c r="J44" s="3" t="n">
        <v>-0.88</v>
      </c>
      <c r="K44" s="2">
        <f>IF(H44="02.09 : Outras Saídas", IF(OR(ISNUMBER(SEARCH("CHEQUE COMPE SICREDI", F44)), ISNUMBER(SEARCH("aniversario", F44)), ISNUMBER(SEARCH("churrasco", F44)), ISNUMBER(SEARCH("bolo", F44)), ISNUMBER(SEARCH("SUPERMERCADO", F44))), "6.1 Despesas Administrativas (Pessoal)", IF(OR(ISNUMBER(SEARCH("DLKNET", F44)), ISNUMBER(SEARCH("TESTE", F44))), "6.1 Despesas Administrativas (Gerais)", IFERROR(VLOOKUP(H44, De_Para!A:B, 2, FALSE), "NÃO MAPEADO"))), IFERROR(VLOOKUP(H44, De_Para!A:B, 2, FALSE), "NÃO MAPEADO"))</f>
        <v/>
      </c>
    </row>
    <row r="45">
      <c r="A45" s="2" t="inlineStr">
        <is>
          <t>69654</t>
        </is>
      </c>
      <c r="B45" s="2" t="inlineStr">
        <is>
          <t>Sicoob</t>
        </is>
      </c>
      <c r="C45" s="2" t="inlineStr">
        <is>
          <t>30/06/2026</t>
        </is>
      </c>
      <c r="D45" s="2" t="inlineStr">
        <is>
          <t>30/06/2026</t>
        </is>
      </c>
      <c r="E45" s="2" t="inlineStr">
        <is>
          <t>Dinheiro</t>
        </is>
      </c>
      <c r="F45" s="2" t="inlineStr">
        <is>
          <t>Boleto "67854" do cliente "NEUZA FERNANDES"</t>
        </is>
      </c>
      <c r="G45" s="2" t="inlineStr">
        <is>
          <t>system</t>
        </is>
      </c>
      <c r="H45" s="2" t="inlineStr">
        <is>
          <t>01.01.01 : Mensalidade</t>
        </is>
      </c>
      <c r="I45" s="3" t="n">
        <v>104.9</v>
      </c>
      <c r="J45" s="2" t="n"/>
      <c r="K45" s="2">
        <f>IF(H45="02.09 : Outras Saídas", IF(OR(ISNUMBER(SEARCH("CHEQUE COMPE SICREDI", F45)), ISNUMBER(SEARCH("aniversario", F45)), ISNUMBER(SEARCH("churrasco", F45)), ISNUMBER(SEARCH("bolo", F45)), ISNUMBER(SEARCH("SUPERMERCADO", F45))), "6.1 Despesas Administrativas (Pessoal)", IF(OR(ISNUMBER(SEARCH("DLKNET", F45)), ISNUMBER(SEARCH("TESTE", F45))), "6.1 Despesas Administrativas (Gerais)", IFERROR(VLOOKUP(H45, De_Para!A:B, 2, FALSE), "NÃO MAPEADO"))), IFERROR(VLOOKUP(H45, De_Para!A:B, 2, FALSE), "NÃO MAPEADO"))</f>
        <v/>
      </c>
    </row>
    <row r="46">
      <c r="A46" s="2" t="inlineStr">
        <is>
          <t>69653</t>
        </is>
      </c>
      <c r="B46" s="2" t="inlineStr">
        <is>
          <t>Sicredi SNI</t>
        </is>
      </c>
      <c r="C46" s="2" t="inlineStr">
        <is>
          <t>30/06/2026</t>
        </is>
      </c>
      <c r="D46" s="2" t="inlineStr">
        <is>
          <t>30/06/2026</t>
        </is>
      </c>
      <c r="E46" s="2" t="inlineStr">
        <is>
          <t>PIX</t>
        </is>
      </c>
      <c r="F46" s="2" t="inlineStr">
        <is>
          <t>Boleto "72786" do cliente "VALDECIR APARECIDO DA SILVA"</t>
        </is>
      </c>
      <c r="G46" s="2" t="inlineStr">
        <is>
          <t>system</t>
        </is>
      </c>
      <c r="H46" s="2" t="inlineStr">
        <is>
          <t>02.03.02.01 : Cobrança Bancaria</t>
        </is>
      </c>
      <c r="I46" s="2" t="n"/>
      <c r="J46" s="3" t="n">
        <v>-0.49</v>
      </c>
      <c r="K46" s="2">
        <f>IF(H46="02.09 : Outras Saídas", IF(OR(ISNUMBER(SEARCH("CHEQUE COMPE SICREDI", F46)), ISNUMBER(SEARCH("aniversario", F46)), ISNUMBER(SEARCH("churrasco", F46)), ISNUMBER(SEARCH("bolo", F46)), ISNUMBER(SEARCH("SUPERMERCADO", F46))), "6.1 Despesas Administrativas (Pessoal)", IF(OR(ISNUMBER(SEARCH("DLKNET", F46)), ISNUMBER(SEARCH("TESTE", F46))), "6.1 Despesas Administrativas (Gerais)", IFERROR(VLOOKUP(H46, De_Para!A:B, 2, FALSE), "NÃO MAPEADO"))), IFERROR(VLOOKUP(H46, De_Para!A:B, 2, FALSE), "NÃO MAPEADO"))</f>
        <v/>
      </c>
    </row>
    <row r="47">
      <c r="A47" s="2" t="inlineStr">
        <is>
          <t>69652</t>
        </is>
      </c>
      <c r="B47" s="2" t="inlineStr">
        <is>
          <t>Sicredi SNI</t>
        </is>
      </c>
      <c r="C47" s="2" t="inlineStr">
        <is>
          <t>30/06/2026</t>
        </is>
      </c>
      <c r="D47" s="2" t="inlineStr">
        <is>
          <t>30/06/2026</t>
        </is>
      </c>
      <c r="E47" s="2" t="inlineStr">
        <is>
          <t>PIX</t>
        </is>
      </c>
      <c r="F47" s="2" t="inlineStr">
        <is>
          <t>Boleto "72786" do cliente "VALDECIR APARECIDO DA SILVA"</t>
        </is>
      </c>
      <c r="G47" s="2" t="inlineStr">
        <is>
          <t>system</t>
        </is>
      </c>
      <c r="H47" s="2" t="inlineStr">
        <is>
          <t>01.01.01 : Mensalidade</t>
        </is>
      </c>
      <c r="I47" s="3" t="n">
        <v>40.33</v>
      </c>
      <c r="J47" s="2" t="n"/>
      <c r="K47" s="2">
        <f>IF(H47="02.09 : Outras Saídas", IF(OR(ISNUMBER(SEARCH("CHEQUE COMPE SICREDI", F47)), ISNUMBER(SEARCH("aniversario", F47)), ISNUMBER(SEARCH("churrasco", F47)), ISNUMBER(SEARCH("bolo", F47)), ISNUMBER(SEARCH("SUPERMERCADO", F47))), "6.1 Despesas Administrativas (Pessoal)", IF(OR(ISNUMBER(SEARCH("DLKNET", F47)), ISNUMBER(SEARCH("TESTE", F47))), "6.1 Despesas Administrativas (Gerais)", IFERROR(VLOOKUP(H47, De_Para!A:B, 2, FALSE), "NÃO MAPEADO"))), IFERROR(VLOOKUP(H47, De_Para!A:B, 2, FALSE), "NÃO MAPEADO"))</f>
        <v/>
      </c>
    </row>
    <row r="48">
      <c r="A48" s="2" t="inlineStr">
        <is>
          <t>69651</t>
        </is>
      </c>
      <c r="B48" s="2" t="inlineStr">
        <is>
          <t>Sicredi SNI</t>
        </is>
      </c>
      <c r="C48" s="2" t="inlineStr">
        <is>
          <t>30/06/2026</t>
        </is>
      </c>
      <c r="D48" s="2" t="inlineStr">
        <is>
          <t>30/06/2026</t>
        </is>
      </c>
      <c r="E48" s="2" t="inlineStr">
        <is>
          <t>PIX</t>
        </is>
      </c>
      <c r="F48" s="2" t="inlineStr">
        <is>
          <t>Boleto "60121" do cliente "LUIZ CARLOS DA SILVA"</t>
        </is>
      </c>
      <c r="G48" s="2" t="inlineStr">
        <is>
          <t>system</t>
        </is>
      </c>
      <c r="H48" s="2" t="inlineStr">
        <is>
          <t>02.03.02.01 : Cobrança Bancaria</t>
        </is>
      </c>
      <c r="I48" s="2" t="n"/>
      <c r="J48" s="3" t="n">
        <v>-0.49</v>
      </c>
      <c r="K48" s="2">
        <f>IF(H48="02.09 : Outras Saídas", IF(OR(ISNUMBER(SEARCH("CHEQUE COMPE SICREDI", F48)), ISNUMBER(SEARCH("aniversario", F48)), ISNUMBER(SEARCH("churrasco", F48)), ISNUMBER(SEARCH("bolo", F48)), ISNUMBER(SEARCH("SUPERMERCADO", F48))), "6.1 Despesas Administrativas (Pessoal)", IF(OR(ISNUMBER(SEARCH("DLKNET", F48)), ISNUMBER(SEARCH("TESTE", F48))), "6.1 Despesas Administrativas (Gerais)", IFERROR(VLOOKUP(H48, De_Para!A:B, 2, FALSE), "NÃO MAPEADO"))), IFERROR(VLOOKUP(H48, De_Para!A:B, 2, FALSE), "NÃO MAPEADO"))</f>
        <v/>
      </c>
    </row>
    <row r="49">
      <c r="A49" s="2" t="inlineStr">
        <is>
          <t>69650</t>
        </is>
      </c>
      <c r="B49" s="2" t="inlineStr">
        <is>
          <t>Sicredi SNI</t>
        </is>
      </c>
      <c r="C49" s="2" t="inlineStr">
        <is>
          <t>30/06/2026</t>
        </is>
      </c>
      <c r="D49" s="2" t="inlineStr">
        <is>
          <t>30/06/2026</t>
        </is>
      </c>
      <c r="E49" s="2" t="inlineStr">
        <is>
          <t>PIX</t>
        </is>
      </c>
      <c r="F49" s="2" t="inlineStr">
        <is>
          <t>Boleto "60121" do cliente "LUIZ CARLOS DA SILVA"</t>
        </is>
      </c>
      <c r="G49" s="2" t="inlineStr">
        <is>
          <t>system</t>
        </is>
      </c>
      <c r="H49" s="2" t="inlineStr">
        <is>
          <t>01.01.01 : Mensalidade</t>
        </is>
      </c>
      <c r="I49" s="3" t="n">
        <v>105</v>
      </c>
      <c r="J49" s="2" t="n"/>
      <c r="K49" s="2">
        <f>IF(H49="02.09 : Outras Saídas", IF(OR(ISNUMBER(SEARCH("CHEQUE COMPE SICREDI", F49)), ISNUMBER(SEARCH("aniversario", F49)), ISNUMBER(SEARCH("churrasco", F49)), ISNUMBER(SEARCH("bolo", F49)), ISNUMBER(SEARCH("SUPERMERCADO", F49))), "6.1 Despesas Administrativas (Pessoal)", IF(OR(ISNUMBER(SEARCH("DLKNET", F49)), ISNUMBER(SEARCH("TESTE", F49))), "6.1 Despesas Administrativas (Gerais)", IFERROR(VLOOKUP(H49, De_Para!A:B, 2, FALSE), "NÃO MAPEADO"))), IFERROR(VLOOKUP(H49, De_Para!A:B, 2, FALSE), "NÃO MAPEADO"))</f>
        <v/>
      </c>
    </row>
    <row r="50">
      <c r="A50" s="2" t="inlineStr">
        <is>
          <t>69649</t>
        </is>
      </c>
      <c r="B50" s="2" t="inlineStr">
        <is>
          <t>Sicredi SNI</t>
        </is>
      </c>
      <c r="C50" s="2" t="inlineStr">
        <is>
          <t>30/06/2026</t>
        </is>
      </c>
      <c r="D50" s="2" t="inlineStr">
        <is>
          <t>30/06/2026</t>
        </is>
      </c>
      <c r="E50" s="2" t="inlineStr">
        <is>
          <t>Dinheiro</t>
        </is>
      </c>
      <c r="F50" s="2" t="inlineStr">
        <is>
          <t>Boleto "61504" do cliente "DEJAIME VITORINO DE SOUZA"</t>
        </is>
      </c>
      <c r="G50" s="2" t="inlineStr">
        <is>
          <t>system</t>
        </is>
      </c>
      <c r="H50" s="2" t="inlineStr">
        <is>
          <t>02.03.02.01 : Cobrança Bancaria</t>
        </is>
      </c>
      <c r="I50" s="2" t="n"/>
      <c r="J50" s="3" t="n">
        <v>-1.08</v>
      </c>
      <c r="K50" s="2">
        <f>IF(H50="02.09 : Outras Saídas", IF(OR(ISNUMBER(SEARCH("CHEQUE COMPE SICREDI", F50)), ISNUMBER(SEARCH("aniversario", F50)), ISNUMBER(SEARCH("churrasco", F50)), ISNUMBER(SEARCH("bolo", F50)), ISNUMBER(SEARCH("SUPERMERCADO", F50))), "6.1 Despesas Administrativas (Pessoal)", IF(OR(ISNUMBER(SEARCH("DLKNET", F50)), ISNUMBER(SEARCH("TESTE", F50))), "6.1 Despesas Administrativas (Gerais)", IFERROR(VLOOKUP(H50, De_Para!A:B, 2, FALSE), "NÃO MAPEADO"))), IFERROR(VLOOKUP(H50, De_Para!A:B, 2, FALSE), "NÃO MAPEADO"))</f>
        <v/>
      </c>
    </row>
    <row r="51">
      <c r="A51" s="2" t="inlineStr">
        <is>
          <t>69648</t>
        </is>
      </c>
      <c r="B51" s="2" t="inlineStr">
        <is>
          <t>Sicredi SNI</t>
        </is>
      </c>
      <c r="C51" s="2" t="inlineStr">
        <is>
          <t>30/06/2026</t>
        </is>
      </c>
      <c r="D51" s="2" t="inlineStr">
        <is>
          <t>30/06/2026</t>
        </is>
      </c>
      <c r="E51" s="2" t="inlineStr">
        <is>
          <t>Dinheiro</t>
        </is>
      </c>
      <c r="F51" s="2" t="inlineStr">
        <is>
          <t>Boleto "61504" do cliente "DEJAIME VITORINO DE SOUZA"</t>
        </is>
      </c>
      <c r="G51" s="2" t="inlineStr">
        <is>
          <t>system</t>
        </is>
      </c>
      <c r="H51" s="2" t="inlineStr">
        <is>
          <t>01.01.01 : Mensalidade</t>
        </is>
      </c>
      <c r="I51" s="3" t="n">
        <v>105</v>
      </c>
      <c r="J51" s="2" t="n"/>
      <c r="K51" s="2">
        <f>IF(H51="02.09 : Outras Saídas", IF(OR(ISNUMBER(SEARCH("CHEQUE COMPE SICREDI", F51)), ISNUMBER(SEARCH("aniversario", F51)), ISNUMBER(SEARCH("churrasco", F51)), ISNUMBER(SEARCH("bolo", F51)), ISNUMBER(SEARCH("SUPERMERCADO", F51))), "6.1 Despesas Administrativas (Pessoal)", IF(OR(ISNUMBER(SEARCH("DLKNET", F51)), ISNUMBER(SEARCH("TESTE", F51))), "6.1 Despesas Administrativas (Gerais)", IFERROR(VLOOKUP(H51, De_Para!A:B, 2, FALSE), "NÃO MAPEADO"))), IFERROR(VLOOKUP(H51, De_Para!A:B, 2, FALSE), "NÃO MAPEADO"))</f>
        <v/>
      </c>
    </row>
    <row r="52">
      <c r="A52" s="2" t="inlineStr">
        <is>
          <t>69647</t>
        </is>
      </c>
      <c r="B52" s="2" t="inlineStr">
        <is>
          <t>Sicredi SNI</t>
        </is>
      </c>
      <c r="C52" s="2" t="inlineStr">
        <is>
          <t>30/06/2026</t>
        </is>
      </c>
      <c r="D52" s="2" t="inlineStr">
        <is>
          <t>30/06/2026</t>
        </is>
      </c>
      <c r="E52" s="2" t="inlineStr">
        <is>
          <t>Dinheiro</t>
        </is>
      </c>
      <c r="F52" s="2" t="inlineStr">
        <is>
          <t>Boleto "61011" do cliente "RONALDO CAMILO MESSIAS"</t>
        </is>
      </c>
      <c r="G52" s="2" t="inlineStr">
        <is>
          <t>system</t>
        </is>
      </c>
      <c r="H52" s="2" t="inlineStr">
        <is>
          <t>02.03.02.01 : Cobrança Bancaria</t>
        </is>
      </c>
      <c r="I52" s="2" t="n"/>
      <c r="J52" s="3" t="n">
        <v>-1.08</v>
      </c>
      <c r="K52" s="2">
        <f>IF(H52="02.09 : Outras Saídas", IF(OR(ISNUMBER(SEARCH("CHEQUE COMPE SICREDI", F52)), ISNUMBER(SEARCH("aniversario", F52)), ISNUMBER(SEARCH("churrasco", F52)), ISNUMBER(SEARCH("bolo", F52)), ISNUMBER(SEARCH("SUPERMERCADO", F52))), "6.1 Despesas Administrativas (Pessoal)", IF(OR(ISNUMBER(SEARCH("DLKNET", F52)), ISNUMBER(SEARCH("TESTE", F52))), "6.1 Despesas Administrativas (Gerais)", IFERROR(VLOOKUP(H52, De_Para!A:B, 2, FALSE), "NÃO MAPEADO"))), IFERROR(VLOOKUP(H52, De_Para!A:B, 2, FALSE), "NÃO MAPEADO"))</f>
        <v/>
      </c>
    </row>
    <row r="53">
      <c r="A53" s="2" t="inlineStr">
        <is>
          <t>69646</t>
        </is>
      </c>
      <c r="B53" s="2" t="inlineStr">
        <is>
          <t>Sicredi SNI</t>
        </is>
      </c>
      <c r="C53" s="2" t="inlineStr">
        <is>
          <t>30/06/2026</t>
        </is>
      </c>
      <c r="D53" s="2" t="inlineStr">
        <is>
          <t>30/06/2026</t>
        </is>
      </c>
      <c r="E53" s="2" t="inlineStr">
        <is>
          <t>Dinheiro</t>
        </is>
      </c>
      <c r="F53" s="2" t="inlineStr">
        <is>
          <t>Boleto "61011" do cliente "RONALDO CAMILO MESSIAS"</t>
        </is>
      </c>
      <c r="G53" s="2" t="inlineStr">
        <is>
          <t>system</t>
        </is>
      </c>
      <c r="H53" s="2" t="inlineStr">
        <is>
          <t>01.01.01 : Mensalidade</t>
        </is>
      </c>
      <c r="I53" s="3" t="n">
        <v>107.25</v>
      </c>
      <c r="J53" s="2" t="n"/>
      <c r="K53" s="2">
        <f>IF(H53="02.09 : Outras Saídas", IF(OR(ISNUMBER(SEARCH("CHEQUE COMPE SICREDI", F53)), ISNUMBER(SEARCH("aniversario", F53)), ISNUMBER(SEARCH("churrasco", F53)), ISNUMBER(SEARCH("bolo", F53)), ISNUMBER(SEARCH("SUPERMERCADO", F53))), "6.1 Despesas Administrativas (Pessoal)", IF(OR(ISNUMBER(SEARCH("DLKNET", F53)), ISNUMBER(SEARCH("TESTE", F53))), "6.1 Despesas Administrativas (Gerais)", IFERROR(VLOOKUP(H53, De_Para!A:B, 2, FALSE), "NÃO MAPEADO"))), IFERROR(VLOOKUP(H53, De_Para!A:B, 2, FALSE), "NÃO MAPEADO"))</f>
        <v/>
      </c>
    </row>
    <row r="54">
      <c r="A54" s="2" t="inlineStr">
        <is>
          <t>69645</t>
        </is>
      </c>
      <c r="B54" s="2" t="inlineStr">
        <is>
          <t>Sicredi SNI</t>
        </is>
      </c>
      <c r="C54" s="2" t="inlineStr">
        <is>
          <t>30/06/2026</t>
        </is>
      </c>
      <c r="D54" s="2" t="inlineStr">
        <is>
          <t>30/06/2026</t>
        </is>
      </c>
      <c r="E54" s="2" t="inlineStr">
        <is>
          <t>Dinheiro</t>
        </is>
      </c>
      <c r="F54" s="2" t="inlineStr">
        <is>
          <t>Boleto "55343" do cliente "REINALDO RAMOS DE ALMEIDA"</t>
        </is>
      </c>
      <c r="G54" s="2" t="inlineStr">
        <is>
          <t>system</t>
        </is>
      </c>
      <c r="H54" s="2" t="inlineStr">
        <is>
          <t>02.03.02.01 : Cobrança Bancaria</t>
        </is>
      </c>
      <c r="I54" s="2" t="n"/>
      <c r="J54" s="3" t="n">
        <v>-1.08</v>
      </c>
      <c r="K54" s="2">
        <f>IF(H54="02.09 : Outras Saídas", IF(OR(ISNUMBER(SEARCH("CHEQUE COMPE SICREDI", F54)), ISNUMBER(SEARCH("aniversario", F54)), ISNUMBER(SEARCH("churrasco", F54)), ISNUMBER(SEARCH("bolo", F54)), ISNUMBER(SEARCH("SUPERMERCADO", F54))), "6.1 Despesas Administrativas (Pessoal)", IF(OR(ISNUMBER(SEARCH("DLKNET", F54)), ISNUMBER(SEARCH("TESTE", F54))), "6.1 Despesas Administrativas (Gerais)", IFERROR(VLOOKUP(H54, De_Para!A:B, 2, FALSE), "NÃO MAPEADO"))), IFERROR(VLOOKUP(H54, De_Para!A:B, 2, FALSE), "NÃO MAPEADO"))</f>
        <v/>
      </c>
    </row>
    <row r="55">
      <c r="A55" s="2" t="inlineStr">
        <is>
          <t>69644</t>
        </is>
      </c>
      <c r="B55" s="2" t="inlineStr">
        <is>
          <t>Sicredi SNI</t>
        </is>
      </c>
      <c r="C55" s="2" t="inlineStr">
        <is>
          <t>30/06/2026</t>
        </is>
      </c>
      <c r="D55" s="2" t="inlineStr">
        <is>
          <t>30/06/2026</t>
        </is>
      </c>
      <c r="E55" s="2" t="inlineStr">
        <is>
          <t>Dinheiro</t>
        </is>
      </c>
      <c r="F55" s="2" t="inlineStr">
        <is>
          <t>Boleto "55343" do cliente "REINALDO RAMOS DE ALMEIDA"</t>
        </is>
      </c>
      <c r="G55" s="2" t="inlineStr">
        <is>
          <t>system</t>
        </is>
      </c>
      <c r="H55" s="2" t="inlineStr">
        <is>
          <t>01.01.01 : Mensalidade</t>
        </is>
      </c>
      <c r="I55" s="3" t="n">
        <v>84</v>
      </c>
      <c r="J55" s="2" t="n"/>
      <c r="K55" s="2">
        <f>IF(H55="02.09 : Outras Saídas", IF(OR(ISNUMBER(SEARCH("CHEQUE COMPE SICREDI", F55)), ISNUMBER(SEARCH("aniversario", F55)), ISNUMBER(SEARCH("churrasco", F55)), ISNUMBER(SEARCH("bolo", F55)), ISNUMBER(SEARCH("SUPERMERCADO", F55))), "6.1 Despesas Administrativas (Pessoal)", IF(OR(ISNUMBER(SEARCH("DLKNET", F55)), ISNUMBER(SEARCH("TESTE", F55))), "6.1 Despesas Administrativas (Gerais)", IFERROR(VLOOKUP(H55, De_Para!A:B, 2, FALSE), "NÃO MAPEADO"))), IFERROR(VLOOKUP(H55, De_Para!A:B, 2, FALSE), "NÃO MAPEADO"))</f>
        <v/>
      </c>
    </row>
    <row r="56">
      <c r="A56" s="2" t="inlineStr">
        <is>
          <t>69643</t>
        </is>
      </c>
      <c r="B56" s="2" t="inlineStr">
        <is>
          <t>Sicredi SNI</t>
        </is>
      </c>
      <c r="C56" s="2" t="inlineStr">
        <is>
          <t>30/06/2026</t>
        </is>
      </c>
      <c r="D56" s="2" t="inlineStr">
        <is>
          <t>30/06/2026</t>
        </is>
      </c>
      <c r="E56" s="2" t="inlineStr">
        <is>
          <t>Dinheiro</t>
        </is>
      </c>
      <c r="F56" s="2" t="inlineStr">
        <is>
          <t>Boleto "55288" do cliente "ROSIMERE MARTINS DIOGO"</t>
        </is>
      </c>
      <c r="G56" s="2" t="inlineStr">
        <is>
          <t>system</t>
        </is>
      </c>
      <c r="H56" s="2" t="inlineStr">
        <is>
          <t>02.03.02.01 : Cobrança Bancaria</t>
        </is>
      </c>
      <c r="I56" s="2" t="n"/>
      <c r="J56" s="3" t="n">
        <v>-1.08</v>
      </c>
      <c r="K56" s="2">
        <f>IF(H56="02.09 : Outras Saídas", IF(OR(ISNUMBER(SEARCH("CHEQUE COMPE SICREDI", F56)), ISNUMBER(SEARCH("aniversario", F56)), ISNUMBER(SEARCH("churrasco", F56)), ISNUMBER(SEARCH("bolo", F56)), ISNUMBER(SEARCH("SUPERMERCADO", F56))), "6.1 Despesas Administrativas (Pessoal)", IF(OR(ISNUMBER(SEARCH("DLKNET", F56)), ISNUMBER(SEARCH("TESTE", F56))), "6.1 Despesas Administrativas (Gerais)", IFERROR(VLOOKUP(H56, De_Para!A:B, 2, FALSE), "NÃO MAPEADO"))), IFERROR(VLOOKUP(H56, De_Para!A:B, 2, FALSE), "NÃO MAPEADO"))</f>
        <v/>
      </c>
    </row>
    <row r="57">
      <c r="A57" s="2" t="inlineStr">
        <is>
          <t>69642</t>
        </is>
      </c>
      <c r="B57" s="2" t="inlineStr">
        <is>
          <t>Sicredi SNI</t>
        </is>
      </c>
      <c r="C57" s="2" t="inlineStr">
        <is>
          <t>30/06/2026</t>
        </is>
      </c>
      <c r="D57" s="2" t="inlineStr">
        <is>
          <t>30/06/2026</t>
        </is>
      </c>
      <c r="E57" s="2" t="inlineStr">
        <is>
          <t>Dinheiro</t>
        </is>
      </c>
      <c r="F57" s="2" t="inlineStr">
        <is>
          <t>Boleto "55288" do cliente "ROSIMERE MARTINS DIOGO"</t>
        </is>
      </c>
      <c r="G57" s="2" t="inlineStr">
        <is>
          <t>system</t>
        </is>
      </c>
      <c r="H57" s="2" t="inlineStr">
        <is>
          <t>01.01.01 : Mensalidade</t>
        </is>
      </c>
      <c r="I57" s="3" t="n">
        <v>102.3</v>
      </c>
      <c r="J57" s="2" t="n"/>
      <c r="K57" s="2">
        <f>IF(H57="02.09 : Outras Saídas", IF(OR(ISNUMBER(SEARCH("CHEQUE COMPE SICREDI", F57)), ISNUMBER(SEARCH("aniversario", F57)), ISNUMBER(SEARCH("churrasco", F57)), ISNUMBER(SEARCH("bolo", F57)), ISNUMBER(SEARCH("SUPERMERCADO", F57))), "6.1 Despesas Administrativas (Pessoal)", IF(OR(ISNUMBER(SEARCH("DLKNET", F57)), ISNUMBER(SEARCH("TESTE", F57))), "6.1 Despesas Administrativas (Gerais)", IFERROR(VLOOKUP(H57, De_Para!A:B, 2, FALSE), "NÃO MAPEADO"))), IFERROR(VLOOKUP(H57, De_Para!A:B, 2, FALSE), "NÃO MAPEADO"))</f>
        <v/>
      </c>
    </row>
    <row r="58">
      <c r="A58" s="2" t="inlineStr">
        <is>
          <t>69641</t>
        </is>
      </c>
      <c r="B58" s="2" t="inlineStr">
        <is>
          <t>Sicoob</t>
        </is>
      </c>
      <c r="C58" s="2" t="inlineStr">
        <is>
          <t>30/06/2026</t>
        </is>
      </c>
      <c r="D58" s="2" t="inlineStr">
        <is>
          <t>30/06/2026</t>
        </is>
      </c>
      <c r="E58" s="2" t="inlineStr">
        <is>
          <t>Dinheiro</t>
        </is>
      </c>
      <c r="F58" s="2" t="inlineStr">
        <is>
          <t>Boleto "59567" do cliente "NOEMI PEREIRA ALVES BARBOSA"</t>
        </is>
      </c>
      <c r="G58" s="2" t="inlineStr">
        <is>
          <t>system</t>
        </is>
      </c>
      <c r="H58" s="2" t="inlineStr">
        <is>
          <t>02.03.02.01 : Cobrança Bancaria</t>
        </is>
      </c>
      <c r="I58" s="2" t="n"/>
      <c r="J58" s="3" t="n">
        <v>-0.88</v>
      </c>
      <c r="K58" s="2">
        <f>IF(H58="02.09 : Outras Saídas", IF(OR(ISNUMBER(SEARCH("CHEQUE COMPE SICREDI", F58)), ISNUMBER(SEARCH("aniversario", F58)), ISNUMBER(SEARCH("churrasco", F58)), ISNUMBER(SEARCH("bolo", F58)), ISNUMBER(SEARCH("SUPERMERCADO", F58))), "6.1 Despesas Administrativas (Pessoal)", IF(OR(ISNUMBER(SEARCH("DLKNET", F58)), ISNUMBER(SEARCH("TESTE", F58))), "6.1 Despesas Administrativas (Gerais)", IFERROR(VLOOKUP(H58, De_Para!A:B, 2, FALSE), "NÃO MAPEADO"))), IFERROR(VLOOKUP(H58, De_Para!A:B, 2, FALSE), "NÃO MAPEADO"))</f>
        <v/>
      </c>
    </row>
    <row r="59">
      <c r="A59" s="2" t="inlineStr">
        <is>
          <t>69640</t>
        </is>
      </c>
      <c r="B59" s="2" t="inlineStr">
        <is>
          <t>Sicoob</t>
        </is>
      </c>
      <c r="C59" s="2" t="inlineStr">
        <is>
          <t>30/06/2026</t>
        </is>
      </c>
      <c r="D59" s="2" t="inlineStr">
        <is>
          <t>30/06/2026</t>
        </is>
      </c>
      <c r="E59" s="2" t="inlineStr">
        <is>
          <t>Dinheiro</t>
        </is>
      </c>
      <c r="F59" s="2" t="inlineStr">
        <is>
          <t>Boleto "59567" do cliente "NOEMI PEREIRA ALVES BARBOSA"</t>
        </is>
      </c>
      <c r="G59" s="2" t="inlineStr">
        <is>
          <t>system</t>
        </is>
      </c>
      <c r="H59" s="2" t="inlineStr">
        <is>
          <t>01.01.01 : Mensalidade</t>
        </is>
      </c>
      <c r="I59" s="3" t="n">
        <v>105</v>
      </c>
      <c r="J59" s="2" t="n"/>
      <c r="K59" s="2">
        <f>IF(H59="02.09 : Outras Saídas", IF(OR(ISNUMBER(SEARCH("CHEQUE COMPE SICREDI", F59)), ISNUMBER(SEARCH("aniversario", F59)), ISNUMBER(SEARCH("churrasco", F59)), ISNUMBER(SEARCH("bolo", F59)), ISNUMBER(SEARCH("SUPERMERCADO", F59))), "6.1 Despesas Administrativas (Pessoal)", IF(OR(ISNUMBER(SEARCH("DLKNET", F59)), ISNUMBER(SEARCH("TESTE", F59))), "6.1 Despesas Administrativas (Gerais)", IFERROR(VLOOKUP(H59, De_Para!A:B, 2, FALSE), "NÃO MAPEADO"))), IFERROR(VLOOKUP(H59, De_Para!A:B, 2, FALSE), "NÃO MAPEADO"))</f>
        <v/>
      </c>
    </row>
    <row r="60">
      <c r="A60" s="2" t="inlineStr">
        <is>
          <t>69639</t>
        </is>
      </c>
      <c r="B60" s="2" t="inlineStr">
        <is>
          <t>Sicoob</t>
        </is>
      </c>
      <c r="C60" s="2" t="inlineStr">
        <is>
          <t>30/06/2026</t>
        </is>
      </c>
      <c r="D60" s="2" t="inlineStr">
        <is>
          <t>30/06/2026</t>
        </is>
      </c>
      <c r="E60" s="2" t="inlineStr">
        <is>
          <t>Dinheiro</t>
        </is>
      </c>
      <c r="F60" s="2" t="inlineStr">
        <is>
          <t>Boleto "59409" do cliente "EDINA PAULA FRANÇA"</t>
        </is>
      </c>
      <c r="G60" s="2" t="inlineStr">
        <is>
          <t>system</t>
        </is>
      </c>
      <c r="H60" s="2" t="inlineStr">
        <is>
          <t>02.03.02.01 : Cobrança Bancaria</t>
        </is>
      </c>
      <c r="I60" s="2" t="n"/>
      <c r="J60" s="3" t="n">
        <v>-0.88</v>
      </c>
      <c r="K60" s="2">
        <f>IF(H60="02.09 : Outras Saídas", IF(OR(ISNUMBER(SEARCH("CHEQUE COMPE SICREDI", F60)), ISNUMBER(SEARCH("aniversario", F60)), ISNUMBER(SEARCH("churrasco", F60)), ISNUMBER(SEARCH("bolo", F60)), ISNUMBER(SEARCH("SUPERMERCADO", F60))), "6.1 Despesas Administrativas (Pessoal)", IF(OR(ISNUMBER(SEARCH("DLKNET", F60)), ISNUMBER(SEARCH("TESTE", F60))), "6.1 Despesas Administrativas (Gerais)", IFERROR(VLOOKUP(H60, De_Para!A:B, 2, FALSE), "NÃO MAPEADO"))), IFERROR(VLOOKUP(H60, De_Para!A:B, 2, FALSE), "NÃO MAPEADO"))</f>
        <v/>
      </c>
    </row>
    <row r="61">
      <c r="A61" s="2" t="inlineStr">
        <is>
          <t>69638</t>
        </is>
      </c>
      <c r="B61" s="2" t="inlineStr">
        <is>
          <t>Sicoob</t>
        </is>
      </c>
      <c r="C61" s="2" t="inlineStr">
        <is>
          <t>30/06/2026</t>
        </is>
      </c>
      <c r="D61" s="2" t="inlineStr">
        <is>
          <t>30/06/2026</t>
        </is>
      </c>
      <c r="E61" s="2" t="inlineStr">
        <is>
          <t>Dinheiro</t>
        </is>
      </c>
      <c r="F61" s="2" t="inlineStr">
        <is>
          <t>Boleto "59409" do cliente "EDINA PAULA FRANÇA"</t>
        </is>
      </c>
      <c r="G61" s="2" t="inlineStr">
        <is>
          <t>system</t>
        </is>
      </c>
      <c r="H61" s="2" t="inlineStr">
        <is>
          <t>01.01.01 : Mensalidade</t>
        </is>
      </c>
      <c r="I61" s="3" t="n">
        <v>110</v>
      </c>
      <c r="J61" s="2" t="n"/>
      <c r="K61" s="2">
        <f>IF(H61="02.09 : Outras Saídas", IF(OR(ISNUMBER(SEARCH("CHEQUE COMPE SICREDI", F61)), ISNUMBER(SEARCH("aniversario", F61)), ISNUMBER(SEARCH("churrasco", F61)), ISNUMBER(SEARCH("bolo", F61)), ISNUMBER(SEARCH("SUPERMERCADO", F61))), "6.1 Despesas Administrativas (Pessoal)", IF(OR(ISNUMBER(SEARCH("DLKNET", F61)), ISNUMBER(SEARCH("TESTE", F61))), "6.1 Despesas Administrativas (Gerais)", IFERROR(VLOOKUP(H61, De_Para!A:B, 2, FALSE), "NÃO MAPEADO"))), IFERROR(VLOOKUP(H61, De_Para!A:B, 2, FALSE), "NÃO MAPEADO"))</f>
        <v/>
      </c>
    </row>
    <row r="62">
      <c r="A62" s="2" t="inlineStr">
        <is>
          <t>69637</t>
        </is>
      </c>
      <c r="B62" s="2" t="inlineStr">
        <is>
          <t>Sicoob</t>
        </is>
      </c>
      <c r="C62" s="2" t="inlineStr">
        <is>
          <t>30/06/2026</t>
        </is>
      </c>
      <c r="D62" s="2" t="inlineStr">
        <is>
          <t>30/06/2026</t>
        </is>
      </c>
      <c r="E62" s="2" t="inlineStr">
        <is>
          <t>Dinheiro</t>
        </is>
      </c>
      <c r="F62" s="2" t="inlineStr">
        <is>
          <t>Boleto "55190" do cliente "ADRIANE INOCENCIA DA SLVA OLIVEIRA"</t>
        </is>
      </c>
      <c r="G62" s="2" t="inlineStr">
        <is>
          <t>system</t>
        </is>
      </c>
      <c r="H62" s="2" t="inlineStr">
        <is>
          <t>02.03.02.01 : Cobrança Bancaria</t>
        </is>
      </c>
      <c r="I62" s="2" t="n"/>
      <c r="J62" s="3" t="n">
        <v>-0.88</v>
      </c>
      <c r="K62" s="2">
        <f>IF(H62="02.09 : Outras Saídas", IF(OR(ISNUMBER(SEARCH("CHEQUE COMPE SICREDI", F62)), ISNUMBER(SEARCH("aniversario", F62)), ISNUMBER(SEARCH("churrasco", F62)), ISNUMBER(SEARCH("bolo", F62)), ISNUMBER(SEARCH("SUPERMERCADO", F62))), "6.1 Despesas Administrativas (Pessoal)", IF(OR(ISNUMBER(SEARCH("DLKNET", F62)), ISNUMBER(SEARCH("TESTE", F62))), "6.1 Despesas Administrativas (Gerais)", IFERROR(VLOOKUP(H62, De_Para!A:B, 2, FALSE), "NÃO MAPEADO"))), IFERROR(VLOOKUP(H62, De_Para!A:B, 2, FALSE), "NÃO MAPEADO"))</f>
        <v/>
      </c>
    </row>
    <row r="63">
      <c r="A63" s="2" t="inlineStr">
        <is>
          <t>69636</t>
        </is>
      </c>
      <c r="B63" s="2" t="inlineStr">
        <is>
          <t>Sicoob</t>
        </is>
      </c>
      <c r="C63" s="2" t="inlineStr">
        <is>
          <t>30/06/2026</t>
        </is>
      </c>
      <c r="D63" s="2" t="inlineStr">
        <is>
          <t>30/06/2026</t>
        </is>
      </c>
      <c r="E63" s="2" t="inlineStr">
        <is>
          <t>Dinheiro</t>
        </is>
      </c>
      <c r="F63" s="2" t="inlineStr">
        <is>
          <t>Boleto "55190" do cliente "ADRIANE INOCENCIA DA SLVA OLIVEIRA"</t>
        </is>
      </c>
      <c r="G63" s="2" t="inlineStr">
        <is>
          <t>system</t>
        </is>
      </c>
      <c r="H63" s="2" t="inlineStr">
        <is>
          <t>01.01.01 : Mensalidade</t>
        </is>
      </c>
      <c r="I63" s="3" t="n">
        <v>105</v>
      </c>
      <c r="J63" s="2" t="n"/>
      <c r="K63" s="2">
        <f>IF(H63="02.09 : Outras Saídas", IF(OR(ISNUMBER(SEARCH("CHEQUE COMPE SICREDI", F63)), ISNUMBER(SEARCH("aniversario", F63)), ISNUMBER(SEARCH("churrasco", F63)), ISNUMBER(SEARCH("bolo", F63)), ISNUMBER(SEARCH("SUPERMERCADO", F63))), "6.1 Despesas Administrativas (Pessoal)", IF(OR(ISNUMBER(SEARCH("DLKNET", F63)), ISNUMBER(SEARCH("TESTE", F63))), "6.1 Despesas Administrativas (Gerais)", IFERROR(VLOOKUP(H63, De_Para!A:B, 2, FALSE), "NÃO MAPEADO"))), IFERROR(VLOOKUP(H63, De_Para!A:B, 2, FALSE), "NÃO MAPEADO"))</f>
        <v/>
      </c>
    </row>
    <row r="64">
      <c r="A64" s="2" t="inlineStr">
        <is>
          <t>69635</t>
        </is>
      </c>
      <c r="B64" s="2" t="inlineStr">
        <is>
          <t>Sicoob</t>
        </is>
      </c>
      <c r="C64" s="2" t="inlineStr">
        <is>
          <t>30/06/2026</t>
        </is>
      </c>
      <c r="D64" s="2" t="inlineStr">
        <is>
          <t>30/06/2026</t>
        </is>
      </c>
      <c r="E64" s="2" t="inlineStr">
        <is>
          <t>Dinheiro</t>
        </is>
      </c>
      <c r="F64" s="2" t="inlineStr">
        <is>
          <t>Boleto "55179" do cliente "TIAGO DA CUNHA PINTO"</t>
        </is>
      </c>
      <c r="G64" s="2" t="inlineStr">
        <is>
          <t>system</t>
        </is>
      </c>
      <c r="H64" s="2" t="inlineStr">
        <is>
          <t>02.03.02.01 : Cobrança Bancaria</t>
        </is>
      </c>
      <c r="I64" s="2" t="n"/>
      <c r="J64" s="3" t="n">
        <v>-0.88</v>
      </c>
      <c r="K64" s="2">
        <f>IF(H64="02.09 : Outras Saídas", IF(OR(ISNUMBER(SEARCH("CHEQUE COMPE SICREDI", F64)), ISNUMBER(SEARCH("aniversario", F64)), ISNUMBER(SEARCH("churrasco", F64)), ISNUMBER(SEARCH("bolo", F64)), ISNUMBER(SEARCH("SUPERMERCADO", F64))), "6.1 Despesas Administrativas (Pessoal)", IF(OR(ISNUMBER(SEARCH("DLKNET", F64)), ISNUMBER(SEARCH("TESTE", F64))), "6.1 Despesas Administrativas (Gerais)", IFERROR(VLOOKUP(H64, De_Para!A:B, 2, FALSE), "NÃO MAPEADO"))), IFERROR(VLOOKUP(H64, De_Para!A:B, 2, FALSE), "NÃO MAPEADO"))</f>
        <v/>
      </c>
    </row>
    <row r="65">
      <c r="A65" s="2" t="inlineStr">
        <is>
          <t>69634</t>
        </is>
      </c>
      <c r="B65" s="2" t="inlineStr">
        <is>
          <t>Sicoob</t>
        </is>
      </c>
      <c r="C65" s="2" t="inlineStr">
        <is>
          <t>30/06/2026</t>
        </is>
      </c>
      <c r="D65" s="2" t="inlineStr">
        <is>
          <t>30/06/2026</t>
        </is>
      </c>
      <c r="E65" s="2" t="inlineStr">
        <is>
          <t>Dinheiro</t>
        </is>
      </c>
      <c r="F65" s="2" t="inlineStr">
        <is>
          <t>Boleto "55179" do cliente "TIAGO DA CUNHA PINTO"</t>
        </is>
      </c>
      <c r="G65" s="2" t="inlineStr">
        <is>
          <t>system</t>
        </is>
      </c>
      <c r="H65" s="2" t="inlineStr">
        <is>
          <t>01.01.01 : Mensalidade</t>
        </is>
      </c>
      <c r="I65" s="3" t="n">
        <v>105</v>
      </c>
      <c r="J65" s="2" t="n"/>
      <c r="K65" s="2">
        <f>IF(H65="02.09 : Outras Saídas", IF(OR(ISNUMBER(SEARCH("CHEQUE COMPE SICREDI", F65)), ISNUMBER(SEARCH("aniversario", F65)), ISNUMBER(SEARCH("churrasco", F65)), ISNUMBER(SEARCH("bolo", F65)), ISNUMBER(SEARCH("SUPERMERCADO", F65))), "6.1 Despesas Administrativas (Pessoal)", IF(OR(ISNUMBER(SEARCH("DLKNET", F65)), ISNUMBER(SEARCH("TESTE", F65))), "6.1 Despesas Administrativas (Gerais)", IFERROR(VLOOKUP(H65, De_Para!A:B, 2, FALSE), "NÃO MAPEADO"))), IFERROR(VLOOKUP(H65, De_Para!A:B, 2, FALSE), "NÃO MAPEADO"))</f>
        <v/>
      </c>
    </row>
    <row r="66">
      <c r="A66" s="2" t="inlineStr">
        <is>
          <t>69633</t>
        </is>
      </c>
      <c r="B66" s="2" t="inlineStr">
        <is>
          <t>Sicredi SNI</t>
        </is>
      </c>
      <c r="C66" s="2" t="inlineStr">
        <is>
          <t>30/06/2026</t>
        </is>
      </c>
      <c r="D66" s="2" t="inlineStr">
        <is>
          <t>30/06/2026</t>
        </is>
      </c>
      <c r="E66" s="2" t="inlineStr">
        <is>
          <t>PIX</t>
        </is>
      </c>
      <c r="F66" s="2" t="inlineStr">
        <is>
          <t>Boleto "61423" do cliente "REINALDO APARECIDO DE LIMA"</t>
        </is>
      </c>
      <c r="G66" s="2" t="inlineStr">
        <is>
          <t>system</t>
        </is>
      </c>
      <c r="H66" s="2" t="inlineStr">
        <is>
          <t>02.03.02.01 : Cobrança Bancaria</t>
        </is>
      </c>
      <c r="I66" s="2" t="n"/>
      <c r="J66" s="3" t="n">
        <v>-0.49</v>
      </c>
      <c r="K66" s="2">
        <f>IF(H66="02.09 : Outras Saídas", IF(OR(ISNUMBER(SEARCH("CHEQUE COMPE SICREDI", F66)), ISNUMBER(SEARCH("aniversario", F66)), ISNUMBER(SEARCH("churrasco", F66)), ISNUMBER(SEARCH("bolo", F66)), ISNUMBER(SEARCH("SUPERMERCADO", F66))), "6.1 Despesas Administrativas (Pessoal)", IF(OR(ISNUMBER(SEARCH("DLKNET", F66)), ISNUMBER(SEARCH("TESTE", F66))), "6.1 Despesas Administrativas (Gerais)", IFERROR(VLOOKUP(H66, De_Para!A:B, 2, FALSE), "NÃO MAPEADO"))), IFERROR(VLOOKUP(H66, De_Para!A:B, 2, FALSE), "NÃO MAPEADO"))</f>
        <v/>
      </c>
    </row>
    <row r="67">
      <c r="A67" s="2" t="inlineStr">
        <is>
          <t>69632</t>
        </is>
      </c>
      <c r="B67" s="2" t="inlineStr">
        <is>
          <t>Sicredi SNI</t>
        </is>
      </c>
      <c r="C67" s="2" t="inlineStr">
        <is>
          <t>30/06/2026</t>
        </is>
      </c>
      <c r="D67" s="2" t="inlineStr">
        <is>
          <t>30/06/2026</t>
        </is>
      </c>
      <c r="E67" s="2" t="inlineStr">
        <is>
          <t>PIX</t>
        </is>
      </c>
      <c r="F67" s="2" t="inlineStr">
        <is>
          <t>Boleto "61423" do cliente "REINALDO APARECIDO DE LIMA"</t>
        </is>
      </c>
      <c r="G67" s="2" t="inlineStr">
        <is>
          <t>system</t>
        </is>
      </c>
      <c r="H67" s="2" t="inlineStr">
        <is>
          <t>01.01.01 : Mensalidade</t>
        </is>
      </c>
      <c r="I67" s="3" t="n">
        <v>105</v>
      </c>
      <c r="J67" s="2" t="n"/>
      <c r="K67" s="2">
        <f>IF(H67="02.09 : Outras Saídas", IF(OR(ISNUMBER(SEARCH("CHEQUE COMPE SICREDI", F67)), ISNUMBER(SEARCH("aniversario", F67)), ISNUMBER(SEARCH("churrasco", F67)), ISNUMBER(SEARCH("bolo", F67)), ISNUMBER(SEARCH("SUPERMERCADO", F67))), "6.1 Despesas Administrativas (Pessoal)", IF(OR(ISNUMBER(SEARCH("DLKNET", F67)), ISNUMBER(SEARCH("TESTE", F67))), "6.1 Despesas Administrativas (Gerais)", IFERROR(VLOOKUP(H67, De_Para!A:B, 2, FALSE), "NÃO MAPEADO"))), IFERROR(VLOOKUP(H67, De_Para!A:B, 2, FALSE), "NÃO MAPEADO"))</f>
        <v/>
      </c>
    </row>
    <row r="68">
      <c r="A68" s="2" t="inlineStr">
        <is>
          <t>69631</t>
        </is>
      </c>
      <c r="B68" s="2" t="inlineStr">
        <is>
          <t>Sicoob</t>
        </is>
      </c>
      <c r="C68" s="2" t="inlineStr">
        <is>
          <t>30/06/2026</t>
        </is>
      </c>
      <c r="D68" s="2" t="inlineStr">
        <is>
          <t>29/06/2026</t>
        </is>
      </c>
      <c r="E68" s="2" t="inlineStr">
        <is>
          <t>Dinheiro</t>
        </is>
      </c>
      <c r="F68" s="2" t="inlineStr">
        <is>
          <t>Boleto "63558" do cliente "MARIA EDUARDA SILVA DUTRA"</t>
        </is>
      </c>
      <c r="G68" s="2" t="inlineStr">
        <is>
          <t>system</t>
        </is>
      </c>
      <c r="H68" s="2" t="inlineStr">
        <is>
          <t>02.03.02.01 : Cobrança Bancaria</t>
        </is>
      </c>
      <c r="I68" s="2" t="n"/>
      <c r="J68" s="3" t="n">
        <v>-0.88</v>
      </c>
      <c r="K68" s="2">
        <f>IF(H68="02.09 : Outras Saídas", IF(OR(ISNUMBER(SEARCH("CHEQUE COMPE SICREDI", F68)), ISNUMBER(SEARCH("aniversario", F68)), ISNUMBER(SEARCH("churrasco", F68)), ISNUMBER(SEARCH("bolo", F68)), ISNUMBER(SEARCH("SUPERMERCADO", F68))), "6.1 Despesas Administrativas (Pessoal)", IF(OR(ISNUMBER(SEARCH("DLKNET", F68)), ISNUMBER(SEARCH("TESTE", F68))), "6.1 Despesas Administrativas (Gerais)", IFERROR(VLOOKUP(H68, De_Para!A:B, 2, FALSE), "NÃO MAPEADO"))), IFERROR(VLOOKUP(H68, De_Para!A:B, 2, FALSE), "NÃO MAPEADO"))</f>
        <v/>
      </c>
    </row>
    <row r="69">
      <c r="A69" s="2" t="inlineStr">
        <is>
          <t>69630</t>
        </is>
      </c>
      <c r="B69" s="2" t="inlineStr">
        <is>
          <t>Sicoob</t>
        </is>
      </c>
      <c r="C69" s="2" t="inlineStr">
        <is>
          <t>30/06/2026</t>
        </is>
      </c>
      <c r="D69" s="2" t="inlineStr">
        <is>
          <t>29/06/2026</t>
        </is>
      </c>
      <c r="E69" s="2" t="inlineStr">
        <is>
          <t>Dinheiro</t>
        </is>
      </c>
      <c r="F69" s="2" t="inlineStr">
        <is>
          <t>Boleto "63558" do cliente "MARIA EDUARDA SILVA DUTRA"</t>
        </is>
      </c>
      <c r="G69" s="2" t="inlineStr">
        <is>
          <t>system</t>
        </is>
      </c>
      <c r="H69" s="2" t="inlineStr">
        <is>
          <t>01.01.01 : Mensalidade</t>
        </is>
      </c>
      <c r="I69" s="3" t="n">
        <v>104.9</v>
      </c>
      <c r="J69" s="2" t="n"/>
      <c r="K69" s="2">
        <f>IF(H69="02.09 : Outras Saídas", IF(OR(ISNUMBER(SEARCH("CHEQUE COMPE SICREDI", F69)), ISNUMBER(SEARCH("aniversario", F69)), ISNUMBER(SEARCH("churrasco", F69)), ISNUMBER(SEARCH("bolo", F69)), ISNUMBER(SEARCH("SUPERMERCADO", F69))), "6.1 Despesas Administrativas (Pessoal)", IF(OR(ISNUMBER(SEARCH("DLKNET", F69)), ISNUMBER(SEARCH("TESTE", F69))), "6.1 Despesas Administrativas (Gerais)", IFERROR(VLOOKUP(H69, De_Para!A:B, 2, FALSE), "NÃO MAPEADO"))), IFERROR(VLOOKUP(H69, De_Para!A:B, 2, FALSE), "NÃO MAPEADO"))</f>
        <v/>
      </c>
    </row>
    <row r="70">
      <c r="A70" s="2" t="inlineStr">
        <is>
          <t>69629</t>
        </is>
      </c>
      <c r="B70" s="2" t="inlineStr">
        <is>
          <t>Sicredi SNI</t>
        </is>
      </c>
      <c r="C70" s="2" t="inlineStr">
        <is>
          <t>29/06/2026</t>
        </is>
      </c>
      <c r="D70" s="2" t="inlineStr">
        <is>
          <t>29/06/2026</t>
        </is>
      </c>
      <c r="E70" s="2" t="inlineStr">
        <is>
          <t>PIX</t>
        </is>
      </c>
      <c r="F70" s="2" t="inlineStr">
        <is>
          <t>Boleto "67741" do cliente "JANDIRA APARECIDA DE LIMA LEAL"</t>
        </is>
      </c>
      <c r="G70" s="2" t="inlineStr">
        <is>
          <t>system</t>
        </is>
      </c>
      <c r="H70" s="2" t="inlineStr">
        <is>
          <t>02.03.02.01 : Cobrança Bancaria</t>
        </is>
      </c>
      <c r="I70" s="2" t="n"/>
      <c r="J70" s="3" t="n">
        <v>-0.49</v>
      </c>
      <c r="K70" s="2">
        <f>IF(H70="02.09 : Outras Saídas", IF(OR(ISNUMBER(SEARCH("CHEQUE COMPE SICREDI", F70)), ISNUMBER(SEARCH("aniversario", F70)), ISNUMBER(SEARCH("churrasco", F70)), ISNUMBER(SEARCH("bolo", F70)), ISNUMBER(SEARCH("SUPERMERCADO", F70))), "6.1 Despesas Administrativas (Pessoal)", IF(OR(ISNUMBER(SEARCH("DLKNET", F70)), ISNUMBER(SEARCH("TESTE", F70))), "6.1 Despesas Administrativas (Gerais)", IFERROR(VLOOKUP(H70, De_Para!A:B, 2, FALSE), "NÃO MAPEADO"))), IFERROR(VLOOKUP(H70, De_Para!A:B, 2, FALSE), "NÃO MAPEADO"))</f>
        <v/>
      </c>
    </row>
    <row r="71">
      <c r="A71" s="2" t="inlineStr">
        <is>
          <t>69628</t>
        </is>
      </c>
      <c r="B71" s="2" t="inlineStr">
        <is>
          <t>Sicredi SNI</t>
        </is>
      </c>
      <c r="C71" s="2" t="inlineStr">
        <is>
          <t>29/06/2026</t>
        </is>
      </c>
      <c r="D71" s="2" t="inlineStr">
        <is>
          <t>29/06/2026</t>
        </is>
      </c>
      <c r="E71" s="2" t="inlineStr">
        <is>
          <t>PIX</t>
        </is>
      </c>
      <c r="F71" s="2" t="inlineStr">
        <is>
          <t>Boleto "67741" do cliente "JANDIRA APARECIDA DE LIMA LEAL"</t>
        </is>
      </c>
      <c r="G71" s="2" t="inlineStr">
        <is>
          <t>system</t>
        </is>
      </c>
      <c r="H71" s="2" t="inlineStr">
        <is>
          <t>01.03.01 : Mensalidade</t>
        </is>
      </c>
      <c r="I71" s="3" t="n">
        <v>107.42</v>
      </c>
      <c r="J71" s="2" t="n"/>
      <c r="K71" s="2">
        <f>IF(H71="02.09 : Outras Saídas", IF(OR(ISNUMBER(SEARCH("CHEQUE COMPE SICREDI", F71)), ISNUMBER(SEARCH("aniversario", F71)), ISNUMBER(SEARCH("churrasco", F71)), ISNUMBER(SEARCH("bolo", F71)), ISNUMBER(SEARCH("SUPERMERCADO", F71))), "6.1 Despesas Administrativas (Pessoal)", IF(OR(ISNUMBER(SEARCH("DLKNET", F71)), ISNUMBER(SEARCH("TESTE", F71))), "6.1 Despesas Administrativas (Gerais)", IFERROR(VLOOKUP(H71, De_Para!A:B, 2, FALSE), "NÃO MAPEADO"))), IFERROR(VLOOKUP(H71, De_Para!A:B, 2, FALSE), "NÃO MAPEADO"))</f>
        <v/>
      </c>
    </row>
    <row r="72">
      <c r="A72" s="2" t="inlineStr">
        <is>
          <t>69627</t>
        </is>
      </c>
      <c r="B72" s="2" t="inlineStr">
        <is>
          <t>Sicredi SNI</t>
        </is>
      </c>
      <c r="C72" s="2" t="inlineStr">
        <is>
          <t>29/06/2026</t>
        </is>
      </c>
      <c r="D72" s="2" t="inlineStr">
        <is>
          <t>26/06/2026</t>
        </is>
      </c>
      <c r="E72" s="2" t="inlineStr">
        <is>
          <t>Débito em Conta</t>
        </is>
      </c>
      <c r="F72" s="2" t="inlineStr">
        <is>
          <t>TARIFA COM R LIQUIDACAO</t>
        </is>
      </c>
      <c r="G72" s="2" t="inlineStr">
        <is>
          <t>clau</t>
        </is>
      </c>
      <c r="H72" s="2" t="inlineStr">
        <is>
          <t>02.03.03.09 : TARIFA COM R LIQUIDACAO</t>
        </is>
      </c>
      <c r="I72" s="2" t="n"/>
      <c r="J72" s="3" t="n">
        <v>-2.55</v>
      </c>
      <c r="K72" s="2">
        <f>IF(H72="02.09 : Outras Saídas", IF(OR(ISNUMBER(SEARCH("CHEQUE COMPE SICREDI", F72)), ISNUMBER(SEARCH("aniversario", F72)), ISNUMBER(SEARCH("churrasco", F72)), ISNUMBER(SEARCH("bolo", F72)), ISNUMBER(SEARCH("SUPERMERCADO", F72))), "6.1 Despesas Administrativas (Pessoal)", IF(OR(ISNUMBER(SEARCH("DLKNET", F72)), ISNUMBER(SEARCH("TESTE", F72))), "6.1 Despesas Administrativas (Gerais)", IFERROR(VLOOKUP(H72, De_Para!A:B, 2, FALSE), "NÃO MAPEADO"))), IFERROR(VLOOKUP(H72, De_Para!A:B, 2, FALSE), "NÃO MAPEADO"))</f>
        <v/>
      </c>
    </row>
    <row r="73">
      <c r="A73" s="2" t="inlineStr">
        <is>
          <t>69626</t>
        </is>
      </c>
      <c r="B73" s="2" t="inlineStr">
        <is>
          <t>Sicredi SNI</t>
        </is>
      </c>
      <c r="C73" s="2" t="inlineStr">
        <is>
          <t>29/06/2026</t>
        </is>
      </c>
      <c r="D73" s="2" t="inlineStr">
        <is>
          <t>26/06/2026</t>
        </is>
      </c>
      <c r="E73" s="2" t="inlineStr">
        <is>
          <t>Débito em Conta</t>
        </is>
      </c>
      <c r="F73" s="2" t="inlineStr">
        <is>
          <t>TARIFA COM R LIQUIDACAO</t>
        </is>
      </c>
      <c r="G73" s="2" t="inlineStr">
        <is>
          <t>clau</t>
        </is>
      </c>
      <c r="H73" s="2" t="inlineStr">
        <is>
          <t>02.03.03.09 : TARIFA COM R LIQUIDACAO</t>
        </is>
      </c>
      <c r="I73" s="2" t="n"/>
      <c r="J73" s="3" t="n">
        <v>-1.7</v>
      </c>
      <c r="K73" s="2">
        <f>IF(H73="02.09 : Outras Saídas", IF(OR(ISNUMBER(SEARCH("CHEQUE COMPE SICREDI", F73)), ISNUMBER(SEARCH("aniversario", F73)), ISNUMBER(SEARCH("churrasco", F73)), ISNUMBER(SEARCH("bolo", F73)), ISNUMBER(SEARCH("SUPERMERCADO", F73))), "6.1 Despesas Administrativas (Pessoal)", IF(OR(ISNUMBER(SEARCH("DLKNET", F73)), ISNUMBER(SEARCH("TESTE", F73))), "6.1 Despesas Administrativas (Gerais)", IFERROR(VLOOKUP(H73, De_Para!A:B, 2, FALSE), "NÃO MAPEADO"))), IFERROR(VLOOKUP(H73, De_Para!A:B, 2, FALSE), "NÃO MAPEADO"))</f>
        <v/>
      </c>
    </row>
    <row r="74">
      <c r="A74" s="2" t="inlineStr">
        <is>
          <t>69625</t>
        </is>
      </c>
      <c r="B74" s="2" t="inlineStr">
        <is>
          <t>Sicredi SNI</t>
        </is>
      </c>
      <c r="C74" s="2" t="inlineStr">
        <is>
          <t>29/06/2026</t>
        </is>
      </c>
      <c r="D74" s="2" t="inlineStr">
        <is>
          <t>26/06/2026</t>
        </is>
      </c>
      <c r="E74" s="2" t="inlineStr">
        <is>
          <t>PIX</t>
        </is>
      </c>
      <c r="F74" s="2" t="inlineStr">
        <is>
          <t>PAGAMENTO PIX 29260889000128 Condominio Residenc Apartamento Curitiba</t>
        </is>
      </c>
      <c r="G74" s="2" t="inlineStr">
        <is>
          <t>clau</t>
        </is>
      </c>
      <c r="H74" s="2" t="inlineStr">
        <is>
          <t>02.03.02.07 : Pro-Labore</t>
        </is>
      </c>
      <c r="I74" s="2" t="n"/>
      <c r="J74" s="3" t="n">
        <v>-650</v>
      </c>
      <c r="K74" s="2">
        <f>IF(H74="02.09 : Outras Saídas", IF(OR(ISNUMBER(SEARCH("CHEQUE COMPE SICREDI", F74)), ISNUMBER(SEARCH("aniversario", F74)), ISNUMBER(SEARCH("churrasco", F74)), ISNUMBER(SEARCH("bolo", F74)), ISNUMBER(SEARCH("SUPERMERCADO", F74))), "6.1 Despesas Administrativas (Pessoal)", IF(OR(ISNUMBER(SEARCH("DLKNET", F74)), ISNUMBER(SEARCH("TESTE", F74))), "6.1 Despesas Administrativas (Gerais)", IFERROR(VLOOKUP(H74, De_Para!A:B, 2, FALSE), "NÃO MAPEADO"))), IFERROR(VLOOKUP(H74, De_Para!A:B, 2, FALSE), "NÃO MAPEADO"))</f>
        <v/>
      </c>
    </row>
    <row r="75">
      <c r="A75" s="2" t="inlineStr">
        <is>
          <t>69624</t>
        </is>
      </c>
      <c r="B75" s="2" t="inlineStr">
        <is>
          <t>Sicredi SNI</t>
        </is>
      </c>
      <c r="C75" s="2" t="inlineStr">
        <is>
          <t>29/06/2026</t>
        </is>
      </c>
      <c r="D75" s="2" t="inlineStr">
        <is>
          <t>26/06/2026</t>
        </is>
      </c>
      <c r="E75" s="2" t="inlineStr">
        <is>
          <t>PIX</t>
        </is>
      </c>
      <c r="F75" s="2" t="inlineStr">
        <is>
          <t>PAGAMENTO PIX 04047379948 EVERTON ZILI DE AQUINO</t>
        </is>
      </c>
      <c r="G75" s="2" t="inlineStr">
        <is>
          <t>clau</t>
        </is>
      </c>
      <c r="H75" s="2" t="inlineStr">
        <is>
          <t>02.03.02.07 : Pro-Labore</t>
        </is>
      </c>
      <c r="I75" s="2" t="n"/>
      <c r="J75" s="3" t="n">
        <v>-918</v>
      </c>
      <c r="K75" s="2">
        <f>IF(H75="02.09 : Outras Saídas", IF(OR(ISNUMBER(SEARCH("CHEQUE COMPE SICREDI", F75)), ISNUMBER(SEARCH("aniversario", F75)), ISNUMBER(SEARCH("churrasco", F75)), ISNUMBER(SEARCH("bolo", F75)), ISNUMBER(SEARCH("SUPERMERCADO", F75))), "6.1 Despesas Administrativas (Pessoal)", IF(OR(ISNUMBER(SEARCH("DLKNET", F75)), ISNUMBER(SEARCH("TESTE", F75))), "6.1 Despesas Administrativas (Gerais)", IFERROR(VLOOKUP(H75, De_Para!A:B, 2, FALSE), "NÃO MAPEADO"))), IFERROR(VLOOKUP(H75, De_Para!A:B, 2, FALSE), "NÃO MAPEADO"))</f>
        <v/>
      </c>
    </row>
    <row r="76">
      <c r="A76" s="2" t="inlineStr">
        <is>
          <t>69623</t>
        </is>
      </c>
      <c r="B76" s="2" t="inlineStr">
        <is>
          <t>Sicredi SNI</t>
        </is>
      </c>
      <c r="C76" s="2" t="inlineStr">
        <is>
          <t>29/06/2026</t>
        </is>
      </c>
      <c r="D76" s="2" t="inlineStr">
        <is>
          <t>26/06/2026</t>
        </is>
      </c>
      <c r="E76" s="2" t="inlineStr">
        <is>
          <t>Débito em Conta</t>
        </is>
      </c>
      <c r="F76" s="2" t="inlineStr">
        <is>
          <t>DEBITO CONVENIOS ID 0000066438705 COPEL DISTRIBU</t>
        </is>
      </c>
      <c r="G76" s="2" t="inlineStr">
        <is>
          <t>clau</t>
        </is>
      </c>
      <c r="H76" s="2" t="inlineStr">
        <is>
          <t>02.03.02.04 : Energia Eletrica</t>
        </is>
      </c>
      <c r="I76" s="2" t="n"/>
      <c r="J76" s="3" t="n">
        <v>-687.96</v>
      </c>
      <c r="K76" s="2">
        <f>IF(H76="02.09 : Outras Saídas", IF(OR(ISNUMBER(SEARCH("CHEQUE COMPE SICREDI", F76)), ISNUMBER(SEARCH("aniversario", F76)), ISNUMBER(SEARCH("churrasco", F76)), ISNUMBER(SEARCH("bolo", F76)), ISNUMBER(SEARCH("SUPERMERCADO", F76))), "6.1 Despesas Administrativas (Pessoal)", IF(OR(ISNUMBER(SEARCH("DLKNET", F76)), ISNUMBER(SEARCH("TESTE", F76))), "6.1 Despesas Administrativas (Gerais)", IFERROR(VLOOKUP(H76, De_Para!A:B, 2, FALSE), "NÃO MAPEADO"))), IFERROR(VLOOKUP(H76, De_Para!A:B, 2, FALSE), "NÃO MAPEADO"))</f>
        <v/>
      </c>
    </row>
    <row r="77">
      <c r="A77" s="2" t="inlineStr">
        <is>
          <t>69622</t>
        </is>
      </c>
      <c r="B77" s="2" t="inlineStr">
        <is>
          <t>Sicredi SNI</t>
        </is>
      </c>
      <c r="C77" s="2" t="inlineStr">
        <is>
          <t>29/06/2026</t>
        </is>
      </c>
      <c r="D77" s="2" t="inlineStr">
        <is>
          <t>29/06/2026</t>
        </is>
      </c>
      <c r="E77" s="2" t="inlineStr">
        <is>
          <t>Cartão de Débito</t>
        </is>
      </c>
      <c r="F77" s="2" t="inlineStr">
        <is>
          <t>COMPRAS NACIONAIS CAFE E PADARIA PAO QUE Joaquim Bolo Aniversario Fabricinho</t>
        </is>
      </c>
      <c r="G77" s="2" t="inlineStr">
        <is>
          <t>clau</t>
        </is>
      </c>
      <c r="H77" s="2" t="inlineStr">
        <is>
          <t>02.09 : Outras Saídas</t>
        </is>
      </c>
      <c r="I77" s="2" t="n"/>
      <c r="J77" s="3" t="n">
        <v>-109</v>
      </c>
      <c r="K77" s="2">
        <f>IF(H77="02.09 : Outras Saídas", IF(OR(ISNUMBER(SEARCH("CHEQUE COMPE SICREDI", F77)), ISNUMBER(SEARCH("aniversario", F77)), ISNUMBER(SEARCH("churrasco", F77)), ISNUMBER(SEARCH("bolo", F77)), ISNUMBER(SEARCH("SUPERMERCADO", F77))), "6.1 Despesas Administrativas (Pessoal)", IF(OR(ISNUMBER(SEARCH("DLKNET", F77)), ISNUMBER(SEARCH("TESTE", F77))), "6.1 Despesas Administrativas (Gerais)", IFERROR(VLOOKUP(H77, De_Para!A:B, 2, FALSE), "NÃO MAPEADO"))), IFERROR(VLOOKUP(H77, De_Para!A:B, 2, FALSE), "NÃO MAPEADO"))</f>
        <v/>
      </c>
    </row>
    <row r="78">
      <c r="A78" s="2" t="inlineStr">
        <is>
          <t>69621</t>
        </is>
      </c>
      <c r="B78" s="2" t="inlineStr">
        <is>
          <t>Sicredi SNI</t>
        </is>
      </c>
      <c r="C78" s="2" t="inlineStr">
        <is>
          <t>29/06/2026</t>
        </is>
      </c>
      <c r="D78" s="2" t="inlineStr">
        <is>
          <t>29/06/2026</t>
        </is>
      </c>
      <c r="E78" s="2" t="inlineStr">
        <is>
          <t>Cartão de Débito</t>
        </is>
      </c>
      <c r="F78" s="2" t="inlineStr">
        <is>
          <t>COMPRAS NACIONAIS DOCE SABOR JOAQUIM TAVORBR Marmitas Angelica</t>
        </is>
      </c>
      <c r="G78" s="2" t="inlineStr">
        <is>
          <t>clau</t>
        </is>
      </c>
      <c r="H78" s="2" t="inlineStr">
        <is>
          <t>02.03.02.07 : Pro-Labore</t>
        </is>
      </c>
      <c r="I78" s="2" t="n"/>
      <c r="J78" s="3" t="n">
        <v>-79</v>
      </c>
      <c r="K78" s="2">
        <f>IF(H78="02.09 : Outras Saídas", IF(OR(ISNUMBER(SEARCH("CHEQUE COMPE SICREDI", F78)), ISNUMBER(SEARCH("aniversario", F78)), ISNUMBER(SEARCH("churrasco", F78)), ISNUMBER(SEARCH("bolo", F78)), ISNUMBER(SEARCH("SUPERMERCADO", F78))), "6.1 Despesas Administrativas (Pessoal)", IF(OR(ISNUMBER(SEARCH("DLKNET", F78)), ISNUMBER(SEARCH("TESTE", F78))), "6.1 Despesas Administrativas (Gerais)", IFERROR(VLOOKUP(H78, De_Para!A:B, 2, FALSE), "NÃO MAPEADO"))), IFERROR(VLOOKUP(H78, De_Para!A:B, 2, FALSE), "NÃO MAPEADO"))</f>
        <v/>
      </c>
    </row>
    <row r="79">
      <c r="A79" s="2" t="inlineStr">
        <is>
          <t>69620</t>
        </is>
      </c>
      <c r="B79" s="2" t="inlineStr">
        <is>
          <t>Sicredi SNI</t>
        </is>
      </c>
      <c r="C79" s="2" t="inlineStr">
        <is>
          <t>29/06/2026</t>
        </is>
      </c>
      <c r="D79" s="2" t="inlineStr">
        <is>
          <t>29/06/2026</t>
        </is>
      </c>
      <c r="E79" s="2" t="inlineStr">
        <is>
          <t>Cartão de Débito</t>
        </is>
      </c>
      <c r="F79" s="2" t="inlineStr">
        <is>
          <t>COMPRAS NACIONAIS SUPERMERCADO CARREIRO JOAQUIM churrasco Aniversario Fabricinho/jogo da copa</t>
        </is>
      </c>
      <c r="G79" s="2" t="inlineStr">
        <is>
          <t>clau</t>
        </is>
      </c>
      <c r="H79" s="2" t="inlineStr">
        <is>
          <t>02.09 : Outras Saídas</t>
        </is>
      </c>
      <c r="I79" s="2" t="n"/>
      <c r="J79" s="3" t="n">
        <v>-335.31</v>
      </c>
      <c r="K79" s="2">
        <f>IF(H79="02.09 : Outras Saídas", IF(OR(ISNUMBER(SEARCH("CHEQUE COMPE SICREDI", F79)), ISNUMBER(SEARCH("aniversario", F79)), ISNUMBER(SEARCH("churrasco", F79)), ISNUMBER(SEARCH("bolo", F79)), ISNUMBER(SEARCH("SUPERMERCADO", F79))), "6.1 Despesas Administrativas (Pessoal)", IF(OR(ISNUMBER(SEARCH("DLKNET", F79)), ISNUMBER(SEARCH("TESTE", F79))), "6.1 Despesas Administrativas (Gerais)", IFERROR(VLOOKUP(H79, De_Para!A:B, 2, FALSE), "NÃO MAPEADO"))), IFERROR(VLOOKUP(H79, De_Para!A:B, 2, FALSE), "NÃO MAPEADO"))</f>
        <v/>
      </c>
    </row>
    <row r="80">
      <c r="A80" s="2" t="inlineStr">
        <is>
          <t>69619</t>
        </is>
      </c>
      <c r="B80" s="2" t="inlineStr">
        <is>
          <t>Sicredi SNI</t>
        </is>
      </c>
      <c r="C80" s="2" t="inlineStr">
        <is>
          <t>29/06/2026</t>
        </is>
      </c>
      <c r="D80" s="2" t="inlineStr">
        <is>
          <t>29/06/2026</t>
        </is>
      </c>
      <c r="E80" s="2" t="inlineStr">
        <is>
          <t>PIX</t>
        </is>
      </c>
      <c r="F80" s="2" t="inlineStr">
        <is>
          <t>Aparelho Luiza</t>
        </is>
      </c>
      <c r="G80" s="2" t="inlineStr">
        <is>
          <t>clau</t>
        </is>
      </c>
      <c r="H80" s="2" t="inlineStr">
        <is>
          <t>02.03.02.07 : Pro-Labore</t>
        </is>
      </c>
      <c r="I80" s="2" t="n"/>
      <c r="J80" s="3" t="n">
        <v>-300</v>
      </c>
      <c r="K80" s="2">
        <f>IF(H80="02.09 : Outras Saídas", IF(OR(ISNUMBER(SEARCH("CHEQUE COMPE SICREDI", F80)), ISNUMBER(SEARCH("aniversario", F80)), ISNUMBER(SEARCH("churrasco", F80)), ISNUMBER(SEARCH("bolo", F80)), ISNUMBER(SEARCH("SUPERMERCADO", F80))), "6.1 Despesas Administrativas (Pessoal)", IF(OR(ISNUMBER(SEARCH("DLKNET", F80)), ISNUMBER(SEARCH("TESTE", F80))), "6.1 Despesas Administrativas (Gerais)", IFERROR(VLOOKUP(H80, De_Para!A:B, 2, FALSE), "NÃO MAPEADO"))), IFERROR(VLOOKUP(H80, De_Para!A:B, 2, FALSE), "NÃO MAPEADO"))</f>
        <v/>
      </c>
    </row>
    <row r="81">
      <c r="A81" s="2" t="inlineStr">
        <is>
          <t>69618</t>
        </is>
      </c>
      <c r="B81" s="2" t="inlineStr">
        <is>
          <t>Sicoob</t>
        </is>
      </c>
      <c r="C81" s="2" t="inlineStr">
        <is>
          <t>29/06/2026</t>
        </is>
      </c>
      <c r="D81" s="2" t="inlineStr">
        <is>
          <t>29/06/2026</t>
        </is>
      </c>
      <c r="E81" s="2" t="inlineStr">
        <is>
          <t>Dinheiro</t>
        </is>
      </c>
      <c r="F81" s="2" t="inlineStr">
        <is>
          <t>Boleto "54857" do cliente "NEIVA MARIA DA SILVA"</t>
        </is>
      </c>
      <c r="G81" s="2" t="inlineStr">
        <is>
          <t>system</t>
        </is>
      </c>
      <c r="H81" s="2" t="inlineStr">
        <is>
          <t>02.03.02.01 : Cobrança Bancaria</t>
        </is>
      </c>
      <c r="I81" s="2" t="n"/>
      <c r="J81" s="3" t="n">
        <v>-0.88</v>
      </c>
      <c r="K81" s="2">
        <f>IF(H81="02.09 : Outras Saídas", IF(OR(ISNUMBER(SEARCH("CHEQUE COMPE SICREDI", F81)), ISNUMBER(SEARCH("aniversario", F81)), ISNUMBER(SEARCH("churrasco", F81)), ISNUMBER(SEARCH("bolo", F81)), ISNUMBER(SEARCH("SUPERMERCADO", F81))), "6.1 Despesas Administrativas (Pessoal)", IF(OR(ISNUMBER(SEARCH("DLKNET", F81)), ISNUMBER(SEARCH("TESTE", F81))), "6.1 Despesas Administrativas (Gerais)", IFERROR(VLOOKUP(H81, De_Para!A:B, 2, FALSE), "NÃO MAPEADO"))), IFERROR(VLOOKUP(H81, De_Para!A:B, 2, FALSE), "NÃO MAPEADO"))</f>
        <v/>
      </c>
    </row>
    <row r="82">
      <c r="A82" s="2" t="inlineStr">
        <is>
          <t>69617</t>
        </is>
      </c>
      <c r="B82" s="2" t="inlineStr">
        <is>
          <t>Sicoob</t>
        </is>
      </c>
      <c r="C82" s="2" t="inlineStr">
        <is>
          <t>29/06/2026</t>
        </is>
      </c>
      <c r="D82" s="2" t="inlineStr">
        <is>
          <t>29/06/2026</t>
        </is>
      </c>
      <c r="E82" s="2" t="inlineStr">
        <is>
          <t>Dinheiro</t>
        </is>
      </c>
      <c r="F82" s="2" t="inlineStr">
        <is>
          <t>Boleto "54857" do cliente "NEIVA MARIA DA SILVA"</t>
        </is>
      </c>
      <c r="G82" s="2" t="inlineStr">
        <is>
          <t>system</t>
        </is>
      </c>
      <c r="H82" s="2" t="inlineStr">
        <is>
          <t>01.01.01 : Mensalidade</t>
        </is>
      </c>
      <c r="I82" s="3" t="n">
        <v>107.58</v>
      </c>
      <c r="J82" s="2" t="n"/>
      <c r="K82" s="2">
        <f>IF(H82="02.09 : Outras Saídas", IF(OR(ISNUMBER(SEARCH("CHEQUE COMPE SICREDI", F82)), ISNUMBER(SEARCH("aniversario", F82)), ISNUMBER(SEARCH("churrasco", F82)), ISNUMBER(SEARCH("bolo", F82)), ISNUMBER(SEARCH("SUPERMERCADO", F82))), "6.1 Despesas Administrativas (Pessoal)", IF(OR(ISNUMBER(SEARCH("DLKNET", F82)), ISNUMBER(SEARCH("TESTE", F82))), "6.1 Despesas Administrativas (Gerais)", IFERROR(VLOOKUP(H82, De_Para!A:B, 2, FALSE), "NÃO MAPEADO"))), IFERROR(VLOOKUP(H82, De_Para!A:B, 2, FALSE), "NÃO MAPEADO"))</f>
        <v/>
      </c>
    </row>
    <row r="83">
      <c r="A83" s="2" t="inlineStr">
        <is>
          <t>69616</t>
        </is>
      </c>
      <c r="B83" s="2" t="inlineStr">
        <is>
          <t>Sicredi SNI</t>
        </is>
      </c>
      <c r="C83" s="2" t="inlineStr">
        <is>
          <t>29/06/2026</t>
        </is>
      </c>
      <c r="D83" s="2" t="inlineStr">
        <is>
          <t>29/06/2026</t>
        </is>
      </c>
      <c r="E83" s="2" t="inlineStr">
        <is>
          <t>PIX</t>
        </is>
      </c>
      <c r="F83" s="2" t="inlineStr">
        <is>
          <t>Boleto "54504" do cliente "THIARLES WILLIAN DA SILVA CORDEIRO"</t>
        </is>
      </c>
      <c r="G83" s="2" t="inlineStr">
        <is>
          <t>system</t>
        </is>
      </c>
      <c r="H83" s="2" t="inlineStr">
        <is>
          <t>02.03.02.01 : Cobrança Bancaria</t>
        </is>
      </c>
      <c r="I83" s="2" t="n"/>
      <c r="J83" s="3" t="n">
        <v>-0.49</v>
      </c>
      <c r="K83" s="2">
        <f>IF(H83="02.09 : Outras Saídas", IF(OR(ISNUMBER(SEARCH("CHEQUE COMPE SICREDI", F83)), ISNUMBER(SEARCH("aniversario", F83)), ISNUMBER(SEARCH("churrasco", F83)), ISNUMBER(SEARCH("bolo", F83)), ISNUMBER(SEARCH("SUPERMERCADO", F83))), "6.1 Despesas Administrativas (Pessoal)", IF(OR(ISNUMBER(SEARCH("DLKNET", F83)), ISNUMBER(SEARCH("TESTE", F83))), "6.1 Despesas Administrativas (Gerais)", IFERROR(VLOOKUP(H83, De_Para!A:B, 2, FALSE), "NÃO MAPEADO"))), IFERROR(VLOOKUP(H83, De_Para!A:B, 2, FALSE), "NÃO MAPEADO"))</f>
        <v/>
      </c>
    </row>
    <row r="84">
      <c r="A84" s="2" t="inlineStr">
        <is>
          <t>69615</t>
        </is>
      </c>
      <c r="B84" s="2" t="inlineStr">
        <is>
          <t>Sicredi SNI</t>
        </is>
      </c>
      <c r="C84" s="2" t="inlineStr">
        <is>
          <t>29/06/2026</t>
        </is>
      </c>
      <c r="D84" s="2" t="inlineStr">
        <is>
          <t>29/06/2026</t>
        </is>
      </c>
      <c r="E84" s="2" t="inlineStr">
        <is>
          <t>PIX</t>
        </is>
      </c>
      <c r="F84" s="2" t="inlineStr">
        <is>
          <t>Boleto "54504" do cliente "THIARLES WILLIAN DA SILVA CORDEIRO"</t>
        </is>
      </c>
      <c r="G84" s="2" t="inlineStr">
        <is>
          <t>system</t>
        </is>
      </c>
      <c r="H84" s="2" t="inlineStr">
        <is>
          <t>01.01.01 : Mensalidade</t>
        </is>
      </c>
      <c r="I84" s="3" t="n">
        <v>112.38</v>
      </c>
      <c r="J84" s="2" t="n"/>
      <c r="K84" s="2">
        <f>IF(H84="02.09 : Outras Saídas", IF(OR(ISNUMBER(SEARCH("CHEQUE COMPE SICREDI", F84)), ISNUMBER(SEARCH("aniversario", F84)), ISNUMBER(SEARCH("churrasco", F84)), ISNUMBER(SEARCH("bolo", F84)), ISNUMBER(SEARCH("SUPERMERCADO", F84))), "6.1 Despesas Administrativas (Pessoal)", IF(OR(ISNUMBER(SEARCH("DLKNET", F84)), ISNUMBER(SEARCH("TESTE", F84))), "6.1 Despesas Administrativas (Gerais)", IFERROR(VLOOKUP(H84, De_Para!A:B, 2, FALSE), "NÃO MAPEADO"))), IFERROR(VLOOKUP(H84, De_Para!A:B, 2, FALSE), "NÃO MAPEADO"))</f>
        <v/>
      </c>
    </row>
    <row r="85">
      <c r="A85" s="2" t="inlineStr">
        <is>
          <t>69614</t>
        </is>
      </c>
      <c r="B85" s="2" t="inlineStr">
        <is>
          <t>Sicredi SNI</t>
        </is>
      </c>
      <c r="C85" s="2" t="inlineStr">
        <is>
          <t>29/06/2026</t>
        </is>
      </c>
      <c r="D85" s="2" t="inlineStr">
        <is>
          <t>29/06/2026</t>
        </is>
      </c>
      <c r="E85" s="2" t="inlineStr">
        <is>
          <t>Dinheiro</t>
        </is>
      </c>
      <c r="F85" s="2" t="inlineStr">
        <is>
          <t>Boleto "54966" do cliente "HELENA MARIA PEREIRA"</t>
        </is>
      </c>
      <c r="G85" s="2" t="inlineStr">
        <is>
          <t>system</t>
        </is>
      </c>
      <c r="H85" s="2" t="inlineStr">
        <is>
          <t>02.03.02.01 : Cobrança Bancaria</t>
        </is>
      </c>
      <c r="I85" s="2" t="n"/>
      <c r="J85" s="3" t="n">
        <v>-1.08</v>
      </c>
      <c r="K85" s="2">
        <f>IF(H85="02.09 : Outras Saídas", IF(OR(ISNUMBER(SEARCH("CHEQUE COMPE SICREDI", F85)), ISNUMBER(SEARCH("aniversario", F85)), ISNUMBER(SEARCH("churrasco", F85)), ISNUMBER(SEARCH("bolo", F85)), ISNUMBER(SEARCH("SUPERMERCADO", F85))), "6.1 Despesas Administrativas (Pessoal)", IF(OR(ISNUMBER(SEARCH("DLKNET", F85)), ISNUMBER(SEARCH("TESTE", F85))), "6.1 Despesas Administrativas (Gerais)", IFERROR(VLOOKUP(H85, De_Para!A:B, 2, FALSE), "NÃO MAPEADO"))), IFERROR(VLOOKUP(H85, De_Para!A:B, 2, FALSE), "NÃO MAPEADO"))</f>
        <v/>
      </c>
    </row>
    <row r="86">
      <c r="A86" s="2" t="inlineStr">
        <is>
          <t>69613</t>
        </is>
      </c>
      <c r="B86" s="2" t="inlineStr">
        <is>
          <t>Sicredi SNI</t>
        </is>
      </c>
      <c r="C86" s="2" t="inlineStr">
        <is>
          <t>29/06/2026</t>
        </is>
      </c>
      <c r="D86" s="2" t="inlineStr">
        <is>
          <t>29/06/2026</t>
        </is>
      </c>
      <c r="E86" s="2" t="inlineStr">
        <is>
          <t>Dinheiro</t>
        </is>
      </c>
      <c r="F86" s="2" t="inlineStr">
        <is>
          <t>Boleto "54966" do cliente "HELENA MARIA PEREIRA"</t>
        </is>
      </c>
      <c r="G86" s="2" t="inlineStr">
        <is>
          <t>system</t>
        </is>
      </c>
      <c r="H86" s="2" t="inlineStr">
        <is>
          <t>01.01.01 : Mensalidade</t>
        </is>
      </c>
      <c r="I86" s="3" t="n">
        <v>102.27</v>
      </c>
      <c r="J86" s="2" t="n"/>
      <c r="K86" s="2">
        <f>IF(H86="02.09 : Outras Saídas", IF(OR(ISNUMBER(SEARCH("CHEQUE COMPE SICREDI", F86)), ISNUMBER(SEARCH("aniversario", F86)), ISNUMBER(SEARCH("churrasco", F86)), ISNUMBER(SEARCH("bolo", F86)), ISNUMBER(SEARCH("SUPERMERCADO", F86))), "6.1 Despesas Administrativas (Pessoal)", IF(OR(ISNUMBER(SEARCH("DLKNET", F86)), ISNUMBER(SEARCH("TESTE", F86))), "6.1 Despesas Administrativas (Gerais)", IFERROR(VLOOKUP(H86, De_Para!A:B, 2, FALSE), "NÃO MAPEADO"))), IFERROR(VLOOKUP(H86, De_Para!A:B, 2, FALSE), "NÃO MAPEADO"))</f>
        <v/>
      </c>
    </row>
    <row r="87">
      <c r="A87" s="2" t="inlineStr">
        <is>
          <t>69612</t>
        </is>
      </c>
      <c r="B87" s="2" t="inlineStr">
        <is>
          <t>Sicoob</t>
        </is>
      </c>
      <c r="C87" s="2" t="inlineStr">
        <is>
          <t>29/06/2026</t>
        </is>
      </c>
      <c r="D87" s="2" t="inlineStr">
        <is>
          <t>29/06/2026</t>
        </is>
      </c>
      <c r="E87" s="2" t="inlineStr">
        <is>
          <t>Dinheiro</t>
        </is>
      </c>
      <c r="F87" s="2" t="inlineStr">
        <is>
          <t>Boleto "66783" do cliente "PIETRO NATANAEL DA SILVA VIDAL"</t>
        </is>
      </c>
      <c r="G87" s="2" t="inlineStr">
        <is>
          <t>system</t>
        </is>
      </c>
      <c r="H87" s="2" t="inlineStr">
        <is>
          <t>02.03.02.01 : Cobrança Bancaria</t>
        </is>
      </c>
      <c r="I87" s="2" t="n"/>
      <c r="J87" s="3" t="n">
        <v>-0.88</v>
      </c>
      <c r="K87" s="2">
        <f>IF(H87="02.09 : Outras Saídas", IF(OR(ISNUMBER(SEARCH("CHEQUE COMPE SICREDI", F87)), ISNUMBER(SEARCH("aniversario", F87)), ISNUMBER(SEARCH("churrasco", F87)), ISNUMBER(SEARCH("bolo", F87)), ISNUMBER(SEARCH("SUPERMERCADO", F87))), "6.1 Despesas Administrativas (Pessoal)", IF(OR(ISNUMBER(SEARCH("DLKNET", F87)), ISNUMBER(SEARCH("TESTE", F87))), "6.1 Despesas Administrativas (Gerais)", IFERROR(VLOOKUP(H87, De_Para!A:B, 2, FALSE), "NÃO MAPEADO"))), IFERROR(VLOOKUP(H87, De_Para!A:B, 2, FALSE), "NÃO MAPEADO"))</f>
        <v/>
      </c>
    </row>
    <row r="88">
      <c r="A88" s="2" t="inlineStr">
        <is>
          <t>69611</t>
        </is>
      </c>
      <c r="B88" s="2" t="inlineStr">
        <is>
          <t>Sicoob</t>
        </is>
      </c>
      <c r="C88" s="2" t="inlineStr">
        <is>
          <t>29/06/2026</t>
        </is>
      </c>
      <c r="D88" s="2" t="inlineStr">
        <is>
          <t>29/06/2026</t>
        </is>
      </c>
      <c r="E88" s="2" t="inlineStr">
        <is>
          <t>Dinheiro</t>
        </is>
      </c>
      <c r="F88" s="2" t="inlineStr">
        <is>
          <t>Boleto "66783" do cliente "PIETRO NATANAEL DA SILVA VIDAL"</t>
        </is>
      </c>
      <c r="G88" s="2" t="inlineStr">
        <is>
          <t>system</t>
        </is>
      </c>
      <c r="H88" s="2" t="inlineStr">
        <is>
          <t>01.01.01 : Mensalidade</t>
        </is>
      </c>
      <c r="I88" s="3" t="n">
        <v>109.9</v>
      </c>
      <c r="J88" s="2" t="n"/>
      <c r="K88" s="2">
        <f>IF(H88="02.09 : Outras Saídas", IF(OR(ISNUMBER(SEARCH("CHEQUE COMPE SICREDI", F88)), ISNUMBER(SEARCH("aniversario", F88)), ISNUMBER(SEARCH("churrasco", F88)), ISNUMBER(SEARCH("bolo", F88)), ISNUMBER(SEARCH("SUPERMERCADO", F88))), "6.1 Despesas Administrativas (Pessoal)", IF(OR(ISNUMBER(SEARCH("DLKNET", F88)), ISNUMBER(SEARCH("TESTE", F88))), "6.1 Despesas Administrativas (Gerais)", IFERROR(VLOOKUP(H88, De_Para!A:B, 2, FALSE), "NÃO MAPEADO"))), IFERROR(VLOOKUP(H88, De_Para!A:B, 2, FALSE), "NÃO MAPEADO"))</f>
        <v/>
      </c>
    </row>
    <row r="89">
      <c r="A89" s="2" t="inlineStr">
        <is>
          <t>69610</t>
        </is>
      </c>
      <c r="B89" s="2" t="inlineStr">
        <is>
          <t>Sicoob</t>
        </is>
      </c>
      <c r="C89" s="2" t="inlineStr">
        <is>
          <t>29/06/2026</t>
        </is>
      </c>
      <c r="D89" s="2" t="inlineStr">
        <is>
          <t>29/06/2026</t>
        </is>
      </c>
      <c r="E89" s="2" t="inlineStr">
        <is>
          <t>Dinheiro</t>
        </is>
      </c>
      <c r="F89" s="2" t="inlineStr">
        <is>
          <t>Boleto "65983" do cliente "GILMAR BATISTA DA SILVA"</t>
        </is>
      </c>
      <c r="G89" s="2" t="inlineStr">
        <is>
          <t>system</t>
        </is>
      </c>
      <c r="H89" s="2" t="inlineStr">
        <is>
          <t>02.03.02.01 : Cobrança Bancaria</t>
        </is>
      </c>
      <c r="I89" s="2" t="n"/>
      <c r="J89" s="3" t="n">
        <v>-0.88</v>
      </c>
      <c r="K89" s="2">
        <f>IF(H89="02.09 : Outras Saídas", IF(OR(ISNUMBER(SEARCH("CHEQUE COMPE SICREDI", F89)), ISNUMBER(SEARCH("aniversario", F89)), ISNUMBER(SEARCH("churrasco", F89)), ISNUMBER(SEARCH("bolo", F89)), ISNUMBER(SEARCH("SUPERMERCADO", F89))), "6.1 Despesas Administrativas (Pessoal)", IF(OR(ISNUMBER(SEARCH("DLKNET", F89)), ISNUMBER(SEARCH("TESTE", F89))), "6.1 Despesas Administrativas (Gerais)", IFERROR(VLOOKUP(H89, De_Para!A:B, 2, FALSE), "NÃO MAPEADO"))), IFERROR(VLOOKUP(H89, De_Para!A:B, 2, FALSE), "NÃO MAPEADO"))</f>
        <v/>
      </c>
    </row>
    <row r="90">
      <c r="A90" s="2" t="inlineStr">
        <is>
          <t>69609</t>
        </is>
      </c>
      <c r="B90" s="2" t="inlineStr">
        <is>
          <t>Sicoob</t>
        </is>
      </c>
      <c r="C90" s="2" t="inlineStr">
        <is>
          <t>29/06/2026</t>
        </is>
      </c>
      <c r="D90" s="2" t="inlineStr">
        <is>
          <t>29/06/2026</t>
        </is>
      </c>
      <c r="E90" s="2" t="inlineStr">
        <is>
          <t>Dinheiro</t>
        </is>
      </c>
      <c r="F90" s="2" t="inlineStr">
        <is>
          <t>Boleto "65983" do cliente "GILMAR BATISTA DA SILVA"</t>
        </is>
      </c>
      <c r="G90" s="2" t="inlineStr">
        <is>
          <t>system</t>
        </is>
      </c>
      <c r="H90" s="2" t="inlineStr">
        <is>
          <t>01.01.01 : Mensalidade</t>
        </is>
      </c>
      <c r="I90" s="3" t="n">
        <v>104.9</v>
      </c>
      <c r="J90" s="2" t="n"/>
      <c r="K90" s="2">
        <f>IF(H90="02.09 : Outras Saídas", IF(OR(ISNUMBER(SEARCH("CHEQUE COMPE SICREDI", F90)), ISNUMBER(SEARCH("aniversario", F90)), ISNUMBER(SEARCH("churrasco", F90)), ISNUMBER(SEARCH("bolo", F90)), ISNUMBER(SEARCH("SUPERMERCADO", F90))), "6.1 Despesas Administrativas (Pessoal)", IF(OR(ISNUMBER(SEARCH("DLKNET", F90)), ISNUMBER(SEARCH("TESTE", F90))), "6.1 Despesas Administrativas (Gerais)", IFERROR(VLOOKUP(H90, De_Para!A:B, 2, FALSE), "NÃO MAPEADO"))), IFERROR(VLOOKUP(H90, De_Para!A:B, 2, FALSE), "NÃO MAPEADO"))</f>
        <v/>
      </c>
    </row>
    <row r="91">
      <c r="A91" s="2" t="inlineStr">
        <is>
          <t>69608</t>
        </is>
      </c>
      <c r="B91" s="2" t="inlineStr">
        <is>
          <t>Sicoob</t>
        </is>
      </c>
      <c r="C91" s="2" t="inlineStr">
        <is>
          <t>29/06/2026</t>
        </is>
      </c>
      <c r="D91" s="2" t="inlineStr">
        <is>
          <t>29/06/2026</t>
        </is>
      </c>
      <c r="E91" s="2" t="inlineStr">
        <is>
          <t>Dinheiro</t>
        </is>
      </c>
      <c r="F91" s="2" t="inlineStr">
        <is>
          <t>Boleto "65972" do cliente "EFRAIN DE CARVALHO PAULA"</t>
        </is>
      </c>
      <c r="G91" s="2" t="inlineStr">
        <is>
          <t>system</t>
        </is>
      </c>
      <c r="H91" s="2" t="inlineStr">
        <is>
          <t>02.03.02.01 : Cobrança Bancaria</t>
        </is>
      </c>
      <c r="I91" s="2" t="n"/>
      <c r="J91" s="3" t="n">
        <v>-0.88</v>
      </c>
      <c r="K91" s="2">
        <f>IF(H91="02.09 : Outras Saídas", IF(OR(ISNUMBER(SEARCH("CHEQUE COMPE SICREDI", F91)), ISNUMBER(SEARCH("aniversario", F91)), ISNUMBER(SEARCH("churrasco", F91)), ISNUMBER(SEARCH("bolo", F91)), ISNUMBER(SEARCH("SUPERMERCADO", F91))), "6.1 Despesas Administrativas (Pessoal)", IF(OR(ISNUMBER(SEARCH("DLKNET", F91)), ISNUMBER(SEARCH("TESTE", F91))), "6.1 Despesas Administrativas (Gerais)", IFERROR(VLOOKUP(H91, De_Para!A:B, 2, FALSE), "NÃO MAPEADO"))), IFERROR(VLOOKUP(H91, De_Para!A:B, 2, FALSE), "NÃO MAPEADO"))</f>
        <v/>
      </c>
    </row>
    <row r="92">
      <c r="A92" s="2" t="inlineStr">
        <is>
          <t>69607</t>
        </is>
      </c>
      <c r="B92" s="2" t="inlineStr">
        <is>
          <t>Sicoob</t>
        </is>
      </c>
      <c r="C92" s="2" t="inlineStr">
        <is>
          <t>29/06/2026</t>
        </is>
      </c>
      <c r="D92" s="2" t="inlineStr">
        <is>
          <t>29/06/2026</t>
        </is>
      </c>
      <c r="E92" s="2" t="inlineStr">
        <is>
          <t>Dinheiro</t>
        </is>
      </c>
      <c r="F92" s="2" t="inlineStr">
        <is>
          <t>Boleto "65972" do cliente "EFRAIN DE CARVALHO PAULA"</t>
        </is>
      </c>
      <c r="G92" s="2" t="inlineStr">
        <is>
          <t>system</t>
        </is>
      </c>
      <c r="H92" s="2" t="inlineStr">
        <is>
          <t>01.03.01 : Mensalidade</t>
        </is>
      </c>
      <c r="I92" s="3" t="n">
        <v>107.41</v>
      </c>
      <c r="J92" s="2" t="n"/>
      <c r="K92" s="2">
        <f>IF(H92="02.09 : Outras Saídas", IF(OR(ISNUMBER(SEARCH("CHEQUE COMPE SICREDI", F92)), ISNUMBER(SEARCH("aniversario", F92)), ISNUMBER(SEARCH("churrasco", F92)), ISNUMBER(SEARCH("bolo", F92)), ISNUMBER(SEARCH("SUPERMERCADO", F92))), "6.1 Despesas Administrativas (Pessoal)", IF(OR(ISNUMBER(SEARCH("DLKNET", F92)), ISNUMBER(SEARCH("TESTE", F92))), "6.1 Despesas Administrativas (Gerais)", IFERROR(VLOOKUP(H92, De_Para!A:B, 2, FALSE), "NÃO MAPEADO"))), IFERROR(VLOOKUP(H92, De_Para!A:B, 2, FALSE), "NÃO MAPEADO"))</f>
        <v/>
      </c>
    </row>
    <row r="93">
      <c r="A93" s="2" t="inlineStr">
        <is>
          <t>69606</t>
        </is>
      </c>
      <c r="B93" s="2" t="inlineStr">
        <is>
          <t>Sicoob</t>
        </is>
      </c>
      <c r="C93" s="2" t="inlineStr">
        <is>
          <t>29/06/2026</t>
        </is>
      </c>
      <c r="D93" s="2" t="inlineStr">
        <is>
          <t>29/06/2026</t>
        </is>
      </c>
      <c r="E93" s="2" t="inlineStr">
        <is>
          <t>Dinheiro</t>
        </is>
      </c>
      <c r="F93" s="2" t="inlineStr">
        <is>
          <t>Boleto "65374" do cliente "ROSENILDA INOCENCIA ANACLETO"</t>
        </is>
      </c>
      <c r="G93" s="2" t="inlineStr">
        <is>
          <t>system</t>
        </is>
      </c>
      <c r="H93" s="2" t="inlineStr">
        <is>
          <t>02.03.02.01 : Cobrança Bancaria</t>
        </is>
      </c>
      <c r="I93" s="2" t="n"/>
      <c r="J93" s="3" t="n">
        <v>-0.88</v>
      </c>
      <c r="K93" s="2">
        <f>IF(H93="02.09 : Outras Saídas", IF(OR(ISNUMBER(SEARCH("CHEQUE COMPE SICREDI", F93)), ISNUMBER(SEARCH("aniversario", F93)), ISNUMBER(SEARCH("churrasco", F93)), ISNUMBER(SEARCH("bolo", F93)), ISNUMBER(SEARCH("SUPERMERCADO", F93))), "6.1 Despesas Administrativas (Pessoal)", IF(OR(ISNUMBER(SEARCH("DLKNET", F93)), ISNUMBER(SEARCH("TESTE", F93))), "6.1 Despesas Administrativas (Gerais)", IFERROR(VLOOKUP(H93, De_Para!A:B, 2, FALSE), "NÃO MAPEADO"))), IFERROR(VLOOKUP(H93, De_Para!A:B, 2, FALSE), "NÃO MAPEADO"))</f>
        <v/>
      </c>
    </row>
    <row r="94">
      <c r="A94" s="2" t="inlineStr">
        <is>
          <t>69605</t>
        </is>
      </c>
      <c r="B94" s="2" t="inlineStr">
        <is>
          <t>Sicoob</t>
        </is>
      </c>
      <c r="C94" s="2" t="inlineStr">
        <is>
          <t>29/06/2026</t>
        </is>
      </c>
      <c r="D94" s="2" t="inlineStr">
        <is>
          <t>29/06/2026</t>
        </is>
      </c>
      <c r="E94" s="2" t="inlineStr">
        <is>
          <t>Dinheiro</t>
        </is>
      </c>
      <c r="F94" s="2" t="inlineStr">
        <is>
          <t>Boleto "65374" do cliente "ROSENILDA INOCENCIA ANACLETO"</t>
        </is>
      </c>
      <c r="G94" s="2" t="inlineStr">
        <is>
          <t>system</t>
        </is>
      </c>
      <c r="H94" s="2" t="inlineStr">
        <is>
          <t>01.01.01 : Mensalidade</t>
        </is>
      </c>
      <c r="I94" s="3" t="n">
        <v>110</v>
      </c>
      <c r="J94" s="2" t="n"/>
      <c r="K94" s="2">
        <f>IF(H94="02.09 : Outras Saídas", IF(OR(ISNUMBER(SEARCH("CHEQUE COMPE SICREDI", F94)), ISNUMBER(SEARCH("aniversario", F94)), ISNUMBER(SEARCH("churrasco", F94)), ISNUMBER(SEARCH("bolo", F94)), ISNUMBER(SEARCH("SUPERMERCADO", F94))), "6.1 Despesas Administrativas (Pessoal)", IF(OR(ISNUMBER(SEARCH("DLKNET", F94)), ISNUMBER(SEARCH("TESTE", F94))), "6.1 Despesas Administrativas (Gerais)", IFERROR(VLOOKUP(H94, De_Para!A:B, 2, FALSE), "NÃO MAPEADO"))), IFERROR(VLOOKUP(H94, De_Para!A:B, 2, FALSE), "NÃO MAPEADO"))</f>
        <v/>
      </c>
    </row>
    <row r="95">
      <c r="A95" s="2" t="inlineStr">
        <is>
          <t>69604</t>
        </is>
      </c>
      <c r="B95" s="2" t="inlineStr">
        <is>
          <t>Sicoob</t>
        </is>
      </c>
      <c r="C95" s="2" t="inlineStr">
        <is>
          <t>29/06/2026</t>
        </is>
      </c>
      <c r="D95" s="2" t="inlineStr">
        <is>
          <t>29/06/2026</t>
        </is>
      </c>
      <c r="E95" s="2" t="inlineStr">
        <is>
          <t>Dinheiro</t>
        </is>
      </c>
      <c r="F95" s="2" t="inlineStr">
        <is>
          <t>Boleto "61483" do cliente "SEBASTIAO INOCENCIO DE MORAIS"</t>
        </is>
      </c>
      <c r="G95" s="2" t="inlineStr">
        <is>
          <t>system</t>
        </is>
      </c>
      <c r="H95" s="2" t="inlineStr">
        <is>
          <t>02.03.02.01 : Cobrança Bancaria</t>
        </is>
      </c>
      <c r="I95" s="2" t="n"/>
      <c r="J95" s="3" t="n">
        <v>-0.88</v>
      </c>
      <c r="K95" s="2">
        <f>IF(H95="02.09 : Outras Saídas", IF(OR(ISNUMBER(SEARCH("CHEQUE COMPE SICREDI", F95)), ISNUMBER(SEARCH("aniversario", F95)), ISNUMBER(SEARCH("churrasco", F95)), ISNUMBER(SEARCH("bolo", F95)), ISNUMBER(SEARCH("SUPERMERCADO", F95))), "6.1 Despesas Administrativas (Pessoal)", IF(OR(ISNUMBER(SEARCH("DLKNET", F95)), ISNUMBER(SEARCH("TESTE", F95))), "6.1 Despesas Administrativas (Gerais)", IFERROR(VLOOKUP(H95, De_Para!A:B, 2, FALSE), "NÃO MAPEADO"))), IFERROR(VLOOKUP(H95, De_Para!A:B, 2, FALSE), "NÃO MAPEADO"))</f>
        <v/>
      </c>
    </row>
    <row r="96">
      <c r="A96" s="2" t="inlineStr">
        <is>
          <t>69603</t>
        </is>
      </c>
      <c r="B96" s="2" t="inlineStr">
        <is>
          <t>Sicoob</t>
        </is>
      </c>
      <c r="C96" s="2" t="inlineStr">
        <is>
          <t>29/06/2026</t>
        </is>
      </c>
      <c r="D96" s="2" t="inlineStr">
        <is>
          <t>29/06/2026</t>
        </is>
      </c>
      <c r="E96" s="2" t="inlineStr">
        <is>
          <t>Dinheiro</t>
        </is>
      </c>
      <c r="F96" s="2" t="inlineStr">
        <is>
          <t>Boleto "61483" do cliente "SEBASTIAO INOCENCIO DE MORAIS"</t>
        </is>
      </c>
      <c r="G96" s="2" t="inlineStr">
        <is>
          <t>system</t>
        </is>
      </c>
      <c r="H96" s="2" t="inlineStr">
        <is>
          <t>01.01.01 : Mensalidade</t>
        </is>
      </c>
      <c r="I96" s="3" t="n">
        <v>105</v>
      </c>
      <c r="J96" s="2" t="n"/>
      <c r="K96" s="2">
        <f>IF(H96="02.09 : Outras Saídas", IF(OR(ISNUMBER(SEARCH("CHEQUE COMPE SICREDI", F96)), ISNUMBER(SEARCH("aniversario", F96)), ISNUMBER(SEARCH("churrasco", F96)), ISNUMBER(SEARCH("bolo", F96)), ISNUMBER(SEARCH("SUPERMERCADO", F96))), "6.1 Despesas Administrativas (Pessoal)", IF(OR(ISNUMBER(SEARCH("DLKNET", F96)), ISNUMBER(SEARCH("TESTE", F96))), "6.1 Despesas Administrativas (Gerais)", IFERROR(VLOOKUP(H96, De_Para!A:B, 2, FALSE), "NÃO MAPEADO"))), IFERROR(VLOOKUP(H96, De_Para!A:B, 2, FALSE), "NÃO MAPEADO"))</f>
        <v/>
      </c>
    </row>
    <row r="97">
      <c r="A97" s="2" t="inlineStr">
        <is>
          <t>69602</t>
        </is>
      </c>
      <c r="B97" s="2" t="inlineStr">
        <is>
          <t>Sicoob</t>
        </is>
      </c>
      <c r="C97" s="2" t="inlineStr">
        <is>
          <t>29/06/2026</t>
        </is>
      </c>
      <c r="D97" s="2" t="inlineStr">
        <is>
          <t>29/06/2026</t>
        </is>
      </c>
      <c r="E97" s="2" t="inlineStr">
        <is>
          <t>Dinheiro</t>
        </is>
      </c>
      <c r="F97" s="2" t="inlineStr">
        <is>
          <t>Boleto "54879" do cliente "SIMONE MIRANDA OLIVEIRA"</t>
        </is>
      </c>
      <c r="G97" s="2" t="inlineStr">
        <is>
          <t>system</t>
        </is>
      </c>
      <c r="H97" s="2" t="inlineStr">
        <is>
          <t>02.03.02.01 : Cobrança Bancaria</t>
        </is>
      </c>
      <c r="I97" s="2" t="n"/>
      <c r="J97" s="3" t="n">
        <v>-0.88</v>
      </c>
      <c r="K97" s="2">
        <f>IF(H97="02.09 : Outras Saídas", IF(OR(ISNUMBER(SEARCH("CHEQUE COMPE SICREDI", F97)), ISNUMBER(SEARCH("aniversario", F97)), ISNUMBER(SEARCH("churrasco", F97)), ISNUMBER(SEARCH("bolo", F97)), ISNUMBER(SEARCH("SUPERMERCADO", F97))), "6.1 Despesas Administrativas (Pessoal)", IF(OR(ISNUMBER(SEARCH("DLKNET", F97)), ISNUMBER(SEARCH("TESTE", F97))), "6.1 Despesas Administrativas (Gerais)", IFERROR(VLOOKUP(H97, De_Para!A:B, 2, FALSE), "NÃO MAPEADO"))), IFERROR(VLOOKUP(H97, De_Para!A:B, 2, FALSE), "NÃO MAPEADO"))</f>
        <v/>
      </c>
    </row>
    <row r="98">
      <c r="A98" s="2" t="inlineStr">
        <is>
          <t>69601</t>
        </is>
      </c>
      <c r="B98" s="2" t="inlineStr">
        <is>
          <t>Sicoob</t>
        </is>
      </c>
      <c r="C98" s="2" t="inlineStr">
        <is>
          <t>29/06/2026</t>
        </is>
      </c>
      <c r="D98" s="2" t="inlineStr">
        <is>
          <t>29/06/2026</t>
        </is>
      </c>
      <c r="E98" s="2" t="inlineStr">
        <is>
          <t>Dinheiro</t>
        </is>
      </c>
      <c r="F98" s="2" t="inlineStr">
        <is>
          <t>Boleto "54879" do cliente "SIMONE MIRANDA OLIVEIRA"</t>
        </is>
      </c>
      <c r="G98" s="2" t="inlineStr">
        <is>
          <t>system</t>
        </is>
      </c>
      <c r="H98" s="2" t="inlineStr">
        <is>
          <t>01.01.01 : Mensalidade</t>
        </is>
      </c>
      <c r="I98" s="3" t="n">
        <v>107.41</v>
      </c>
      <c r="J98" s="2" t="n"/>
      <c r="K98" s="2">
        <f>IF(H98="02.09 : Outras Saídas", IF(OR(ISNUMBER(SEARCH("CHEQUE COMPE SICREDI", F98)), ISNUMBER(SEARCH("aniversario", F98)), ISNUMBER(SEARCH("churrasco", F98)), ISNUMBER(SEARCH("bolo", F98)), ISNUMBER(SEARCH("SUPERMERCADO", F98))), "6.1 Despesas Administrativas (Pessoal)", IF(OR(ISNUMBER(SEARCH("DLKNET", F98)), ISNUMBER(SEARCH("TESTE", F98))), "6.1 Despesas Administrativas (Gerais)", IFERROR(VLOOKUP(H98, De_Para!A:B, 2, FALSE), "NÃO MAPEADO"))), IFERROR(VLOOKUP(H98, De_Para!A:B, 2, FALSE), "NÃO MAPEADO"))</f>
        <v/>
      </c>
    </row>
    <row r="99">
      <c r="A99" s="2" t="inlineStr">
        <is>
          <t>69600</t>
        </is>
      </c>
      <c r="B99" s="2" t="inlineStr">
        <is>
          <t>Sicredi SNI</t>
        </is>
      </c>
      <c r="C99" s="2" t="inlineStr">
        <is>
          <t>29/06/2026</t>
        </is>
      </c>
      <c r="D99" s="2" t="inlineStr">
        <is>
          <t>29/06/2026</t>
        </is>
      </c>
      <c r="E99" s="2" t="inlineStr">
        <is>
          <t>PIX</t>
        </is>
      </c>
      <c r="F99" s="2" t="inlineStr">
        <is>
          <t>Boleto "55010" do cliente "CLAUDINEIA SABINO LOURENÇO ALVES"</t>
        </is>
      </c>
      <c r="G99" s="2" t="inlineStr">
        <is>
          <t>system</t>
        </is>
      </c>
      <c r="H99" s="2" t="inlineStr">
        <is>
          <t>02.03.02.01 : Cobrança Bancaria</t>
        </is>
      </c>
      <c r="I99" s="2" t="n"/>
      <c r="J99" s="3" t="n">
        <v>-0.49</v>
      </c>
      <c r="K99" s="2">
        <f>IF(H99="02.09 : Outras Saídas", IF(OR(ISNUMBER(SEARCH("CHEQUE COMPE SICREDI", F99)), ISNUMBER(SEARCH("aniversario", F99)), ISNUMBER(SEARCH("churrasco", F99)), ISNUMBER(SEARCH("bolo", F99)), ISNUMBER(SEARCH("SUPERMERCADO", F99))), "6.1 Despesas Administrativas (Pessoal)", IF(OR(ISNUMBER(SEARCH("DLKNET", F99)), ISNUMBER(SEARCH("TESTE", F99))), "6.1 Despesas Administrativas (Gerais)", IFERROR(VLOOKUP(H99, De_Para!A:B, 2, FALSE), "NÃO MAPEADO"))), IFERROR(VLOOKUP(H99, De_Para!A:B, 2, FALSE), "NÃO MAPEADO"))</f>
        <v/>
      </c>
    </row>
    <row r="100">
      <c r="A100" s="2" t="inlineStr">
        <is>
          <t>69599</t>
        </is>
      </c>
      <c r="B100" s="2" t="inlineStr">
        <is>
          <t>Sicredi SNI</t>
        </is>
      </c>
      <c r="C100" s="2" t="inlineStr">
        <is>
          <t>29/06/2026</t>
        </is>
      </c>
      <c r="D100" s="2" t="inlineStr">
        <is>
          <t>29/06/2026</t>
        </is>
      </c>
      <c r="E100" s="2" t="inlineStr">
        <is>
          <t>PIX</t>
        </is>
      </c>
      <c r="F100" s="2" t="inlineStr">
        <is>
          <t>Boleto "55010" do cliente "CLAUDINEIA SABINO LOURENÇO ALVES"</t>
        </is>
      </c>
      <c r="G100" s="2" t="inlineStr">
        <is>
          <t>system</t>
        </is>
      </c>
      <c r="H100" s="2" t="inlineStr">
        <is>
          <t>01.01.01 : Mensalidade</t>
        </is>
      </c>
      <c r="I100" s="3" t="n">
        <v>105</v>
      </c>
      <c r="J100" s="2" t="n"/>
      <c r="K100" s="2">
        <f>IF(H100="02.09 : Outras Saídas", IF(OR(ISNUMBER(SEARCH("CHEQUE COMPE SICREDI", F100)), ISNUMBER(SEARCH("aniversario", F100)), ISNUMBER(SEARCH("churrasco", F100)), ISNUMBER(SEARCH("bolo", F100)), ISNUMBER(SEARCH("SUPERMERCADO", F100))), "6.1 Despesas Administrativas (Pessoal)", IF(OR(ISNUMBER(SEARCH("DLKNET", F100)), ISNUMBER(SEARCH("TESTE", F100))), "6.1 Despesas Administrativas (Gerais)", IFERROR(VLOOKUP(H100, De_Para!A:B, 2, FALSE), "NÃO MAPEADO"))), IFERROR(VLOOKUP(H100, De_Para!A:B, 2, FALSE), "NÃO MAPEADO"))</f>
        <v/>
      </c>
    </row>
    <row r="101">
      <c r="A101" s="2" t="inlineStr">
        <is>
          <t>69598</t>
        </is>
      </c>
      <c r="B101" s="2" t="inlineStr">
        <is>
          <t>Sicredi SNI</t>
        </is>
      </c>
      <c r="C101" s="2" t="inlineStr">
        <is>
          <t>29/06/2026</t>
        </is>
      </c>
      <c r="D101" s="2" t="inlineStr">
        <is>
          <t>29/06/2026</t>
        </is>
      </c>
      <c r="E101" s="2" t="inlineStr">
        <is>
          <t>Dinheiro</t>
        </is>
      </c>
      <c r="F101" s="2" t="inlineStr">
        <is>
          <t>Boleto "63906" do cliente "OSNI DONIZETE MISTERIO"</t>
        </is>
      </c>
      <c r="G101" s="2" t="inlineStr">
        <is>
          <t>system</t>
        </is>
      </c>
      <c r="H101" s="2" t="inlineStr">
        <is>
          <t>02.03.02.01 : Cobrança Bancaria</t>
        </is>
      </c>
      <c r="I101" s="2" t="n"/>
      <c r="J101" s="3" t="n">
        <v>-1.08</v>
      </c>
      <c r="K101" s="2">
        <f>IF(H101="02.09 : Outras Saídas", IF(OR(ISNUMBER(SEARCH("CHEQUE COMPE SICREDI", F101)), ISNUMBER(SEARCH("aniversario", F101)), ISNUMBER(SEARCH("churrasco", F101)), ISNUMBER(SEARCH("bolo", F101)), ISNUMBER(SEARCH("SUPERMERCADO", F101))), "6.1 Despesas Administrativas (Pessoal)", IF(OR(ISNUMBER(SEARCH("DLKNET", F101)), ISNUMBER(SEARCH("TESTE", F101))), "6.1 Despesas Administrativas (Gerais)", IFERROR(VLOOKUP(H101, De_Para!A:B, 2, FALSE), "NÃO MAPEADO"))), IFERROR(VLOOKUP(H101, De_Para!A:B, 2, FALSE), "NÃO MAPEADO"))</f>
        <v/>
      </c>
    </row>
    <row r="102">
      <c r="A102" s="2" t="inlineStr">
        <is>
          <t>69597</t>
        </is>
      </c>
      <c r="B102" s="2" t="inlineStr">
        <is>
          <t>Sicredi SNI</t>
        </is>
      </c>
      <c r="C102" s="2" t="inlineStr">
        <is>
          <t>29/06/2026</t>
        </is>
      </c>
      <c r="D102" s="2" t="inlineStr">
        <is>
          <t>29/06/2026</t>
        </is>
      </c>
      <c r="E102" s="2" t="inlineStr">
        <is>
          <t>Dinheiro</t>
        </is>
      </c>
      <c r="F102" s="2" t="inlineStr">
        <is>
          <t>Boleto "63906" do cliente "OSNI DONIZETE MISTERIO"</t>
        </is>
      </c>
      <c r="G102" s="2" t="inlineStr">
        <is>
          <t>system</t>
        </is>
      </c>
      <c r="H102" s="2" t="inlineStr">
        <is>
          <t>01.01.01 : Mensalidade</t>
        </is>
      </c>
      <c r="I102" s="3" t="n">
        <v>107.27</v>
      </c>
      <c r="J102" s="2" t="n"/>
      <c r="K102" s="2">
        <f>IF(H102="02.09 : Outras Saídas", IF(OR(ISNUMBER(SEARCH("CHEQUE COMPE SICREDI", F102)), ISNUMBER(SEARCH("aniversario", F102)), ISNUMBER(SEARCH("churrasco", F102)), ISNUMBER(SEARCH("bolo", F102)), ISNUMBER(SEARCH("SUPERMERCADO", F102))), "6.1 Despesas Administrativas (Pessoal)", IF(OR(ISNUMBER(SEARCH("DLKNET", F102)), ISNUMBER(SEARCH("TESTE", F102))), "6.1 Despesas Administrativas (Gerais)", IFERROR(VLOOKUP(H102, De_Para!A:B, 2, FALSE), "NÃO MAPEADO"))), IFERROR(VLOOKUP(H102, De_Para!A:B, 2, FALSE), "NÃO MAPEADO"))</f>
        <v/>
      </c>
    </row>
    <row r="103">
      <c r="A103" s="2" t="inlineStr">
        <is>
          <t>69596</t>
        </is>
      </c>
      <c r="B103" s="2" t="inlineStr">
        <is>
          <t>Sicoob</t>
        </is>
      </c>
      <c r="C103" s="2" t="inlineStr">
        <is>
          <t>29/06/2026</t>
        </is>
      </c>
      <c r="D103" s="2" t="inlineStr">
        <is>
          <t>29/06/2026</t>
        </is>
      </c>
      <c r="E103" s="2" t="inlineStr">
        <is>
          <t>Dinheiro</t>
        </is>
      </c>
      <c r="F103" s="2" t="inlineStr">
        <is>
          <t>Boleto "69218" do cliente "EDILSON JOSE VIDAL"</t>
        </is>
      </c>
      <c r="G103" s="2" t="inlineStr">
        <is>
          <t>system</t>
        </is>
      </c>
      <c r="H103" s="2" t="inlineStr">
        <is>
          <t>02.03.02.01 : Cobrança Bancaria</t>
        </is>
      </c>
      <c r="I103" s="2" t="n"/>
      <c r="J103" s="3" t="n">
        <v>-0.88</v>
      </c>
      <c r="K103" s="2">
        <f>IF(H103="02.09 : Outras Saídas", IF(OR(ISNUMBER(SEARCH("CHEQUE COMPE SICREDI", F103)), ISNUMBER(SEARCH("aniversario", F103)), ISNUMBER(SEARCH("churrasco", F103)), ISNUMBER(SEARCH("bolo", F103)), ISNUMBER(SEARCH("SUPERMERCADO", F103))), "6.1 Despesas Administrativas (Pessoal)", IF(OR(ISNUMBER(SEARCH("DLKNET", F103)), ISNUMBER(SEARCH("TESTE", F103))), "6.1 Despesas Administrativas (Gerais)", IFERROR(VLOOKUP(H103, De_Para!A:B, 2, FALSE), "NÃO MAPEADO"))), IFERROR(VLOOKUP(H103, De_Para!A:B, 2, FALSE), "NÃO MAPEADO"))</f>
        <v/>
      </c>
    </row>
    <row r="104">
      <c r="A104" s="2" t="inlineStr">
        <is>
          <t>69595</t>
        </is>
      </c>
      <c r="B104" s="2" t="inlineStr">
        <is>
          <t>Sicoob</t>
        </is>
      </c>
      <c r="C104" s="2" t="inlineStr">
        <is>
          <t>29/06/2026</t>
        </is>
      </c>
      <c r="D104" s="2" t="inlineStr">
        <is>
          <t>29/06/2026</t>
        </is>
      </c>
      <c r="E104" s="2" t="inlineStr">
        <is>
          <t>Dinheiro</t>
        </is>
      </c>
      <c r="F104" s="2" t="inlineStr">
        <is>
          <t>Boleto "69218" do cliente "EDILSON JOSE VIDAL"</t>
        </is>
      </c>
      <c r="G104" s="2" t="inlineStr">
        <is>
          <t>system</t>
        </is>
      </c>
      <c r="H104" s="2" t="inlineStr">
        <is>
          <t>01.01.01 : Mensalidade</t>
        </is>
      </c>
      <c r="I104" s="3" t="n">
        <v>109.9</v>
      </c>
      <c r="J104" s="2" t="n"/>
      <c r="K104" s="2">
        <f>IF(H104="02.09 : Outras Saídas", IF(OR(ISNUMBER(SEARCH("CHEQUE COMPE SICREDI", F104)), ISNUMBER(SEARCH("aniversario", F104)), ISNUMBER(SEARCH("churrasco", F104)), ISNUMBER(SEARCH("bolo", F104)), ISNUMBER(SEARCH("SUPERMERCADO", F104))), "6.1 Despesas Administrativas (Pessoal)", IF(OR(ISNUMBER(SEARCH("DLKNET", F104)), ISNUMBER(SEARCH("TESTE", F104))), "6.1 Despesas Administrativas (Gerais)", IFERROR(VLOOKUP(H104, De_Para!A:B, 2, FALSE), "NÃO MAPEADO"))), IFERROR(VLOOKUP(H104, De_Para!A:B, 2, FALSE), "NÃO MAPEADO"))</f>
        <v/>
      </c>
    </row>
    <row r="105">
      <c r="A105" s="2" t="inlineStr">
        <is>
          <t>69594</t>
        </is>
      </c>
      <c r="B105" s="2" t="inlineStr">
        <is>
          <t>Sicoob</t>
        </is>
      </c>
      <c r="C105" s="2" t="inlineStr">
        <is>
          <t>29/06/2026</t>
        </is>
      </c>
      <c r="D105" s="2" t="inlineStr">
        <is>
          <t>29/06/2026</t>
        </is>
      </c>
      <c r="E105" s="2" t="inlineStr">
        <is>
          <t>Dinheiro</t>
        </is>
      </c>
      <c r="F105" s="2" t="inlineStr">
        <is>
          <t>Boleto "69211" do cliente "CASSIA COLLINS SIQUEIRA"</t>
        </is>
      </c>
      <c r="G105" s="2" t="inlineStr">
        <is>
          <t>system</t>
        </is>
      </c>
      <c r="H105" s="2" t="inlineStr">
        <is>
          <t>02.03.02.01 : Cobrança Bancaria</t>
        </is>
      </c>
      <c r="I105" s="2" t="n"/>
      <c r="J105" s="3" t="n">
        <v>-0.88</v>
      </c>
      <c r="K105" s="2">
        <f>IF(H105="02.09 : Outras Saídas", IF(OR(ISNUMBER(SEARCH("CHEQUE COMPE SICREDI", F105)), ISNUMBER(SEARCH("aniversario", F105)), ISNUMBER(SEARCH("churrasco", F105)), ISNUMBER(SEARCH("bolo", F105)), ISNUMBER(SEARCH("SUPERMERCADO", F105))), "6.1 Despesas Administrativas (Pessoal)", IF(OR(ISNUMBER(SEARCH("DLKNET", F105)), ISNUMBER(SEARCH("TESTE", F105))), "6.1 Despesas Administrativas (Gerais)", IFERROR(VLOOKUP(H105, De_Para!A:B, 2, FALSE), "NÃO MAPEADO"))), IFERROR(VLOOKUP(H105, De_Para!A:B, 2, FALSE), "NÃO MAPEADO"))</f>
        <v/>
      </c>
    </row>
    <row r="106">
      <c r="A106" s="2" t="inlineStr">
        <is>
          <t>69593</t>
        </is>
      </c>
      <c r="B106" s="2" t="inlineStr">
        <is>
          <t>Sicoob</t>
        </is>
      </c>
      <c r="C106" s="2" t="inlineStr">
        <is>
          <t>29/06/2026</t>
        </is>
      </c>
      <c r="D106" s="2" t="inlineStr">
        <is>
          <t>29/06/2026</t>
        </is>
      </c>
      <c r="E106" s="2" t="inlineStr">
        <is>
          <t>Dinheiro</t>
        </is>
      </c>
      <c r="F106" s="2" t="inlineStr">
        <is>
          <t>Boleto "69211" do cliente "CASSIA COLLINS SIQUEIRA"</t>
        </is>
      </c>
      <c r="G106" s="2" t="inlineStr">
        <is>
          <t>system</t>
        </is>
      </c>
      <c r="H106" s="2" t="inlineStr">
        <is>
          <t>01.03.02 : Adesão</t>
        </is>
      </c>
      <c r="I106" s="3" t="n">
        <v>100</v>
      </c>
      <c r="J106" s="2" t="n"/>
      <c r="K106" s="2">
        <f>IF(H106="02.09 : Outras Saídas", IF(OR(ISNUMBER(SEARCH("CHEQUE COMPE SICREDI", F106)), ISNUMBER(SEARCH("aniversario", F106)), ISNUMBER(SEARCH("churrasco", F106)), ISNUMBER(SEARCH("bolo", F106)), ISNUMBER(SEARCH("SUPERMERCADO", F106))), "6.1 Despesas Administrativas (Pessoal)", IF(OR(ISNUMBER(SEARCH("DLKNET", F106)), ISNUMBER(SEARCH("TESTE", F106))), "6.1 Despesas Administrativas (Gerais)", IFERROR(VLOOKUP(H106, De_Para!A:B, 2, FALSE), "NÃO MAPEADO"))), IFERROR(VLOOKUP(H106, De_Para!A:B, 2, FALSE), "NÃO MAPEADO"))</f>
        <v/>
      </c>
    </row>
    <row r="107">
      <c r="A107" s="2" t="inlineStr">
        <is>
          <t>69592</t>
        </is>
      </c>
      <c r="B107" s="2" t="inlineStr">
        <is>
          <t>Sicoob</t>
        </is>
      </c>
      <c r="C107" s="2" t="inlineStr">
        <is>
          <t>29/06/2026</t>
        </is>
      </c>
      <c r="D107" s="2" t="inlineStr">
        <is>
          <t>29/06/2026</t>
        </is>
      </c>
      <c r="E107" s="2" t="inlineStr">
        <is>
          <t>Dinheiro</t>
        </is>
      </c>
      <c r="F107" s="2" t="inlineStr">
        <is>
          <t>Boleto "68662" do cliente "RONALDO CORDEIRO"</t>
        </is>
      </c>
      <c r="G107" s="2" t="inlineStr">
        <is>
          <t>system</t>
        </is>
      </c>
      <c r="H107" s="2" t="inlineStr">
        <is>
          <t>02.03.02.01 : Cobrança Bancaria</t>
        </is>
      </c>
      <c r="I107" s="2" t="n"/>
      <c r="J107" s="3" t="n">
        <v>-0.88</v>
      </c>
      <c r="K107" s="2">
        <f>IF(H107="02.09 : Outras Saídas", IF(OR(ISNUMBER(SEARCH("CHEQUE COMPE SICREDI", F107)), ISNUMBER(SEARCH("aniversario", F107)), ISNUMBER(SEARCH("churrasco", F107)), ISNUMBER(SEARCH("bolo", F107)), ISNUMBER(SEARCH("SUPERMERCADO", F107))), "6.1 Despesas Administrativas (Pessoal)", IF(OR(ISNUMBER(SEARCH("DLKNET", F107)), ISNUMBER(SEARCH("TESTE", F107))), "6.1 Despesas Administrativas (Gerais)", IFERROR(VLOOKUP(H107, De_Para!A:B, 2, FALSE), "NÃO MAPEADO"))), IFERROR(VLOOKUP(H107, De_Para!A:B, 2, FALSE), "NÃO MAPEADO"))</f>
        <v/>
      </c>
    </row>
    <row r="108">
      <c r="A108" s="2" t="inlineStr">
        <is>
          <t>69591</t>
        </is>
      </c>
      <c r="B108" s="2" t="inlineStr">
        <is>
          <t>Sicoob</t>
        </is>
      </c>
      <c r="C108" s="2" t="inlineStr">
        <is>
          <t>29/06/2026</t>
        </is>
      </c>
      <c r="D108" s="2" t="inlineStr">
        <is>
          <t>29/06/2026</t>
        </is>
      </c>
      <c r="E108" s="2" t="inlineStr">
        <is>
          <t>Dinheiro</t>
        </is>
      </c>
      <c r="F108" s="2" t="inlineStr">
        <is>
          <t>Boleto "68662" do cliente "RONALDO CORDEIRO"</t>
        </is>
      </c>
      <c r="G108" s="2" t="inlineStr">
        <is>
          <t>system</t>
        </is>
      </c>
      <c r="H108" s="2" t="inlineStr">
        <is>
          <t>01.01.01 : Mensalidade</t>
        </is>
      </c>
      <c r="I108" s="3" t="n">
        <v>112.34</v>
      </c>
      <c r="J108" s="2" t="n"/>
      <c r="K108" s="2">
        <f>IF(H108="02.09 : Outras Saídas", IF(OR(ISNUMBER(SEARCH("CHEQUE COMPE SICREDI", F108)), ISNUMBER(SEARCH("aniversario", F108)), ISNUMBER(SEARCH("churrasco", F108)), ISNUMBER(SEARCH("bolo", F108)), ISNUMBER(SEARCH("SUPERMERCADO", F108))), "6.1 Despesas Administrativas (Pessoal)", IF(OR(ISNUMBER(SEARCH("DLKNET", F108)), ISNUMBER(SEARCH("TESTE", F108))), "6.1 Despesas Administrativas (Gerais)", IFERROR(VLOOKUP(H108, De_Para!A:B, 2, FALSE), "NÃO MAPEADO"))), IFERROR(VLOOKUP(H108, De_Para!A:B, 2, FALSE), "NÃO MAPEADO"))</f>
        <v/>
      </c>
    </row>
    <row r="109">
      <c r="A109" s="2" t="inlineStr">
        <is>
          <t>69590</t>
        </is>
      </c>
      <c r="B109" s="2" t="inlineStr">
        <is>
          <t>Sicoob</t>
        </is>
      </c>
      <c r="C109" s="2" t="inlineStr">
        <is>
          <t>29/06/2026</t>
        </is>
      </c>
      <c r="D109" s="2" t="inlineStr">
        <is>
          <t>29/06/2026</t>
        </is>
      </c>
      <c r="E109" s="2" t="inlineStr">
        <is>
          <t>Dinheiro</t>
        </is>
      </c>
      <c r="F109" s="2" t="inlineStr">
        <is>
          <t>Boleto "68104" do cliente "ANA CAROLINA FERREIRA LINO"</t>
        </is>
      </c>
      <c r="G109" s="2" t="inlineStr">
        <is>
          <t>system</t>
        </is>
      </c>
      <c r="H109" s="2" t="inlineStr">
        <is>
          <t>02.03.02.01 : Cobrança Bancaria</t>
        </is>
      </c>
      <c r="I109" s="2" t="n"/>
      <c r="J109" s="3" t="n">
        <v>-0.88</v>
      </c>
      <c r="K109" s="2">
        <f>IF(H109="02.09 : Outras Saídas", IF(OR(ISNUMBER(SEARCH("CHEQUE COMPE SICREDI", F109)), ISNUMBER(SEARCH("aniversario", F109)), ISNUMBER(SEARCH("churrasco", F109)), ISNUMBER(SEARCH("bolo", F109)), ISNUMBER(SEARCH("SUPERMERCADO", F109))), "6.1 Despesas Administrativas (Pessoal)", IF(OR(ISNUMBER(SEARCH("DLKNET", F109)), ISNUMBER(SEARCH("TESTE", F109))), "6.1 Despesas Administrativas (Gerais)", IFERROR(VLOOKUP(H109, De_Para!A:B, 2, FALSE), "NÃO MAPEADO"))), IFERROR(VLOOKUP(H109, De_Para!A:B, 2, FALSE), "NÃO MAPEADO"))</f>
        <v/>
      </c>
    </row>
    <row r="110">
      <c r="A110" s="2" t="inlineStr">
        <is>
          <t>69589</t>
        </is>
      </c>
      <c r="B110" s="2" t="inlineStr">
        <is>
          <t>Sicoob</t>
        </is>
      </c>
      <c r="C110" s="2" t="inlineStr">
        <is>
          <t>29/06/2026</t>
        </is>
      </c>
      <c r="D110" s="2" t="inlineStr">
        <is>
          <t>29/06/2026</t>
        </is>
      </c>
      <c r="E110" s="2" t="inlineStr">
        <is>
          <t>Dinheiro</t>
        </is>
      </c>
      <c r="F110" s="2" t="inlineStr">
        <is>
          <t>Boleto "68104" do cliente "ANA CAROLINA FERREIRA LINO"</t>
        </is>
      </c>
      <c r="G110" s="2" t="inlineStr">
        <is>
          <t>system</t>
        </is>
      </c>
      <c r="H110" s="2" t="inlineStr">
        <is>
          <t>01.01.01 : Mensalidade</t>
        </is>
      </c>
      <c r="I110" s="3" t="n">
        <v>107.05</v>
      </c>
      <c r="J110" s="2" t="n"/>
      <c r="K110" s="2">
        <f>IF(H110="02.09 : Outras Saídas", IF(OR(ISNUMBER(SEARCH("CHEQUE COMPE SICREDI", F110)), ISNUMBER(SEARCH("aniversario", F110)), ISNUMBER(SEARCH("churrasco", F110)), ISNUMBER(SEARCH("bolo", F110)), ISNUMBER(SEARCH("SUPERMERCADO", F110))), "6.1 Despesas Administrativas (Pessoal)", IF(OR(ISNUMBER(SEARCH("DLKNET", F110)), ISNUMBER(SEARCH("TESTE", F110))), "6.1 Despesas Administrativas (Gerais)", IFERROR(VLOOKUP(H110, De_Para!A:B, 2, FALSE), "NÃO MAPEADO"))), IFERROR(VLOOKUP(H110, De_Para!A:B, 2, FALSE), "NÃO MAPEADO"))</f>
        <v/>
      </c>
    </row>
    <row r="111">
      <c r="A111" s="2" t="inlineStr">
        <is>
          <t>69588</t>
        </is>
      </c>
      <c r="B111" s="2" t="inlineStr">
        <is>
          <t>Sicoob</t>
        </is>
      </c>
      <c r="C111" s="2" t="inlineStr">
        <is>
          <t>29/06/2026</t>
        </is>
      </c>
      <c r="D111" s="2" t="inlineStr">
        <is>
          <t>29/06/2026</t>
        </is>
      </c>
      <c r="E111" s="2" t="inlineStr">
        <is>
          <t>Dinheiro</t>
        </is>
      </c>
      <c r="F111" s="2" t="inlineStr">
        <is>
          <t>Boleto "67945" do cliente "LEONARDO MATHIAS CRUZ DE SOUZA"</t>
        </is>
      </c>
      <c r="G111" s="2" t="inlineStr">
        <is>
          <t>system</t>
        </is>
      </c>
      <c r="H111" s="2" t="inlineStr">
        <is>
          <t>02.03.02.01 : Cobrança Bancaria</t>
        </is>
      </c>
      <c r="I111" s="2" t="n"/>
      <c r="J111" s="3" t="n">
        <v>-0.88</v>
      </c>
      <c r="K111" s="2">
        <f>IF(H111="02.09 : Outras Saídas", IF(OR(ISNUMBER(SEARCH("CHEQUE COMPE SICREDI", F111)), ISNUMBER(SEARCH("aniversario", F111)), ISNUMBER(SEARCH("churrasco", F111)), ISNUMBER(SEARCH("bolo", F111)), ISNUMBER(SEARCH("SUPERMERCADO", F111))), "6.1 Despesas Administrativas (Pessoal)", IF(OR(ISNUMBER(SEARCH("DLKNET", F111)), ISNUMBER(SEARCH("TESTE", F111))), "6.1 Despesas Administrativas (Gerais)", IFERROR(VLOOKUP(H111, De_Para!A:B, 2, FALSE), "NÃO MAPEADO"))), IFERROR(VLOOKUP(H111, De_Para!A:B, 2, FALSE), "NÃO MAPEADO"))</f>
        <v/>
      </c>
    </row>
    <row r="112">
      <c r="A112" s="2" t="inlineStr">
        <is>
          <t>69587</t>
        </is>
      </c>
      <c r="B112" s="2" t="inlineStr">
        <is>
          <t>Sicoob</t>
        </is>
      </c>
      <c r="C112" s="2" t="inlineStr">
        <is>
          <t>29/06/2026</t>
        </is>
      </c>
      <c r="D112" s="2" t="inlineStr">
        <is>
          <t>29/06/2026</t>
        </is>
      </c>
      <c r="E112" s="2" t="inlineStr">
        <is>
          <t>Dinheiro</t>
        </is>
      </c>
      <c r="F112" s="2" t="inlineStr">
        <is>
          <t>Boleto "67945" do cliente "LEONARDO MATHIAS CRUZ DE SOUZA"</t>
        </is>
      </c>
      <c r="G112" s="2" t="inlineStr">
        <is>
          <t>system</t>
        </is>
      </c>
      <c r="H112" s="2" t="inlineStr">
        <is>
          <t>01.01.01 : Mensalidade</t>
        </is>
      </c>
      <c r="I112" s="3" t="n">
        <v>99.90000000000001</v>
      </c>
      <c r="J112" s="2" t="n"/>
      <c r="K112" s="2">
        <f>IF(H112="02.09 : Outras Saídas", IF(OR(ISNUMBER(SEARCH("CHEQUE COMPE SICREDI", F112)), ISNUMBER(SEARCH("aniversario", F112)), ISNUMBER(SEARCH("churrasco", F112)), ISNUMBER(SEARCH("bolo", F112)), ISNUMBER(SEARCH("SUPERMERCADO", F112))), "6.1 Despesas Administrativas (Pessoal)", IF(OR(ISNUMBER(SEARCH("DLKNET", F112)), ISNUMBER(SEARCH("TESTE", F112))), "6.1 Despesas Administrativas (Gerais)", IFERROR(VLOOKUP(H112, De_Para!A:B, 2, FALSE), "NÃO MAPEADO"))), IFERROR(VLOOKUP(H112, De_Para!A:B, 2, FALSE), "NÃO MAPEADO"))</f>
        <v/>
      </c>
    </row>
    <row r="113">
      <c r="A113" s="2" t="inlineStr">
        <is>
          <t>69586</t>
        </is>
      </c>
      <c r="B113" s="2" t="inlineStr">
        <is>
          <t>Sicoob</t>
        </is>
      </c>
      <c r="C113" s="2" t="inlineStr">
        <is>
          <t>29/06/2026</t>
        </is>
      </c>
      <c r="D113" s="2" t="inlineStr">
        <is>
          <t>29/06/2026</t>
        </is>
      </c>
      <c r="E113" s="2" t="inlineStr">
        <is>
          <t>Dinheiro</t>
        </is>
      </c>
      <c r="F113" s="2" t="inlineStr">
        <is>
          <t>Boleto "67864" do cliente "MAURO VITTURI"</t>
        </is>
      </c>
      <c r="G113" s="2" t="inlineStr">
        <is>
          <t>system</t>
        </is>
      </c>
      <c r="H113" s="2" t="inlineStr">
        <is>
          <t>02.03.02.01 : Cobrança Bancaria</t>
        </is>
      </c>
      <c r="I113" s="2" t="n"/>
      <c r="J113" s="3" t="n">
        <v>-0.88</v>
      </c>
      <c r="K113" s="2">
        <f>IF(H113="02.09 : Outras Saídas", IF(OR(ISNUMBER(SEARCH("CHEQUE COMPE SICREDI", F113)), ISNUMBER(SEARCH("aniversario", F113)), ISNUMBER(SEARCH("churrasco", F113)), ISNUMBER(SEARCH("bolo", F113)), ISNUMBER(SEARCH("SUPERMERCADO", F113))), "6.1 Despesas Administrativas (Pessoal)", IF(OR(ISNUMBER(SEARCH("DLKNET", F113)), ISNUMBER(SEARCH("TESTE", F113))), "6.1 Despesas Administrativas (Gerais)", IFERROR(VLOOKUP(H113, De_Para!A:B, 2, FALSE), "NÃO MAPEADO"))), IFERROR(VLOOKUP(H113, De_Para!A:B, 2, FALSE), "NÃO MAPEADO"))</f>
        <v/>
      </c>
    </row>
    <row r="114">
      <c r="A114" s="2" t="inlineStr">
        <is>
          <t>69585</t>
        </is>
      </c>
      <c r="B114" s="2" t="inlineStr">
        <is>
          <t>Sicoob</t>
        </is>
      </c>
      <c r="C114" s="2" t="inlineStr">
        <is>
          <t>29/06/2026</t>
        </is>
      </c>
      <c r="D114" s="2" t="inlineStr">
        <is>
          <t>29/06/2026</t>
        </is>
      </c>
      <c r="E114" s="2" t="inlineStr">
        <is>
          <t>Dinheiro</t>
        </is>
      </c>
      <c r="F114" s="2" t="inlineStr">
        <is>
          <t>Boleto "67864" do cliente "MAURO VITTURI"</t>
        </is>
      </c>
      <c r="G114" s="2" t="inlineStr">
        <is>
          <t>system</t>
        </is>
      </c>
      <c r="H114" s="2" t="inlineStr">
        <is>
          <t>01.01.01 : Mensalidade</t>
        </is>
      </c>
      <c r="I114" s="3" t="n">
        <v>107.12</v>
      </c>
      <c r="J114" s="2" t="n"/>
      <c r="K114" s="2">
        <f>IF(H114="02.09 : Outras Saídas", IF(OR(ISNUMBER(SEARCH("CHEQUE COMPE SICREDI", F114)), ISNUMBER(SEARCH("aniversario", F114)), ISNUMBER(SEARCH("churrasco", F114)), ISNUMBER(SEARCH("bolo", F114)), ISNUMBER(SEARCH("SUPERMERCADO", F114))), "6.1 Despesas Administrativas (Pessoal)", IF(OR(ISNUMBER(SEARCH("DLKNET", F114)), ISNUMBER(SEARCH("TESTE", F114))), "6.1 Despesas Administrativas (Gerais)", IFERROR(VLOOKUP(H114, De_Para!A:B, 2, FALSE), "NÃO MAPEADO"))), IFERROR(VLOOKUP(H114, De_Para!A:B, 2, FALSE), "NÃO MAPEADO"))</f>
        <v/>
      </c>
    </row>
    <row r="115">
      <c r="A115" s="2" t="inlineStr">
        <is>
          <t>69584</t>
        </is>
      </c>
      <c r="B115" s="2" t="inlineStr">
        <is>
          <t>Sicoob</t>
        </is>
      </c>
      <c r="C115" s="2" t="inlineStr">
        <is>
          <t>29/06/2026</t>
        </is>
      </c>
      <c r="D115" s="2" t="inlineStr">
        <is>
          <t>29/06/2026</t>
        </is>
      </c>
      <c r="E115" s="2" t="inlineStr">
        <is>
          <t>Dinheiro</t>
        </is>
      </c>
      <c r="F115" s="2" t="inlineStr">
        <is>
          <t>Boleto "66629" do cliente "ELIAS JOSE GOMES"</t>
        </is>
      </c>
      <c r="G115" s="2" t="inlineStr">
        <is>
          <t>system</t>
        </is>
      </c>
      <c r="H115" s="2" t="inlineStr">
        <is>
          <t>02.03.02.01 : Cobrança Bancaria</t>
        </is>
      </c>
      <c r="I115" s="2" t="n"/>
      <c r="J115" s="3" t="n">
        <v>-0.88</v>
      </c>
      <c r="K115" s="2">
        <f>IF(H115="02.09 : Outras Saídas", IF(OR(ISNUMBER(SEARCH("CHEQUE COMPE SICREDI", F115)), ISNUMBER(SEARCH("aniversario", F115)), ISNUMBER(SEARCH("churrasco", F115)), ISNUMBER(SEARCH("bolo", F115)), ISNUMBER(SEARCH("SUPERMERCADO", F115))), "6.1 Despesas Administrativas (Pessoal)", IF(OR(ISNUMBER(SEARCH("DLKNET", F115)), ISNUMBER(SEARCH("TESTE", F115))), "6.1 Despesas Administrativas (Gerais)", IFERROR(VLOOKUP(H115, De_Para!A:B, 2, FALSE), "NÃO MAPEADO"))), IFERROR(VLOOKUP(H115, De_Para!A:B, 2, FALSE), "NÃO MAPEADO"))</f>
        <v/>
      </c>
    </row>
    <row r="116">
      <c r="A116" s="2" t="inlineStr">
        <is>
          <t>69583</t>
        </is>
      </c>
      <c r="B116" s="2" t="inlineStr">
        <is>
          <t>Sicoob</t>
        </is>
      </c>
      <c r="C116" s="2" t="inlineStr">
        <is>
          <t>29/06/2026</t>
        </is>
      </c>
      <c r="D116" s="2" t="inlineStr">
        <is>
          <t>29/06/2026</t>
        </is>
      </c>
      <c r="E116" s="2" t="inlineStr">
        <is>
          <t>Dinheiro</t>
        </is>
      </c>
      <c r="F116" s="2" t="inlineStr">
        <is>
          <t>Boleto "66629" do cliente "ELIAS JOSE GOMES"</t>
        </is>
      </c>
      <c r="G116" s="2" t="inlineStr">
        <is>
          <t>system</t>
        </is>
      </c>
      <c r="H116" s="2" t="inlineStr">
        <is>
          <t>01.01.01 : Mensalidade</t>
        </is>
      </c>
      <c r="I116" s="3" t="n">
        <v>104.9</v>
      </c>
      <c r="J116" s="2" t="n"/>
      <c r="K116" s="2">
        <f>IF(H116="02.09 : Outras Saídas", IF(OR(ISNUMBER(SEARCH("CHEQUE COMPE SICREDI", F116)), ISNUMBER(SEARCH("aniversario", F116)), ISNUMBER(SEARCH("churrasco", F116)), ISNUMBER(SEARCH("bolo", F116)), ISNUMBER(SEARCH("SUPERMERCADO", F116))), "6.1 Despesas Administrativas (Pessoal)", IF(OR(ISNUMBER(SEARCH("DLKNET", F116)), ISNUMBER(SEARCH("TESTE", F116))), "6.1 Despesas Administrativas (Gerais)", IFERROR(VLOOKUP(H116, De_Para!A:B, 2, FALSE), "NÃO MAPEADO"))), IFERROR(VLOOKUP(H116, De_Para!A:B, 2, FALSE), "NÃO MAPEADO"))</f>
        <v/>
      </c>
    </row>
    <row r="117">
      <c r="A117" s="2" t="inlineStr">
        <is>
          <t>69582</t>
        </is>
      </c>
      <c r="B117" s="2" t="inlineStr">
        <is>
          <t>Sicoob</t>
        </is>
      </c>
      <c r="C117" s="2" t="inlineStr">
        <is>
          <t>29/06/2026</t>
        </is>
      </c>
      <c r="D117" s="2" t="inlineStr">
        <is>
          <t>29/06/2026</t>
        </is>
      </c>
      <c r="E117" s="2" t="inlineStr">
        <is>
          <t>Dinheiro</t>
        </is>
      </c>
      <c r="F117" s="2" t="inlineStr">
        <is>
          <t>Boleto "66211" do cliente "ADIR MARQUES DE CARVALHO"</t>
        </is>
      </c>
      <c r="G117" s="2" t="inlineStr">
        <is>
          <t>system</t>
        </is>
      </c>
      <c r="H117" s="2" t="inlineStr">
        <is>
          <t>02.03.02.01 : Cobrança Bancaria</t>
        </is>
      </c>
      <c r="I117" s="2" t="n"/>
      <c r="J117" s="3" t="n">
        <v>-0.88</v>
      </c>
      <c r="K117" s="2">
        <f>IF(H117="02.09 : Outras Saídas", IF(OR(ISNUMBER(SEARCH("CHEQUE COMPE SICREDI", F117)), ISNUMBER(SEARCH("aniversario", F117)), ISNUMBER(SEARCH("churrasco", F117)), ISNUMBER(SEARCH("bolo", F117)), ISNUMBER(SEARCH("SUPERMERCADO", F117))), "6.1 Despesas Administrativas (Pessoal)", IF(OR(ISNUMBER(SEARCH("DLKNET", F117)), ISNUMBER(SEARCH("TESTE", F117))), "6.1 Despesas Administrativas (Gerais)", IFERROR(VLOOKUP(H117, De_Para!A:B, 2, FALSE), "NÃO MAPEADO"))), IFERROR(VLOOKUP(H117, De_Para!A:B, 2, FALSE), "NÃO MAPEADO"))</f>
        <v/>
      </c>
    </row>
    <row r="118">
      <c r="A118" s="2" t="inlineStr">
        <is>
          <t>69581</t>
        </is>
      </c>
      <c r="B118" s="2" t="inlineStr">
        <is>
          <t>Sicoob</t>
        </is>
      </c>
      <c r="C118" s="2" t="inlineStr">
        <is>
          <t>29/06/2026</t>
        </is>
      </c>
      <c r="D118" s="2" t="inlineStr">
        <is>
          <t>29/06/2026</t>
        </is>
      </c>
      <c r="E118" s="2" t="inlineStr">
        <is>
          <t>Dinheiro</t>
        </is>
      </c>
      <c r="F118" s="2" t="inlineStr">
        <is>
          <t>Boleto "66211" do cliente "ADIR MARQUES DE CARVALHO"</t>
        </is>
      </c>
      <c r="G118" s="2" t="inlineStr">
        <is>
          <t>system</t>
        </is>
      </c>
      <c r="H118" s="2" t="inlineStr">
        <is>
          <t>01.01.01 : Mensalidade</t>
        </is>
      </c>
      <c r="I118" s="3" t="n">
        <v>102.12</v>
      </c>
      <c r="J118" s="2" t="n"/>
      <c r="K118" s="2">
        <f>IF(H118="02.09 : Outras Saídas", IF(OR(ISNUMBER(SEARCH("CHEQUE COMPE SICREDI", F118)), ISNUMBER(SEARCH("aniversario", F118)), ISNUMBER(SEARCH("churrasco", F118)), ISNUMBER(SEARCH("bolo", F118)), ISNUMBER(SEARCH("SUPERMERCADO", F118))), "6.1 Despesas Administrativas (Pessoal)", IF(OR(ISNUMBER(SEARCH("DLKNET", F118)), ISNUMBER(SEARCH("TESTE", F118))), "6.1 Despesas Administrativas (Gerais)", IFERROR(VLOOKUP(H118, De_Para!A:B, 2, FALSE), "NÃO MAPEADO"))), IFERROR(VLOOKUP(H118, De_Para!A:B, 2, FALSE), "NÃO MAPEADO"))</f>
        <v/>
      </c>
    </row>
    <row r="119">
      <c r="A119" s="2" t="inlineStr">
        <is>
          <t>69580</t>
        </is>
      </c>
      <c r="B119" s="2" t="inlineStr">
        <is>
          <t>Sicoob</t>
        </is>
      </c>
      <c r="C119" s="2" t="inlineStr">
        <is>
          <t>29/06/2026</t>
        </is>
      </c>
      <c r="D119" s="2" t="inlineStr">
        <is>
          <t>29/06/2026</t>
        </is>
      </c>
      <c r="E119" s="2" t="inlineStr">
        <is>
          <t>Dinheiro</t>
        </is>
      </c>
      <c r="F119" s="2" t="inlineStr">
        <is>
          <t>Boleto "65993" do cliente "CLEUSA EUNICE DOS SANTOS"</t>
        </is>
      </c>
      <c r="G119" s="2" t="inlineStr">
        <is>
          <t>system</t>
        </is>
      </c>
      <c r="H119" s="2" t="inlineStr">
        <is>
          <t>02.03.02.01 : Cobrança Bancaria</t>
        </is>
      </c>
      <c r="I119" s="2" t="n"/>
      <c r="J119" s="3" t="n">
        <v>-0.88</v>
      </c>
      <c r="K119" s="2">
        <f>IF(H119="02.09 : Outras Saídas", IF(OR(ISNUMBER(SEARCH("CHEQUE COMPE SICREDI", F119)), ISNUMBER(SEARCH("aniversario", F119)), ISNUMBER(SEARCH("churrasco", F119)), ISNUMBER(SEARCH("bolo", F119)), ISNUMBER(SEARCH("SUPERMERCADO", F119))), "6.1 Despesas Administrativas (Pessoal)", IF(OR(ISNUMBER(SEARCH("DLKNET", F119)), ISNUMBER(SEARCH("TESTE", F119))), "6.1 Despesas Administrativas (Gerais)", IFERROR(VLOOKUP(H119, De_Para!A:B, 2, FALSE), "NÃO MAPEADO"))), IFERROR(VLOOKUP(H119, De_Para!A:B, 2, FALSE), "NÃO MAPEADO"))</f>
        <v/>
      </c>
    </row>
    <row r="120">
      <c r="A120" s="2" t="inlineStr">
        <is>
          <t>69579</t>
        </is>
      </c>
      <c r="B120" s="2" t="inlineStr">
        <is>
          <t>Sicoob</t>
        </is>
      </c>
      <c r="C120" s="2" t="inlineStr">
        <is>
          <t>29/06/2026</t>
        </is>
      </c>
      <c r="D120" s="2" t="inlineStr">
        <is>
          <t>29/06/2026</t>
        </is>
      </c>
      <c r="E120" s="2" t="inlineStr">
        <is>
          <t>Dinheiro</t>
        </is>
      </c>
      <c r="F120" s="2" t="inlineStr">
        <is>
          <t>Boleto "65993" do cliente "CLEUSA EUNICE DOS SANTOS"</t>
        </is>
      </c>
      <c r="G120" s="2" t="inlineStr">
        <is>
          <t>system</t>
        </is>
      </c>
      <c r="H120" s="2" t="inlineStr">
        <is>
          <t>01.01.01 : Mensalidade</t>
        </is>
      </c>
      <c r="I120" s="3" t="n">
        <v>104.9</v>
      </c>
      <c r="J120" s="2" t="n"/>
      <c r="K120" s="2">
        <f>IF(H120="02.09 : Outras Saídas", IF(OR(ISNUMBER(SEARCH("CHEQUE COMPE SICREDI", F120)), ISNUMBER(SEARCH("aniversario", F120)), ISNUMBER(SEARCH("churrasco", F120)), ISNUMBER(SEARCH("bolo", F120)), ISNUMBER(SEARCH("SUPERMERCADO", F120))), "6.1 Despesas Administrativas (Pessoal)", IF(OR(ISNUMBER(SEARCH("DLKNET", F120)), ISNUMBER(SEARCH("TESTE", F120))), "6.1 Despesas Administrativas (Gerais)", IFERROR(VLOOKUP(H120, De_Para!A:B, 2, FALSE), "NÃO MAPEADO"))), IFERROR(VLOOKUP(H120, De_Para!A:B, 2, FALSE), "NÃO MAPEADO"))</f>
        <v/>
      </c>
    </row>
    <row r="121">
      <c r="A121" s="2" t="inlineStr">
        <is>
          <t>69578</t>
        </is>
      </c>
      <c r="B121" s="2" t="inlineStr">
        <is>
          <t>Sicoob</t>
        </is>
      </c>
      <c r="C121" s="2" t="inlineStr">
        <is>
          <t>29/06/2026</t>
        </is>
      </c>
      <c r="D121" s="2" t="inlineStr">
        <is>
          <t>29/06/2026</t>
        </is>
      </c>
      <c r="E121" s="2" t="inlineStr">
        <is>
          <t>Dinheiro</t>
        </is>
      </c>
      <c r="F121" s="2" t="inlineStr">
        <is>
          <t>Boleto "65860" do cliente "ROSANGELA DA SILVA SANTOS"</t>
        </is>
      </c>
      <c r="G121" s="2" t="inlineStr">
        <is>
          <t>system</t>
        </is>
      </c>
      <c r="H121" s="2" t="inlineStr">
        <is>
          <t>02.03.02.01 : Cobrança Bancaria</t>
        </is>
      </c>
      <c r="I121" s="2" t="n"/>
      <c r="J121" s="3" t="n">
        <v>-0.88</v>
      </c>
      <c r="K121" s="2">
        <f>IF(H121="02.09 : Outras Saídas", IF(OR(ISNUMBER(SEARCH("CHEQUE COMPE SICREDI", F121)), ISNUMBER(SEARCH("aniversario", F121)), ISNUMBER(SEARCH("churrasco", F121)), ISNUMBER(SEARCH("bolo", F121)), ISNUMBER(SEARCH("SUPERMERCADO", F121))), "6.1 Despesas Administrativas (Pessoal)", IF(OR(ISNUMBER(SEARCH("DLKNET", F121)), ISNUMBER(SEARCH("TESTE", F121))), "6.1 Despesas Administrativas (Gerais)", IFERROR(VLOOKUP(H121, De_Para!A:B, 2, FALSE), "NÃO MAPEADO"))), IFERROR(VLOOKUP(H121, De_Para!A:B, 2, FALSE), "NÃO MAPEADO"))</f>
        <v/>
      </c>
    </row>
    <row r="122">
      <c r="A122" s="2" t="inlineStr">
        <is>
          <t>69577</t>
        </is>
      </c>
      <c r="B122" s="2" t="inlineStr">
        <is>
          <t>Sicoob</t>
        </is>
      </c>
      <c r="C122" s="2" t="inlineStr">
        <is>
          <t>29/06/2026</t>
        </is>
      </c>
      <c r="D122" s="2" t="inlineStr">
        <is>
          <t>29/06/2026</t>
        </is>
      </c>
      <c r="E122" s="2" t="inlineStr">
        <is>
          <t>Dinheiro</t>
        </is>
      </c>
      <c r="F122" s="2" t="inlineStr">
        <is>
          <t>Boleto "65860" do cliente "ROSANGELA DA SILVA SANTOS"</t>
        </is>
      </c>
      <c r="G122" s="2" t="inlineStr">
        <is>
          <t>system</t>
        </is>
      </c>
      <c r="H122" s="2" t="inlineStr">
        <is>
          <t>01.01.01 : Mensalidade</t>
        </is>
      </c>
      <c r="I122" s="3" t="n">
        <v>107.26</v>
      </c>
      <c r="J122" s="2" t="n"/>
      <c r="K122" s="2">
        <f>IF(H122="02.09 : Outras Saídas", IF(OR(ISNUMBER(SEARCH("CHEQUE COMPE SICREDI", F122)), ISNUMBER(SEARCH("aniversario", F122)), ISNUMBER(SEARCH("churrasco", F122)), ISNUMBER(SEARCH("bolo", F122)), ISNUMBER(SEARCH("SUPERMERCADO", F122))), "6.1 Despesas Administrativas (Pessoal)", IF(OR(ISNUMBER(SEARCH("DLKNET", F122)), ISNUMBER(SEARCH("TESTE", F122))), "6.1 Despesas Administrativas (Gerais)", IFERROR(VLOOKUP(H122, De_Para!A:B, 2, FALSE), "NÃO MAPEADO"))), IFERROR(VLOOKUP(H122, De_Para!A:B, 2, FALSE), "NÃO MAPEADO"))</f>
        <v/>
      </c>
    </row>
    <row r="123">
      <c r="A123" s="2" t="inlineStr">
        <is>
          <t>69576</t>
        </is>
      </c>
      <c r="B123" s="2" t="inlineStr">
        <is>
          <t>Sicoob</t>
        </is>
      </c>
      <c r="C123" s="2" t="inlineStr">
        <is>
          <t>29/06/2026</t>
        </is>
      </c>
      <c r="D123" s="2" t="inlineStr">
        <is>
          <t>29/06/2026</t>
        </is>
      </c>
      <c r="E123" s="2" t="inlineStr">
        <is>
          <t>Dinheiro</t>
        </is>
      </c>
      <c r="F123" s="2" t="inlineStr">
        <is>
          <t>Boleto "63895" do cliente "MARIA MADALENA SILVERIO RUGENSKI"</t>
        </is>
      </c>
      <c r="G123" s="2" t="inlineStr">
        <is>
          <t>system</t>
        </is>
      </c>
      <c r="H123" s="2" t="inlineStr">
        <is>
          <t>02.03.02.01 : Cobrança Bancaria</t>
        </is>
      </c>
      <c r="I123" s="2" t="n"/>
      <c r="J123" s="3" t="n">
        <v>-0.88</v>
      </c>
      <c r="K123" s="2">
        <f>IF(H123="02.09 : Outras Saídas", IF(OR(ISNUMBER(SEARCH("CHEQUE COMPE SICREDI", F123)), ISNUMBER(SEARCH("aniversario", F123)), ISNUMBER(SEARCH("churrasco", F123)), ISNUMBER(SEARCH("bolo", F123)), ISNUMBER(SEARCH("SUPERMERCADO", F123))), "6.1 Despesas Administrativas (Pessoal)", IF(OR(ISNUMBER(SEARCH("DLKNET", F123)), ISNUMBER(SEARCH("TESTE", F123))), "6.1 Despesas Administrativas (Gerais)", IFERROR(VLOOKUP(H123, De_Para!A:B, 2, FALSE), "NÃO MAPEADO"))), IFERROR(VLOOKUP(H123, De_Para!A:B, 2, FALSE), "NÃO MAPEADO"))</f>
        <v/>
      </c>
    </row>
    <row r="124">
      <c r="A124" s="2" t="inlineStr">
        <is>
          <t>69575</t>
        </is>
      </c>
      <c r="B124" s="2" t="inlineStr">
        <is>
          <t>Sicoob</t>
        </is>
      </c>
      <c r="C124" s="2" t="inlineStr">
        <is>
          <t>29/06/2026</t>
        </is>
      </c>
      <c r="D124" s="2" t="inlineStr">
        <is>
          <t>29/06/2026</t>
        </is>
      </c>
      <c r="E124" s="2" t="inlineStr">
        <is>
          <t>Dinheiro</t>
        </is>
      </c>
      <c r="F124" s="2" t="inlineStr">
        <is>
          <t>Boleto "63895" do cliente "MARIA MADALENA SILVERIO RUGENSKI"</t>
        </is>
      </c>
      <c r="G124" s="2" t="inlineStr">
        <is>
          <t>system</t>
        </is>
      </c>
      <c r="H124" s="2" t="inlineStr">
        <is>
          <t>01.01.01 : Mensalidade</t>
        </is>
      </c>
      <c r="I124" s="3" t="n">
        <v>102.35</v>
      </c>
      <c r="J124" s="2" t="n"/>
      <c r="K124" s="2">
        <f>IF(H124="02.09 : Outras Saídas", IF(OR(ISNUMBER(SEARCH("CHEQUE COMPE SICREDI", F124)), ISNUMBER(SEARCH("aniversario", F124)), ISNUMBER(SEARCH("churrasco", F124)), ISNUMBER(SEARCH("bolo", F124)), ISNUMBER(SEARCH("SUPERMERCADO", F124))), "6.1 Despesas Administrativas (Pessoal)", IF(OR(ISNUMBER(SEARCH("DLKNET", F124)), ISNUMBER(SEARCH("TESTE", F124))), "6.1 Despesas Administrativas (Gerais)", IFERROR(VLOOKUP(H124, De_Para!A:B, 2, FALSE), "NÃO MAPEADO"))), IFERROR(VLOOKUP(H124, De_Para!A:B, 2, FALSE), "NÃO MAPEADO"))</f>
        <v/>
      </c>
    </row>
    <row r="125">
      <c r="A125" s="2" t="inlineStr">
        <is>
          <t>69574</t>
        </is>
      </c>
      <c r="B125" s="2" t="inlineStr">
        <is>
          <t>Sicoob</t>
        </is>
      </c>
      <c r="C125" s="2" t="inlineStr">
        <is>
          <t>29/06/2026</t>
        </is>
      </c>
      <c r="D125" s="2" t="inlineStr">
        <is>
          <t>29/06/2026</t>
        </is>
      </c>
      <c r="E125" s="2" t="inlineStr">
        <is>
          <t>Dinheiro</t>
        </is>
      </c>
      <c r="F125" s="2" t="inlineStr">
        <is>
          <t>Boleto "63732" do cliente "ANDREIA INOCENCIA BARBOSA BANDELOW"</t>
        </is>
      </c>
      <c r="G125" s="2" t="inlineStr">
        <is>
          <t>system</t>
        </is>
      </c>
      <c r="H125" s="2" t="inlineStr">
        <is>
          <t>02.03.02.01 : Cobrança Bancaria</t>
        </is>
      </c>
      <c r="I125" s="2" t="n"/>
      <c r="J125" s="3" t="n">
        <v>-0.88</v>
      </c>
      <c r="K125" s="2">
        <f>IF(H125="02.09 : Outras Saídas", IF(OR(ISNUMBER(SEARCH("CHEQUE COMPE SICREDI", F125)), ISNUMBER(SEARCH("aniversario", F125)), ISNUMBER(SEARCH("churrasco", F125)), ISNUMBER(SEARCH("bolo", F125)), ISNUMBER(SEARCH("SUPERMERCADO", F125))), "6.1 Despesas Administrativas (Pessoal)", IF(OR(ISNUMBER(SEARCH("DLKNET", F125)), ISNUMBER(SEARCH("TESTE", F125))), "6.1 Despesas Administrativas (Gerais)", IFERROR(VLOOKUP(H125, De_Para!A:B, 2, FALSE), "NÃO MAPEADO"))), IFERROR(VLOOKUP(H125, De_Para!A:B, 2, FALSE), "NÃO MAPEADO"))</f>
        <v/>
      </c>
    </row>
    <row r="126">
      <c r="A126" s="2" t="inlineStr">
        <is>
          <t>69573</t>
        </is>
      </c>
      <c r="B126" s="2" t="inlineStr">
        <is>
          <t>Sicoob</t>
        </is>
      </c>
      <c r="C126" s="2" t="inlineStr">
        <is>
          <t>29/06/2026</t>
        </is>
      </c>
      <c r="D126" s="2" t="inlineStr">
        <is>
          <t>29/06/2026</t>
        </is>
      </c>
      <c r="E126" s="2" t="inlineStr">
        <is>
          <t>Dinheiro</t>
        </is>
      </c>
      <c r="F126" s="2" t="inlineStr">
        <is>
          <t>Boleto "63732" do cliente "ANDREIA INOCENCIA BARBOSA BANDELOW"</t>
        </is>
      </c>
      <c r="G126" s="2" t="inlineStr">
        <is>
          <t>system</t>
        </is>
      </c>
      <c r="H126" s="2" t="inlineStr">
        <is>
          <t>01.03.01 : Mensalidade</t>
        </is>
      </c>
      <c r="I126" s="3" t="n">
        <v>105</v>
      </c>
      <c r="J126" s="2" t="n"/>
      <c r="K126" s="2">
        <f>IF(H126="02.09 : Outras Saídas", IF(OR(ISNUMBER(SEARCH("CHEQUE COMPE SICREDI", F126)), ISNUMBER(SEARCH("aniversario", F126)), ISNUMBER(SEARCH("churrasco", F126)), ISNUMBER(SEARCH("bolo", F126)), ISNUMBER(SEARCH("SUPERMERCADO", F126))), "6.1 Despesas Administrativas (Pessoal)", IF(OR(ISNUMBER(SEARCH("DLKNET", F126)), ISNUMBER(SEARCH("TESTE", F126))), "6.1 Despesas Administrativas (Gerais)", IFERROR(VLOOKUP(H126, De_Para!A:B, 2, FALSE), "NÃO MAPEADO"))), IFERROR(VLOOKUP(H126, De_Para!A:B, 2, FALSE), "NÃO MAPEADO"))</f>
        <v/>
      </c>
    </row>
    <row r="127">
      <c r="A127" s="2" t="inlineStr">
        <is>
          <t>69572</t>
        </is>
      </c>
      <c r="B127" s="2" t="inlineStr">
        <is>
          <t>Sicoob</t>
        </is>
      </c>
      <c r="C127" s="2" t="inlineStr">
        <is>
          <t>29/06/2026</t>
        </is>
      </c>
      <c r="D127" s="2" t="inlineStr">
        <is>
          <t>29/06/2026</t>
        </is>
      </c>
      <c r="E127" s="2" t="inlineStr">
        <is>
          <t>Dinheiro</t>
        </is>
      </c>
      <c r="F127" s="2" t="inlineStr">
        <is>
          <t>Boleto "63615" do cliente "LEDOANDA DE FATIMA DA SILVA"</t>
        </is>
      </c>
      <c r="G127" s="2" t="inlineStr">
        <is>
          <t>system</t>
        </is>
      </c>
      <c r="H127" s="2" t="inlineStr">
        <is>
          <t>02.03.02.01 : Cobrança Bancaria</t>
        </is>
      </c>
      <c r="I127" s="2" t="n"/>
      <c r="J127" s="3" t="n">
        <v>-0.88</v>
      </c>
      <c r="K127" s="2">
        <f>IF(H127="02.09 : Outras Saídas", IF(OR(ISNUMBER(SEARCH("CHEQUE COMPE SICREDI", F127)), ISNUMBER(SEARCH("aniversario", F127)), ISNUMBER(SEARCH("churrasco", F127)), ISNUMBER(SEARCH("bolo", F127)), ISNUMBER(SEARCH("SUPERMERCADO", F127))), "6.1 Despesas Administrativas (Pessoal)", IF(OR(ISNUMBER(SEARCH("DLKNET", F127)), ISNUMBER(SEARCH("TESTE", F127))), "6.1 Despesas Administrativas (Gerais)", IFERROR(VLOOKUP(H127, De_Para!A:B, 2, FALSE), "NÃO MAPEADO"))), IFERROR(VLOOKUP(H127, De_Para!A:B, 2, FALSE), "NÃO MAPEADO"))</f>
        <v/>
      </c>
    </row>
    <row r="128">
      <c r="A128" s="2" t="inlineStr">
        <is>
          <t>69571</t>
        </is>
      </c>
      <c r="B128" s="2" t="inlineStr">
        <is>
          <t>Sicoob</t>
        </is>
      </c>
      <c r="C128" s="2" t="inlineStr">
        <is>
          <t>29/06/2026</t>
        </is>
      </c>
      <c r="D128" s="2" t="inlineStr">
        <is>
          <t>29/06/2026</t>
        </is>
      </c>
      <c r="E128" s="2" t="inlineStr">
        <is>
          <t>Dinheiro</t>
        </is>
      </c>
      <c r="F128" s="2" t="inlineStr">
        <is>
          <t>Boleto "63615" do cliente "LEDOANDA DE FATIMA DA SILVA"</t>
        </is>
      </c>
      <c r="G128" s="2" t="inlineStr">
        <is>
          <t>system</t>
        </is>
      </c>
      <c r="H128" s="2" t="inlineStr">
        <is>
          <t>01.01.01 : Mensalidade</t>
        </is>
      </c>
      <c r="I128" s="3" t="n">
        <v>107.44</v>
      </c>
      <c r="J128" s="2" t="n"/>
      <c r="K128" s="2">
        <f>IF(H128="02.09 : Outras Saídas", IF(OR(ISNUMBER(SEARCH("CHEQUE COMPE SICREDI", F128)), ISNUMBER(SEARCH("aniversario", F128)), ISNUMBER(SEARCH("churrasco", F128)), ISNUMBER(SEARCH("bolo", F128)), ISNUMBER(SEARCH("SUPERMERCADO", F128))), "6.1 Despesas Administrativas (Pessoal)", IF(OR(ISNUMBER(SEARCH("DLKNET", F128)), ISNUMBER(SEARCH("TESTE", F128))), "6.1 Despesas Administrativas (Gerais)", IFERROR(VLOOKUP(H128, De_Para!A:B, 2, FALSE), "NÃO MAPEADO"))), IFERROR(VLOOKUP(H128, De_Para!A:B, 2, FALSE), "NÃO MAPEADO"))</f>
        <v/>
      </c>
    </row>
    <row r="129">
      <c r="A129" s="2" t="inlineStr">
        <is>
          <t>69570</t>
        </is>
      </c>
      <c r="B129" s="2" t="inlineStr">
        <is>
          <t>Sicoob</t>
        </is>
      </c>
      <c r="C129" s="2" t="inlineStr">
        <is>
          <t>29/06/2026</t>
        </is>
      </c>
      <c r="D129" s="2" t="inlineStr">
        <is>
          <t>29/06/2026</t>
        </is>
      </c>
      <c r="E129" s="2" t="inlineStr">
        <is>
          <t>Dinheiro</t>
        </is>
      </c>
      <c r="F129" s="2" t="inlineStr">
        <is>
          <t>Boleto "62994" do cliente "SIDNEI PINHEIRO MARCELINO"</t>
        </is>
      </c>
      <c r="G129" s="2" t="inlineStr">
        <is>
          <t>system</t>
        </is>
      </c>
      <c r="H129" s="2" t="inlineStr">
        <is>
          <t>02.03.02.01 : Cobrança Bancaria</t>
        </is>
      </c>
      <c r="I129" s="2" t="n"/>
      <c r="J129" s="3" t="n">
        <v>-0.88</v>
      </c>
      <c r="K129" s="2">
        <f>IF(H129="02.09 : Outras Saídas", IF(OR(ISNUMBER(SEARCH("CHEQUE COMPE SICREDI", F129)), ISNUMBER(SEARCH("aniversario", F129)), ISNUMBER(SEARCH("churrasco", F129)), ISNUMBER(SEARCH("bolo", F129)), ISNUMBER(SEARCH("SUPERMERCADO", F129))), "6.1 Despesas Administrativas (Pessoal)", IF(OR(ISNUMBER(SEARCH("DLKNET", F129)), ISNUMBER(SEARCH("TESTE", F129))), "6.1 Despesas Administrativas (Gerais)", IFERROR(VLOOKUP(H129, De_Para!A:B, 2, FALSE), "NÃO MAPEADO"))), IFERROR(VLOOKUP(H129, De_Para!A:B, 2, FALSE), "NÃO MAPEADO"))</f>
        <v/>
      </c>
    </row>
    <row r="130">
      <c r="A130" s="2" t="inlineStr">
        <is>
          <t>69569</t>
        </is>
      </c>
      <c r="B130" s="2" t="inlineStr">
        <is>
          <t>Sicoob</t>
        </is>
      </c>
      <c r="C130" s="2" t="inlineStr">
        <is>
          <t>29/06/2026</t>
        </is>
      </c>
      <c r="D130" s="2" t="inlineStr">
        <is>
          <t>29/06/2026</t>
        </is>
      </c>
      <c r="E130" s="2" t="inlineStr">
        <is>
          <t>Dinheiro</t>
        </is>
      </c>
      <c r="F130" s="2" t="inlineStr">
        <is>
          <t>Boleto "62994" do cliente "SIDNEI PINHEIRO MARCELINO"</t>
        </is>
      </c>
      <c r="G130" s="2" t="inlineStr">
        <is>
          <t>system</t>
        </is>
      </c>
      <c r="H130" s="2" t="inlineStr">
        <is>
          <t>01.01.01 : Mensalidade</t>
        </is>
      </c>
      <c r="I130" s="3" t="n">
        <v>99.90000000000001</v>
      </c>
      <c r="J130" s="2" t="n"/>
      <c r="K130" s="2">
        <f>IF(H130="02.09 : Outras Saídas", IF(OR(ISNUMBER(SEARCH("CHEQUE COMPE SICREDI", F130)), ISNUMBER(SEARCH("aniversario", F130)), ISNUMBER(SEARCH("churrasco", F130)), ISNUMBER(SEARCH("bolo", F130)), ISNUMBER(SEARCH("SUPERMERCADO", F130))), "6.1 Despesas Administrativas (Pessoal)", IF(OR(ISNUMBER(SEARCH("DLKNET", F130)), ISNUMBER(SEARCH("TESTE", F130))), "6.1 Despesas Administrativas (Gerais)", IFERROR(VLOOKUP(H130, De_Para!A:B, 2, FALSE), "NÃO MAPEADO"))), IFERROR(VLOOKUP(H130, De_Para!A:B, 2, FALSE), "NÃO MAPEADO"))</f>
        <v/>
      </c>
    </row>
    <row r="131">
      <c r="A131" s="2" t="inlineStr">
        <is>
          <t>69568</t>
        </is>
      </c>
      <c r="B131" s="2" t="inlineStr">
        <is>
          <t>Sicoob</t>
        </is>
      </c>
      <c r="C131" s="2" t="inlineStr">
        <is>
          <t>29/06/2026</t>
        </is>
      </c>
      <c r="D131" s="2" t="inlineStr">
        <is>
          <t>29/06/2026</t>
        </is>
      </c>
      <c r="E131" s="2" t="inlineStr">
        <is>
          <t>Dinheiro</t>
        </is>
      </c>
      <c r="F131" s="2" t="inlineStr">
        <is>
          <t>Boleto "58629" do cliente "JONAS MARANI"</t>
        </is>
      </c>
      <c r="G131" s="2" t="inlineStr">
        <is>
          <t>system</t>
        </is>
      </c>
      <c r="H131" s="2" t="inlineStr">
        <is>
          <t>02.03.02.01 : Cobrança Bancaria</t>
        </is>
      </c>
      <c r="I131" s="2" t="n"/>
      <c r="J131" s="3" t="n">
        <v>-0.88</v>
      </c>
      <c r="K131" s="2">
        <f>IF(H131="02.09 : Outras Saídas", IF(OR(ISNUMBER(SEARCH("CHEQUE COMPE SICREDI", F131)), ISNUMBER(SEARCH("aniversario", F131)), ISNUMBER(SEARCH("churrasco", F131)), ISNUMBER(SEARCH("bolo", F131)), ISNUMBER(SEARCH("SUPERMERCADO", F131))), "6.1 Despesas Administrativas (Pessoal)", IF(OR(ISNUMBER(SEARCH("DLKNET", F131)), ISNUMBER(SEARCH("TESTE", F131))), "6.1 Despesas Administrativas (Gerais)", IFERROR(VLOOKUP(H131, De_Para!A:B, 2, FALSE), "NÃO MAPEADO"))), IFERROR(VLOOKUP(H131, De_Para!A:B, 2, FALSE), "NÃO MAPEADO"))</f>
        <v/>
      </c>
    </row>
    <row r="132">
      <c r="A132" s="2" t="inlineStr">
        <is>
          <t>69567</t>
        </is>
      </c>
      <c r="B132" s="2" t="inlineStr">
        <is>
          <t>Sicoob</t>
        </is>
      </c>
      <c r="C132" s="2" t="inlineStr">
        <is>
          <t>29/06/2026</t>
        </is>
      </c>
      <c r="D132" s="2" t="inlineStr">
        <is>
          <t>29/06/2026</t>
        </is>
      </c>
      <c r="E132" s="2" t="inlineStr">
        <is>
          <t>Dinheiro</t>
        </is>
      </c>
      <c r="F132" s="2" t="inlineStr">
        <is>
          <t>Boleto "58629" do cliente "JONAS MARANI"</t>
        </is>
      </c>
      <c r="G132" s="2" t="inlineStr">
        <is>
          <t>system</t>
        </is>
      </c>
      <c r="H132" s="2" t="inlineStr">
        <is>
          <t>01.01.01 : Mensalidade</t>
        </is>
      </c>
      <c r="I132" s="3" t="n">
        <v>107.51</v>
      </c>
      <c r="J132" s="2" t="n"/>
      <c r="K132" s="2">
        <f>IF(H132="02.09 : Outras Saídas", IF(OR(ISNUMBER(SEARCH("CHEQUE COMPE SICREDI", F132)), ISNUMBER(SEARCH("aniversario", F132)), ISNUMBER(SEARCH("churrasco", F132)), ISNUMBER(SEARCH("bolo", F132)), ISNUMBER(SEARCH("SUPERMERCADO", F132))), "6.1 Despesas Administrativas (Pessoal)", IF(OR(ISNUMBER(SEARCH("DLKNET", F132)), ISNUMBER(SEARCH("TESTE", F132))), "6.1 Despesas Administrativas (Gerais)", IFERROR(VLOOKUP(H132, De_Para!A:B, 2, FALSE), "NÃO MAPEADO"))), IFERROR(VLOOKUP(H132, De_Para!A:B, 2, FALSE), "NÃO MAPEADO"))</f>
        <v/>
      </c>
    </row>
    <row r="133">
      <c r="A133" s="2" t="inlineStr">
        <is>
          <t>69566</t>
        </is>
      </c>
      <c r="B133" s="2" t="inlineStr">
        <is>
          <t>Sicoob</t>
        </is>
      </c>
      <c r="C133" s="2" t="inlineStr">
        <is>
          <t>29/06/2026</t>
        </is>
      </c>
      <c r="D133" s="2" t="inlineStr">
        <is>
          <t>29/06/2026</t>
        </is>
      </c>
      <c r="E133" s="2" t="inlineStr">
        <is>
          <t>Dinheiro</t>
        </is>
      </c>
      <c r="F133" s="2" t="inlineStr">
        <is>
          <t>Boleto "55245" do cliente "LAUDAIR DOS SANTOS SILVA"</t>
        </is>
      </c>
      <c r="G133" s="2" t="inlineStr">
        <is>
          <t>system</t>
        </is>
      </c>
      <c r="H133" s="2" t="inlineStr">
        <is>
          <t>02.03.02.01 : Cobrança Bancaria</t>
        </is>
      </c>
      <c r="I133" s="2" t="n"/>
      <c r="J133" s="3" t="n">
        <v>-0.88</v>
      </c>
      <c r="K133" s="2">
        <f>IF(H133="02.09 : Outras Saídas", IF(OR(ISNUMBER(SEARCH("CHEQUE COMPE SICREDI", F133)), ISNUMBER(SEARCH("aniversario", F133)), ISNUMBER(SEARCH("churrasco", F133)), ISNUMBER(SEARCH("bolo", F133)), ISNUMBER(SEARCH("SUPERMERCADO", F133))), "6.1 Despesas Administrativas (Pessoal)", IF(OR(ISNUMBER(SEARCH("DLKNET", F133)), ISNUMBER(SEARCH("TESTE", F133))), "6.1 Despesas Administrativas (Gerais)", IFERROR(VLOOKUP(H133, De_Para!A:B, 2, FALSE), "NÃO MAPEADO"))), IFERROR(VLOOKUP(H133, De_Para!A:B, 2, FALSE), "NÃO MAPEADO"))</f>
        <v/>
      </c>
    </row>
    <row r="134">
      <c r="A134" s="2" t="inlineStr">
        <is>
          <t>69565</t>
        </is>
      </c>
      <c r="B134" s="2" t="inlineStr">
        <is>
          <t>Sicoob</t>
        </is>
      </c>
      <c r="C134" s="2" t="inlineStr">
        <is>
          <t>29/06/2026</t>
        </is>
      </c>
      <c r="D134" s="2" t="inlineStr">
        <is>
          <t>29/06/2026</t>
        </is>
      </c>
      <c r="E134" s="2" t="inlineStr">
        <is>
          <t>Dinheiro</t>
        </is>
      </c>
      <c r="F134" s="2" t="inlineStr">
        <is>
          <t>Boleto "55245" do cliente "LAUDAIR DOS SANTOS SILVA"</t>
        </is>
      </c>
      <c r="G134" s="2" t="inlineStr">
        <is>
          <t>system</t>
        </is>
      </c>
      <c r="H134" s="2" t="inlineStr">
        <is>
          <t>01.01.01 : Mensalidade</t>
        </is>
      </c>
      <c r="I134" s="3" t="n">
        <v>105</v>
      </c>
      <c r="J134" s="2" t="n"/>
      <c r="K134" s="2">
        <f>IF(H134="02.09 : Outras Saídas", IF(OR(ISNUMBER(SEARCH("CHEQUE COMPE SICREDI", F134)), ISNUMBER(SEARCH("aniversario", F134)), ISNUMBER(SEARCH("churrasco", F134)), ISNUMBER(SEARCH("bolo", F134)), ISNUMBER(SEARCH("SUPERMERCADO", F134))), "6.1 Despesas Administrativas (Pessoal)", IF(OR(ISNUMBER(SEARCH("DLKNET", F134)), ISNUMBER(SEARCH("TESTE", F134))), "6.1 Despesas Administrativas (Gerais)", IFERROR(VLOOKUP(H134, De_Para!A:B, 2, FALSE), "NÃO MAPEADO"))), IFERROR(VLOOKUP(H134, De_Para!A:B, 2, FALSE), "NÃO MAPEADO"))</f>
        <v/>
      </c>
    </row>
    <row r="135">
      <c r="A135" s="2" t="inlineStr">
        <is>
          <t>69564</t>
        </is>
      </c>
      <c r="B135" s="2" t="inlineStr">
        <is>
          <t>Sicoob</t>
        </is>
      </c>
      <c r="C135" s="2" t="inlineStr">
        <is>
          <t>29/06/2026</t>
        </is>
      </c>
      <c r="D135" s="2" t="inlineStr">
        <is>
          <t>29/06/2026</t>
        </is>
      </c>
      <c r="E135" s="2" t="inlineStr">
        <is>
          <t>Dinheiro</t>
        </is>
      </c>
      <c r="F135" s="2" t="inlineStr">
        <is>
          <t>Boleto "54736" do cliente "LEDIANE DIAS DA SILVA"</t>
        </is>
      </c>
      <c r="G135" s="2" t="inlineStr">
        <is>
          <t>system</t>
        </is>
      </c>
      <c r="H135" s="2" t="inlineStr">
        <is>
          <t>02.03.02.01 : Cobrança Bancaria</t>
        </is>
      </c>
      <c r="I135" s="2" t="n"/>
      <c r="J135" s="3" t="n">
        <v>-0.88</v>
      </c>
      <c r="K135" s="2">
        <f>IF(H135="02.09 : Outras Saídas", IF(OR(ISNUMBER(SEARCH("CHEQUE COMPE SICREDI", F135)), ISNUMBER(SEARCH("aniversario", F135)), ISNUMBER(SEARCH("churrasco", F135)), ISNUMBER(SEARCH("bolo", F135)), ISNUMBER(SEARCH("SUPERMERCADO", F135))), "6.1 Despesas Administrativas (Pessoal)", IF(OR(ISNUMBER(SEARCH("DLKNET", F135)), ISNUMBER(SEARCH("TESTE", F135))), "6.1 Despesas Administrativas (Gerais)", IFERROR(VLOOKUP(H135, De_Para!A:B, 2, FALSE), "NÃO MAPEADO"))), IFERROR(VLOOKUP(H135, De_Para!A:B, 2, FALSE), "NÃO MAPEADO"))</f>
        <v/>
      </c>
    </row>
    <row r="136">
      <c r="A136" s="2" t="inlineStr">
        <is>
          <t>69563</t>
        </is>
      </c>
      <c r="B136" s="2" t="inlineStr">
        <is>
          <t>Sicoob</t>
        </is>
      </c>
      <c r="C136" s="2" t="inlineStr">
        <is>
          <t>29/06/2026</t>
        </is>
      </c>
      <c r="D136" s="2" t="inlineStr">
        <is>
          <t>29/06/2026</t>
        </is>
      </c>
      <c r="E136" s="2" t="inlineStr">
        <is>
          <t>Dinheiro</t>
        </is>
      </c>
      <c r="F136" s="2" t="inlineStr">
        <is>
          <t>Boleto "54736" do cliente "LEDIANE DIAS DA SILVA"</t>
        </is>
      </c>
      <c r="G136" s="2" t="inlineStr">
        <is>
          <t>system</t>
        </is>
      </c>
      <c r="H136" s="2" t="inlineStr">
        <is>
          <t>01.01.01 : Mensalidade</t>
        </is>
      </c>
      <c r="I136" s="3" t="n">
        <v>102.23</v>
      </c>
      <c r="J136" s="2" t="n"/>
      <c r="K136" s="2">
        <f>IF(H136="02.09 : Outras Saídas", IF(OR(ISNUMBER(SEARCH("CHEQUE COMPE SICREDI", F136)), ISNUMBER(SEARCH("aniversario", F136)), ISNUMBER(SEARCH("churrasco", F136)), ISNUMBER(SEARCH("bolo", F136)), ISNUMBER(SEARCH("SUPERMERCADO", F136))), "6.1 Despesas Administrativas (Pessoal)", IF(OR(ISNUMBER(SEARCH("DLKNET", F136)), ISNUMBER(SEARCH("TESTE", F136))), "6.1 Despesas Administrativas (Gerais)", IFERROR(VLOOKUP(H136, De_Para!A:B, 2, FALSE), "NÃO MAPEADO"))), IFERROR(VLOOKUP(H136, De_Para!A:B, 2, FALSE), "NÃO MAPEADO"))</f>
        <v/>
      </c>
    </row>
    <row r="137">
      <c r="A137" s="2" t="inlineStr">
        <is>
          <t>69562</t>
        </is>
      </c>
      <c r="B137" s="2" t="inlineStr">
        <is>
          <t>Sicoob</t>
        </is>
      </c>
      <c r="C137" s="2" t="inlineStr">
        <is>
          <t>29/06/2026</t>
        </is>
      </c>
      <c r="D137" s="2" t="inlineStr">
        <is>
          <t>29/06/2026</t>
        </is>
      </c>
      <c r="E137" s="2" t="inlineStr">
        <is>
          <t>Dinheiro</t>
        </is>
      </c>
      <c r="F137" s="2" t="inlineStr">
        <is>
          <t>Boleto "54366" do cliente "GEOVANE SILVA DE SOUZA"</t>
        </is>
      </c>
      <c r="G137" s="2" t="inlineStr">
        <is>
          <t>system</t>
        </is>
      </c>
      <c r="H137" s="2" t="inlineStr">
        <is>
          <t>02.03.02.01 : Cobrança Bancaria</t>
        </is>
      </c>
      <c r="I137" s="2" t="n"/>
      <c r="J137" s="3" t="n">
        <v>-0.88</v>
      </c>
      <c r="K137" s="2">
        <f>IF(H137="02.09 : Outras Saídas", IF(OR(ISNUMBER(SEARCH("CHEQUE COMPE SICREDI", F137)), ISNUMBER(SEARCH("aniversario", F137)), ISNUMBER(SEARCH("churrasco", F137)), ISNUMBER(SEARCH("bolo", F137)), ISNUMBER(SEARCH("SUPERMERCADO", F137))), "6.1 Despesas Administrativas (Pessoal)", IF(OR(ISNUMBER(SEARCH("DLKNET", F137)), ISNUMBER(SEARCH("TESTE", F137))), "6.1 Despesas Administrativas (Gerais)", IFERROR(VLOOKUP(H137, De_Para!A:B, 2, FALSE), "NÃO MAPEADO"))), IFERROR(VLOOKUP(H137, De_Para!A:B, 2, FALSE), "NÃO MAPEADO"))</f>
        <v/>
      </c>
    </row>
    <row r="138">
      <c r="A138" s="2" t="inlineStr">
        <is>
          <t>69561</t>
        </is>
      </c>
      <c r="B138" s="2" t="inlineStr">
        <is>
          <t>Sicoob</t>
        </is>
      </c>
      <c r="C138" s="2" t="inlineStr">
        <is>
          <t>29/06/2026</t>
        </is>
      </c>
      <c r="D138" s="2" t="inlineStr">
        <is>
          <t>29/06/2026</t>
        </is>
      </c>
      <c r="E138" s="2" t="inlineStr">
        <is>
          <t>Dinheiro</t>
        </is>
      </c>
      <c r="F138" s="2" t="inlineStr">
        <is>
          <t>Boleto "54366" do cliente "GEOVANE SILVA DE SOUZA"</t>
        </is>
      </c>
      <c r="G138" s="2" t="inlineStr">
        <is>
          <t>system</t>
        </is>
      </c>
      <c r="H138" s="2" t="inlineStr">
        <is>
          <t>01.01.01 : Mensalidade</t>
        </is>
      </c>
      <c r="I138" s="3" t="n">
        <v>107.34</v>
      </c>
      <c r="J138" s="2" t="n"/>
      <c r="K138" s="2">
        <f>IF(H138="02.09 : Outras Saídas", IF(OR(ISNUMBER(SEARCH("CHEQUE COMPE SICREDI", F138)), ISNUMBER(SEARCH("aniversario", F138)), ISNUMBER(SEARCH("churrasco", F138)), ISNUMBER(SEARCH("bolo", F138)), ISNUMBER(SEARCH("SUPERMERCADO", F138))), "6.1 Despesas Administrativas (Pessoal)", IF(OR(ISNUMBER(SEARCH("DLKNET", F138)), ISNUMBER(SEARCH("TESTE", F138))), "6.1 Despesas Administrativas (Gerais)", IFERROR(VLOOKUP(H138, De_Para!A:B, 2, FALSE), "NÃO MAPEADO"))), IFERROR(VLOOKUP(H138, De_Para!A:B, 2, FALSE), "NÃO MAPEADO"))</f>
        <v/>
      </c>
    </row>
    <row r="139">
      <c r="A139" s="2" t="inlineStr">
        <is>
          <t>69560</t>
        </is>
      </c>
      <c r="B139" s="2" t="inlineStr">
        <is>
          <t>Sicredi SNI</t>
        </is>
      </c>
      <c r="C139" s="2" t="inlineStr">
        <is>
          <t>29/06/2026</t>
        </is>
      </c>
      <c r="D139" s="2" t="inlineStr">
        <is>
          <t>29/06/2026</t>
        </is>
      </c>
      <c r="E139" s="2" t="inlineStr">
        <is>
          <t>PIX</t>
        </is>
      </c>
      <c r="F139" s="2" t="inlineStr">
        <is>
          <t>Boleto "55277" do cliente "DOUGLAS SOUTO"</t>
        </is>
      </c>
      <c r="G139" s="2" t="inlineStr">
        <is>
          <t>system</t>
        </is>
      </c>
      <c r="H139" s="2" t="inlineStr">
        <is>
          <t>02.03.02.01 : Cobrança Bancaria</t>
        </is>
      </c>
      <c r="I139" s="2" t="n"/>
      <c r="J139" s="3" t="n">
        <v>-0.49</v>
      </c>
      <c r="K139" s="2">
        <f>IF(H139="02.09 : Outras Saídas", IF(OR(ISNUMBER(SEARCH("CHEQUE COMPE SICREDI", F139)), ISNUMBER(SEARCH("aniversario", F139)), ISNUMBER(SEARCH("churrasco", F139)), ISNUMBER(SEARCH("bolo", F139)), ISNUMBER(SEARCH("SUPERMERCADO", F139))), "6.1 Despesas Administrativas (Pessoal)", IF(OR(ISNUMBER(SEARCH("DLKNET", F139)), ISNUMBER(SEARCH("TESTE", F139))), "6.1 Despesas Administrativas (Gerais)", IFERROR(VLOOKUP(H139, De_Para!A:B, 2, FALSE), "NÃO MAPEADO"))), IFERROR(VLOOKUP(H139, De_Para!A:B, 2, FALSE), "NÃO MAPEADO"))</f>
        <v/>
      </c>
    </row>
    <row r="140">
      <c r="A140" s="2" t="inlineStr">
        <is>
          <t>69559</t>
        </is>
      </c>
      <c r="B140" s="2" t="inlineStr">
        <is>
          <t>Sicredi SNI</t>
        </is>
      </c>
      <c r="C140" s="2" t="inlineStr">
        <is>
          <t>29/06/2026</t>
        </is>
      </c>
      <c r="D140" s="2" t="inlineStr">
        <is>
          <t>29/06/2026</t>
        </is>
      </c>
      <c r="E140" s="2" t="inlineStr">
        <is>
          <t>PIX</t>
        </is>
      </c>
      <c r="F140" s="2" t="inlineStr">
        <is>
          <t>Boleto "55277" do cliente "DOUGLAS SOUTO"</t>
        </is>
      </c>
      <c r="G140" s="2" t="inlineStr">
        <is>
          <t>system</t>
        </is>
      </c>
      <c r="H140" s="2" t="inlineStr">
        <is>
          <t>01.01.01 : Mensalidade</t>
        </is>
      </c>
      <c r="I140" s="3" t="n">
        <v>81.84</v>
      </c>
      <c r="J140" s="2" t="n"/>
      <c r="K140" s="2">
        <f>IF(H140="02.09 : Outras Saídas", IF(OR(ISNUMBER(SEARCH("CHEQUE COMPE SICREDI", F140)), ISNUMBER(SEARCH("aniversario", F140)), ISNUMBER(SEARCH("churrasco", F140)), ISNUMBER(SEARCH("bolo", F140)), ISNUMBER(SEARCH("SUPERMERCADO", F140))), "6.1 Despesas Administrativas (Pessoal)", IF(OR(ISNUMBER(SEARCH("DLKNET", F140)), ISNUMBER(SEARCH("TESTE", F140))), "6.1 Despesas Administrativas (Gerais)", IFERROR(VLOOKUP(H140, De_Para!A:B, 2, FALSE), "NÃO MAPEADO"))), IFERROR(VLOOKUP(H140, De_Para!A:B, 2, FALSE), "NÃO MAPEADO"))</f>
        <v/>
      </c>
    </row>
    <row r="141">
      <c r="A141" s="2" t="inlineStr">
        <is>
          <t>69558</t>
        </is>
      </c>
      <c r="B141" s="2" t="inlineStr">
        <is>
          <t>Sicredi SNI</t>
        </is>
      </c>
      <c r="C141" s="2" t="inlineStr">
        <is>
          <t>28/06/2026</t>
        </is>
      </c>
      <c r="D141" s="2" t="inlineStr">
        <is>
          <t>28/06/2026</t>
        </is>
      </c>
      <c r="E141" s="2" t="inlineStr">
        <is>
          <t>PIX</t>
        </is>
      </c>
      <c r="F141" s="2" t="inlineStr">
        <is>
          <t>Boleto "68092" do cliente "CASSIA COLLINS SIQUEIRA"</t>
        </is>
      </c>
      <c r="G141" s="2" t="inlineStr">
        <is>
          <t>system</t>
        </is>
      </c>
      <c r="H141" s="2" t="inlineStr">
        <is>
          <t>02.03.02.01 : Cobrança Bancaria</t>
        </is>
      </c>
      <c r="I141" s="2" t="n"/>
      <c r="J141" s="3" t="n">
        <v>-0.49</v>
      </c>
      <c r="K141" s="2">
        <f>IF(H141="02.09 : Outras Saídas", IF(OR(ISNUMBER(SEARCH("CHEQUE COMPE SICREDI", F141)), ISNUMBER(SEARCH("aniversario", F141)), ISNUMBER(SEARCH("churrasco", F141)), ISNUMBER(SEARCH("bolo", F141)), ISNUMBER(SEARCH("SUPERMERCADO", F141))), "6.1 Despesas Administrativas (Pessoal)", IF(OR(ISNUMBER(SEARCH("DLKNET", F141)), ISNUMBER(SEARCH("TESTE", F141))), "6.1 Despesas Administrativas (Gerais)", IFERROR(VLOOKUP(H141, De_Para!A:B, 2, FALSE), "NÃO MAPEADO"))), IFERROR(VLOOKUP(H141, De_Para!A:B, 2, FALSE), "NÃO MAPEADO"))</f>
        <v/>
      </c>
    </row>
    <row r="142">
      <c r="A142" s="2" t="inlineStr">
        <is>
          <t>69557</t>
        </is>
      </c>
      <c r="B142" s="2" t="inlineStr">
        <is>
          <t>Sicredi SNI</t>
        </is>
      </c>
      <c r="C142" s="2" t="inlineStr">
        <is>
          <t>28/06/2026</t>
        </is>
      </c>
      <c r="D142" s="2" t="inlineStr">
        <is>
          <t>28/06/2026</t>
        </is>
      </c>
      <c r="E142" s="2" t="inlineStr">
        <is>
          <t>PIX</t>
        </is>
      </c>
      <c r="F142" s="2" t="inlineStr">
        <is>
          <t>Boleto "68092" do cliente "CASSIA COLLINS SIQUEIRA"</t>
        </is>
      </c>
      <c r="G142" s="2" t="inlineStr">
        <is>
          <t>system</t>
        </is>
      </c>
      <c r="H142" s="2" t="inlineStr">
        <is>
          <t>01.03.01 : Mensalidade</t>
        </is>
      </c>
      <c r="I142" s="3" t="n">
        <v>69.90000000000001</v>
      </c>
      <c r="J142" s="2" t="n"/>
      <c r="K142" s="2">
        <f>IF(H142="02.09 : Outras Saídas", IF(OR(ISNUMBER(SEARCH("CHEQUE COMPE SICREDI", F142)), ISNUMBER(SEARCH("aniversario", F142)), ISNUMBER(SEARCH("churrasco", F142)), ISNUMBER(SEARCH("bolo", F142)), ISNUMBER(SEARCH("SUPERMERCADO", F142))), "6.1 Despesas Administrativas (Pessoal)", IF(OR(ISNUMBER(SEARCH("DLKNET", F142)), ISNUMBER(SEARCH("TESTE", F142))), "6.1 Despesas Administrativas (Gerais)", IFERROR(VLOOKUP(H142, De_Para!A:B, 2, FALSE), "NÃO MAPEADO"))), IFERROR(VLOOKUP(H142, De_Para!A:B, 2, FALSE), "NÃO MAPEADO"))</f>
        <v/>
      </c>
    </row>
    <row r="143">
      <c r="A143" s="2" t="inlineStr">
        <is>
          <t>69556</t>
        </is>
      </c>
      <c r="B143" s="2" t="inlineStr">
        <is>
          <t>Sicredi SNI</t>
        </is>
      </c>
      <c r="C143" s="2" t="inlineStr">
        <is>
          <t>28/06/2026</t>
        </is>
      </c>
      <c r="D143" s="2" t="inlineStr">
        <is>
          <t>28/06/2026</t>
        </is>
      </c>
      <c r="E143" s="2" t="inlineStr">
        <is>
          <t>PIX</t>
        </is>
      </c>
      <c r="F143" s="2" t="inlineStr">
        <is>
          <t>Boleto "61265" do cliente "MARIA SONIA LEMES"</t>
        </is>
      </c>
      <c r="G143" s="2" t="inlineStr">
        <is>
          <t>system</t>
        </is>
      </c>
      <c r="H143" s="2" t="inlineStr">
        <is>
          <t>02.03.02.01 : Cobrança Bancaria</t>
        </is>
      </c>
      <c r="I143" s="2" t="n"/>
      <c r="J143" s="3" t="n">
        <v>-0.49</v>
      </c>
      <c r="K143" s="2">
        <f>IF(H143="02.09 : Outras Saídas", IF(OR(ISNUMBER(SEARCH("CHEQUE COMPE SICREDI", F143)), ISNUMBER(SEARCH("aniversario", F143)), ISNUMBER(SEARCH("churrasco", F143)), ISNUMBER(SEARCH("bolo", F143)), ISNUMBER(SEARCH("SUPERMERCADO", F143))), "6.1 Despesas Administrativas (Pessoal)", IF(OR(ISNUMBER(SEARCH("DLKNET", F143)), ISNUMBER(SEARCH("TESTE", F143))), "6.1 Despesas Administrativas (Gerais)", IFERROR(VLOOKUP(H143, De_Para!A:B, 2, FALSE), "NÃO MAPEADO"))), IFERROR(VLOOKUP(H143, De_Para!A:B, 2, FALSE), "NÃO MAPEADO"))</f>
        <v/>
      </c>
    </row>
    <row r="144">
      <c r="A144" s="2" t="inlineStr">
        <is>
          <t>69555</t>
        </is>
      </c>
      <c r="B144" s="2" t="inlineStr">
        <is>
          <t>Sicredi SNI</t>
        </is>
      </c>
      <c r="C144" s="2" t="inlineStr">
        <is>
          <t>28/06/2026</t>
        </is>
      </c>
      <c r="D144" s="2" t="inlineStr">
        <is>
          <t>28/06/2026</t>
        </is>
      </c>
      <c r="E144" s="2" t="inlineStr">
        <is>
          <t>PIX</t>
        </is>
      </c>
      <c r="F144" s="2" t="inlineStr">
        <is>
          <t>Boleto "61265" do cliente "MARIA SONIA LEMES"</t>
        </is>
      </c>
      <c r="G144" s="2" t="inlineStr">
        <is>
          <t>system</t>
        </is>
      </c>
      <c r="H144" s="2" t="inlineStr">
        <is>
          <t>01.03.01 : Mensalidade</t>
        </is>
      </c>
      <c r="I144" s="3" t="n">
        <v>107.38</v>
      </c>
      <c r="J144" s="2" t="n"/>
      <c r="K144" s="2">
        <f>IF(H144="02.09 : Outras Saídas", IF(OR(ISNUMBER(SEARCH("CHEQUE COMPE SICREDI", F144)), ISNUMBER(SEARCH("aniversario", F144)), ISNUMBER(SEARCH("churrasco", F144)), ISNUMBER(SEARCH("bolo", F144)), ISNUMBER(SEARCH("SUPERMERCADO", F144))), "6.1 Despesas Administrativas (Pessoal)", IF(OR(ISNUMBER(SEARCH("DLKNET", F144)), ISNUMBER(SEARCH("TESTE", F144))), "6.1 Despesas Administrativas (Gerais)", IFERROR(VLOOKUP(H144, De_Para!A:B, 2, FALSE), "NÃO MAPEADO"))), IFERROR(VLOOKUP(H144, De_Para!A:B, 2, FALSE), "NÃO MAPEADO"))</f>
        <v/>
      </c>
    </row>
    <row r="145">
      <c r="A145" s="2" t="inlineStr">
        <is>
          <t>69554</t>
        </is>
      </c>
      <c r="B145" s="2" t="inlineStr">
        <is>
          <t>Sicredi SNI</t>
        </is>
      </c>
      <c r="C145" s="2" t="inlineStr">
        <is>
          <t>27/06/2026</t>
        </is>
      </c>
      <c r="D145" s="2" t="inlineStr">
        <is>
          <t>27/06/2026</t>
        </is>
      </c>
      <c r="E145" s="2" t="inlineStr">
        <is>
          <t>PIX</t>
        </is>
      </c>
      <c r="F145" s="2" t="inlineStr">
        <is>
          <t>Boleto "61232" do cliente "PATRICIA BRAZ DOS SANTOS"</t>
        </is>
      </c>
      <c r="G145" s="2" t="inlineStr">
        <is>
          <t>system</t>
        </is>
      </c>
      <c r="H145" s="2" t="inlineStr">
        <is>
          <t>02.03.02.01 : Cobrança Bancaria</t>
        </is>
      </c>
      <c r="I145" s="2" t="n"/>
      <c r="J145" s="3" t="n">
        <v>-0.49</v>
      </c>
      <c r="K145" s="2">
        <f>IF(H145="02.09 : Outras Saídas", IF(OR(ISNUMBER(SEARCH("CHEQUE COMPE SICREDI", F145)), ISNUMBER(SEARCH("aniversario", F145)), ISNUMBER(SEARCH("churrasco", F145)), ISNUMBER(SEARCH("bolo", F145)), ISNUMBER(SEARCH("SUPERMERCADO", F145))), "6.1 Despesas Administrativas (Pessoal)", IF(OR(ISNUMBER(SEARCH("DLKNET", F145)), ISNUMBER(SEARCH("TESTE", F145))), "6.1 Despesas Administrativas (Gerais)", IFERROR(VLOOKUP(H145, De_Para!A:B, 2, FALSE), "NÃO MAPEADO"))), IFERROR(VLOOKUP(H145, De_Para!A:B, 2, FALSE), "NÃO MAPEADO"))</f>
        <v/>
      </c>
    </row>
    <row r="146">
      <c r="A146" s="2" t="inlineStr">
        <is>
          <t>69553</t>
        </is>
      </c>
      <c r="B146" s="2" t="inlineStr">
        <is>
          <t>Sicredi SNI</t>
        </is>
      </c>
      <c r="C146" s="2" t="inlineStr">
        <is>
          <t>27/06/2026</t>
        </is>
      </c>
      <c r="D146" s="2" t="inlineStr">
        <is>
          <t>27/06/2026</t>
        </is>
      </c>
      <c r="E146" s="2" t="inlineStr">
        <is>
          <t>PIX</t>
        </is>
      </c>
      <c r="F146" s="2" t="inlineStr">
        <is>
          <t>Boleto "61232" do cliente "PATRICIA BRAZ DOS SANTOS"</t>
        </is>
      </c>
      <c r="G146" s="2" t="inlineStr">
        <is>
          <t>system</t>
        </is>
      </c>
      <c r="H146" s="2" t="inlineStr">
        <is>
          <t>01.03.01 : Mensalidade</t>
        </is>
      </c>
      <c r="I146" s="3" t="n">
        <v>105</v>
      </c>
      <c r="J146" s="2" t="n"/>
      <c r="K146" s="2">
        <f>IF(H146="02.09 : Outras Saídas", IF(OR(ISNUMBER(SEARCH("CHEQUE COMPE SICREDI", F146)), ISNUMBER(SEARCH("aniversario", F146)), ISNUMBER(SEARCH("churrasco", F146)), ISNUMBER(SEARCH("bolo", F146)), ISNUMBER(SEARCH("SUPERMERCADO", F146))), "6.1 Despesas Administrativas (Pessoal)", IF(OR(ISNUMBER(SEARCH("DLKNET", F146)), ISNUMBER(SEARCH("TESTE", F146))), "6.1 Despesas Administrativas (Gerais)", IFERROR(VLOOKUP(H146, De_Para!A:B, 2, FALSE), "NÃO MAPEADO"))), IFERROR(VLOOKUP(H146, De_Para!A:B, 2, FALSE), "NÃO MAPEADO"))</f>
        <v/>
      </c>
    </row>
    <row r="147">
      <c r="A147" s="2" t="inlineStr">
        <is>
          <t>69552</t>
        </is>
      </c>
      <c r="B147" s="2" t="inlineStr">
        <is>
          <t>Sicredi SNI</t>
        </is>
      </c>
      <c r="C147" s="2" t="inlineStr">
        <is>
          <t>27/06/2026</t>
        </is>
      </c>
      <c r="D147" s="2" t="inlineStr">
        <is>
          <t>27/06/2026</t>
        </is>
      </c>
      <c r="E147" s="2" t="inlineStr">
        <is>
          <t>PIX</t>
        </is>
      </c>
      <c r="F147" s="2" t="inlineStr">
        <is>
          <t>Boleto "63266" do cliente "VALDINEIA APARECIDA ALVES NOGUEIRA DE SOUZA"</t>
        </is>
      </c>
      <c r="G147" s="2" t="inlineStr">
        <is>
          <t>system</t>
        </is>
      </c>
      <c r="H147" s="2" t="inlineStr">
        <is>
          <t>02.03.02.01 : Cobrança Bancaria</t>
        </is>
      </c>
      <c r="I147" s="2" t="n"/>
      <c r="J147" s="3" t="n">
        <v>-0.49</v>
      </c>
      <c r="K147" s="2">
        <f>IF(H147="02.09 : Outras Saídas", IF(OR(ISNUMBER(SEARCH("CHEQUE COMPE SICREDI", F147)), ISNUMBER(SEARCH("aniversario", F147)), ISNUMBER(SEARCH("churrasco", F147)), ISNUMBER(SEARCH("bolo", F147)), ISNUMBER(SEARCH("SUPERMERCADO", F147))), "6.1 Despesas Administrativas (Pessoal)", IF(OR(ISNUMBER(SEARCH("DLKNET", F147)), ISNUMBER(SEARCH("TESTE", F147))), "6.1 Despesas Administrativas (Gerais)", IFERROR(VLOOKUP(H147, De_Para!A:B, 2, FALSE), "NÃO MAPEADO"))), IFERROR(VLOOKUP(H147, De_Para!A:B, 2, FALSE), "NÃO MAPEADO"))</f>
        <v/>
      </c>
    </row>
    <row r="148">
      <c r="A148" s="2" t="inlineStr">
        <is>
          <t>69551</t>
        </is>
      </c>
      <c r="B148" s="2" t="inlineStr">
        <is>
          <t>Sicredi SNI</t>
        </is>
      </c>
      <c r="C148" s="2" t="inlineStr">
        <is>
          <t>27/06/2026</t>
        </is>
      </c>
      <c r="D148" s="2" t="inlineStr">
        <is>
          <t>27/06/2026</t>
        </is>
      </c>
      <c r="E148" s="2" t="inlineStr">
        <is>
          <t>PIX</t>
        </is>
      </c>
      <c r="F148" s="2" t="inlineStr">
        <is>
          <t>Boleto "63266" do cliente "VALDINEIA APARECIDA ALVES NOGUEIRA DE SOUZA"</t>
        </is>
      </c>
      <c r="G148" s="2" t="inlineStr">
        <is>
          <t>system</t>
        </is>
      </c>
      <c r="H148" s="2" t="inlineStr">
        <is>
          <t>01.01.01 : Mensalidade</t>
        </is>
      </c>
      <c r="I148" s="3" t="n">
        <v>109.9</v>
      </c>
      <c r="J148" s="2" t="n"/>
      <c r="K148" s="2">
        <f>IF(H148="02.09 : Outras Saídas", IF(OR(ISNUMBER(SEARCH("CHEQUE COMPE SICREDI", F148)), ISNUMBER(SEARCH("aniversario", F148)), ISNUMBER(SEARCH("churrasco", F148)), ISNUMBER(SEARCH("bolo", F148)), ISNUMBER(SEARCH("SUPERMERCADO", F148))), "6.1 Despesas Administrativas (Pessoal)", IF(OR(ISNUMBER(SEARCH("DLKNET", F148)), ISNUMBER(SEARCH("TESTE", F148))), "6.1 Despesas Administrativas (Gerais)", IFERROR(VLOOKUP(H148, De_Para!A:B, 2, FALSE), "NÃO MAPEADO"))), IFERROR(VLOOKUP(H148, De_Para!A:B, 2, FALSE), "NÃO MAPEADO"))</f>
        <v/>
      </c>
    </row>
    <row r="149">
      <c r="A149" s="2" t="inlineStr">
        <is>
          <t>69550</t>
        </is>
      </c>
      <c r="B149" s="2" t="inlineStr">
        <is>
          <t>Sicredi SNI</t>
        </is>
      </c>
      <c r="C149" s="2" t="inlineStr">
        <is>
          <t>27/06/2026</t>
        </is>
      </c>
      <c r="D149" s="2" t="inlineStr">
        <is>
          <t>27/06/2026</t>
        </is>
      </c>
      <c r="E149" s="2" t="inlineStr">
        <is>
          <t>PIX</t>
        </is>
      </c>
      <c r="F149" s="2" t="inlineStr">
        <is>
          <t>Boleto "67515" do cliente "ROSIMEIRE ALVES VIEIRA"</t>
        </is>
      </c>
      <c r="G149" s="2" t="inlineStr">
        <is>
          <t>system</t>
        </is>
      </c>
      <c r="H149" s="2" t="inlineStr">
        <is>
          <t>02.03.02.01 : Cobrança Bancaria</t>
        </is>
      </c>
      <c r="I149" s="2" t="n"/>
      <c r="J149" s="3" t="n">
        <v>-0.49</v>
      </c>
      <c r="K149" s="2">
        <f>IF(H149="02.09 : Outras Saídas", IF(OR(ISNUMBER(SEARCH("CHEQUE COMPE SICREDI", F149)), ISNUMBER(SEARCH("aniversario", F149)), ISNUMBER(SEARCH("churrasco", F149)), ISNUMBER(SEARCH("bolo", F149)), ISNUMBER(SEARCH("SUPERMERCADO", F149))), "6.1 Despesas Administrativas (Pessoal)", IF(OR(ISNUMBER(SEARCH("DLKNET", F149)), ISNUMBER(SEARCH("TESTE", F149))), "6.1 Despesas Administrativas (Gerais)", IFERROR(VLOOKUP(H149, De_Para!A:B, 2, FALSE), "NÃO MAPEADO"))), IFERROR(VLOOKUP(H149, De_Para!A:B, 2, FALSE), "NÃO MAPEADO"))</f>
        <v/>
      </c>
    </row>
    <row r="150">
      <c r="A150" s="2" t="inlineStr">
        <is>
          <t>69549</t>
        </is>
      </c>
      <c r="B150" s="2" t="inlineStr">
        <is>
          <t>Sicredi SNI</t>
        </is>
      </c>
      <c r="C150" s="2" t="inlineStr">
        <is>
          <t>27/06/2026</t>
        </is>
      </c>
      <c r="D150" s="2" t="inlineStr">
        <is>
          <t>27/06/2026</t>
        </is>
      </c>
      <c r="E150" s="2" t="inlineStr">
        <is>
          <t>PIX</t>
        </is>
      </c>
      <c r="F150" s="2" t="inlineStr">
        <is>
          <t>Boleto "67515" do cliente "ROSIMEIRE ALVES VIEIRA"</t>
        </is>
      </c>
      <c r="G150" s="2" t="inlineStr">
        <is>
          <t>system</t>
        </is>
      </c>
      <c r="H150" s="2" t="inlineStr">
        <is>
          <t>01.01.01 : Mensalidade</t>
        </is>
      </c>
      <c r="I150" s="3" t="n">
        <v>107.17</v>
      </c>
      <c r="J150" s="2" t="n"/>
      <c r="K150" s="2">
        <f>IF(H150="02.09 : Outras Saídas", IF(OR(ISNUMBER(SEARCH("CHEQUE COMPE SICREDI", F150)), ISNUMBER(SEARCH("aniversario", F150)), ISNUMBER(SEARCH("churrasco", F150)), ISNUMBER(SEARCH("bolo", F150)), ISNUMBER(SEARCH("SUPERMERCADO", F150))), "6.1 Despesas Administrativas (Pessoal)", IF(OR(ISNUMBER(SEARCH("DLKNET", F150)), ISNUMBER(SEARCH("TESTE", F150))), "6.1 Despesas Administrativas (Gerais)", IFERROR(VLOOKUP(H150, De_Para!A:B, 2, FALSE), "NÃO MAPEADO"))), IFERROR(VLOOKUP(H150, De_Para!A:B, 2, FALSE), "NÃO MAPEADO"))</f>
        <v/>
      </c>
    </row>
    <row r="151">
      <c r="A151" s="2" t="inlineStr">
        <is>
          <t>69548</t>
        </is>
      </c>
      <c r="B151" s="2" t="inlineStr">
        <is>
          <t>Sicredi SNI</t>
        </is>
      </c>
      <c r="C151" s="2" t="inlineStr">
        <is>
          <t>27/06/2026</t>
        </is>
      </c>
      <c r="D151" s="2" t="inlineStr">
        <is>
          <t>27/06/2026</t>
        </is>
      </c>
      <c r="E151" s="2" t="inlineStr">
        <is>
          <t>PIX</t>
        </is>
      </c>
      <c r="F151" s="2" t="inlineStr">
        <is>
          <t>Boleto "67680" do cliente "MATEUS JOSE BRAMBILA"</t>
        </is>
      </c>
      <c r="G151" s="2" t="inlineStr">
        <is>
          <t>system</t>
        </is>
      </c>
      <c r="H151" s="2" t="inlineStr">
        <is>
          <t>02.03.02.01 : Cobrança Bancaria</t>
        </is>
      </c>
      <c r="I151" s="2" t="n"/>
      <c r="J151" s="3" t="n">
        <v>-0.49</v>
      </c>
      <c r="K151" s="2">
        <f>IF(H151="02.09 : Outras Saídas", IF(OR(ISNUMBER(SEARCH("CHEQUE COMPE SICREDI", F151)), ISNUMBER(SEARCH("aniversario", F151)), ISNUMBER(SEARCH("churrasco", F151)), ISNUMBER(SEARCH("bolo", F151)), ISNUMBER(SEARCH("SUPERMERCADO", F151))), "6.1 Despesas Administrativas (Pessoal)", IF(OR(ISNUMBER(SEARCH("DLKNET", F151)), ISNUMBER(SEARCH("TESTE", F151))), "6.1 Despesas Administrativas (Gerais)", IFERROR(VLOOKUP(H151, De_Para!A:B, 2, FALSE), "NÃO MAPEADO"))), IFERROR(VLOOKUP(H151, De_Para!A:B, 2, FALSE), "NÃO MAPEADO"))</f>
        <v/>
      </c>
    </row>
    <row r="152">
      <c r="A152" s="2" t="inlineStr">
        <is>
          <t>69547</t>
        </is>
      </c>
      <c r="B152" s="2" t="inlineStr">
        <is>
          <t>Sicredi SNI</t>
        </is>
      </c>
      <c r="C152" s="2" t="inlineStr">
        <is>
          <t>27/06/2026</t>
        </is>
      </c>
      <c r="D152" s="2" t="inlineStr">
        <is>
          <t>27/06/2026</t>
        </is>
      </c>
      <c r="E152" s="2" t="inlineStr">
        <is>
          <t>PIX</t>
        </is>
      </c>
      <c r="F152" s="2" t="inlineStr">
        <is>
          <t>Boleto "67680" do cliente "MATEUS JOSE BRAMBILA"</t>
        </is>
      </c>
      <c r="G152" s="2" t="inlineStr">
        <is>
          <t>system</t>
        </is>
      </c>
      <c r="H152" s="2" t="inlineStr">
        <is>
          <t>01.01.01 : Mensalidade</t>
        </is>
      </c>
      <c r="I152" s="3" t="n">
        <v>99.90000000000001</v>
      </c>
      <c r="J152" s="2" t="n"/>
      <c r="K152" s="2">
        <f>IF(H152="02.09 : Outras Saídas", IF(OR(ISNUMBER(SEARCH("CHEQUE COMPE SICREDI", F152)), ISNUMBER(SEARCH("aniversario", F152)), ISNUMBER(SEARCH("churrasco", F152)), ISNUMBER(SEARCH("bolo", F152)), ISNUMBER(SEARCH("SUPERMERCADO", F152))), "6.1 Despesas Administrativas (Pessoal)", IF(OR(ISNUMBER(SEARCH("DLKNET", F152)), ISNUMBER(SEARCH("TESTE", F152))), "6.1 Despesas Administrativas (Gerais)", IFERROR(VLOOKUP(H152, De_Para!A:B, 2, FALSE), "NÃO MAPEADO"))), IFERROR(VLOOKUP(H152, De_Para!A:B, 2, FALSE), "NÃO MAPEADO"))</f>
        <v/>
      </c>
    </row>
    <row r="153">
      <c r="A153" s="2" t="inlineStr">
        <is>
          <t>69546</t>
        </is>
      </c>
      <c r="B153" s="2" t="inlineStr">
        <is>
          <t>Sicredi SNI</t>
        </is>
      </c>
      <c r="C153" s="2" t="inlineStr">
        <is>
          <t>27/06/2026</t>
        </is>
      </c>
      <c r="D153" s="2" t="inlineStr">
        <is>
          <t>27/06/2026</t>
        </is>
      </c>
      <c r="E153" s="2" t="inlineStr">
        <is>
          <t>PIX</t>
        </is>
      </c>
      <c r="F153" s="2" t="inlineStr">
        <is>
          <t>Boleto "59374" do cliente "SAMUEL DE CAMARGO CEREAIS ME"</t>
        </is>
      </c>
      <c r="G153" s="2" t="inlineStr">
        <is>
          <t>system</t>
        </is>
      </c>
      <c r="H153" s="2" t="inlineStr">
        <is>
          <t>02.03.02.01 : Cobrança Bancaria</t>
        </is>
      </c>
      <c r="I153" s="2" t="n"/>
      <c r="J153" s="3" t="n">
        <v>-0.49</v>
      </c>
      <c r="K153" s="2">
        <f>IF(H153="02.09 : Outras Saídas", IF(OR(ISNUMBER(SEARCH("CHEQUE COMPE SICREDI", F153)), ISNUMBER(SEARCH("aniversario", F153)), ISNUMBER(SEARCH("churrasco", F153)), ISNUMBER(SEARCH("bolo", F153)), ISNUMBER(SEARCH("SUPERMERCADO", F153))), "6.1 Despesas Administrativas (Pessoal)", IF(OR(ISNUMBER(SEARCH("DLKNET", F153)), ISNUMBER(SEARCH("TESTE", F153))), "6.1 Despesas Administrativas (Gerais)", IFERROR(VLOOKUP(H153, De_Para!A:B, 2, FALSE), "NÃO MAPEADO"))), IFERROR(VLOOKUP(H153, De_Para!A:B, 2, FALSE), "NÃO MAPEADO"))</f>
        <v/>
      </c>
    </row>
    <row r="154">
      <c r="A154" s="2" t="inlineStr">
        <is>
          <t>69545</t>
        </is>
      </c>
      <c r="B154" s="2" t="inlineStr">
        <is>
          <t>Sicredi SNI</t>
        </is>
      </c>
      <c r="C154" s="2" t="inlineStr">
        <is>
          <t>27/06/2026</t>
        </is>
      </c>
      <c r="D154" s="2" t="inlineStr">
        <is>
          <t>27/06/2026</t>
        </is>
      </c>
      <c r="E154" s="2" t="inlineStr">
        <is>
          <t>PIX</t>
        </is>
      </c>
      <c r="F154" s="2" t="inlineStr">
        <is>
          <t>Boleto "59374" do cliente "SAMUEL DE CAMARGO CEREAIS ME"</t>
        </is>
      </c>
      <c r="G154" s="2" t="inlineStr">
        <is>
          <t>system</t>
        </is>
      </c>
      <c r="H154" s="2" t="inlineStr">
        <is>
          <t>01.01.01 : Mensalidade</t>
        </is>
      </c>
      <c r="I154" s="3" t="n">
        <v>102.3</v>
      </c>
      <c r="J154" s="2" t="n"/>
      <c r="K154" s="2">
        <f>IF(H154="02.09 : Outras Saídas", IF(OR(ISNUMBER(SEARCH("CHEQUE COMPE SICREDI", F154)), ISNUMBER(SEARCH("aniversario", F154)), ISNUMBER(SEARCH("churrasco", F154)), ISNUMBER(SEARCH("bolo", F154)), ISNUMBER(SEARCH("SUPERMERCADO", F154))), "6.1 Despesas Administrativas (Pessoal)", IF(OR(ISNUMBER(SEARCH("DLKNET", F154)), ISNUMBER(SEARCH("TESTE", F154))), "6.1 Despesas Administrativas (Gerais)", IFERROR(VLOOKUP(H154, De_Para!A:B, 2, FALSE), "NÃO MAPEADO"))), IFERROR(VLOOKUP(H154, De_Para!A:B, 2, FALSE), "NÃO MAPEADO"))</f>
        <v/>
      </c>
    </row>
    <row r="155">
      <c r="A155" s="2" t="inlineStr">
        <is>
          <t>69544</t>
        </is>
      </c>
      <c r="B155" s="2" t="inlineStr">
        <is>
          <t>Sicredi SNI</t>
        </is>
      </c>
      <c r="C155" s="2" t="inlineStr">
        <is>
          <t>27/06/2026</t>
        </is>
      </c>
      <c r="D155" s="2" t="inlineStr">
        <is>
          <t>27/06/2026</t>
        </is>
      </c>
      <c r="E155" s="2" t="inlineStr">
        <is>
          <t>PIX</t>
        </is>
      </c>
      <c r="F155" s="2" t="inlineStr">
        <is>
          <t>Boleto "67773" do cliente "NILTON FRANÇOIA"</t>
        </is>
      </c>
      <c r="G155" s="2" t="inlineStr">
        <is>
          <t>system</t>
        </is>
      </c>
      <c r="H155" s="2" t="inlineStr">
        <is>
          <t>02.03.02.01 : Cobrança Bancaria</t>
        </is>
      </c>
      <c r="I155" s="2" t="n"/>
      <c r="J155" s="3" t="n">
        <v>-0.49</v>
      </c>
      <c r="K155" s="2">
        <f>IF(H155="02.09 : Outras Saídas", IF(OR(ISNUMBER(SEARCH("CHEQUE COMPE SICREDI", F155)), ISNUMBER(SEARCH("aniversario", F155)), ISNUMBER(SEARCH("churrasco", F155)), ISNUMBER(SEARCH("bolo", F155)), ISNUMBER(SEARCH("SUPERMERCADO", F155))), "6.1 Despesas Administrativas (Pessoal)", IF(OR(ISNUMBER(SEARCH("DLKNET", F155)), ISNUMBER(SEARCH("TESTE", F155))), "6.1 Despesas Administrativas (Gerais)", IFERROR(VLOOKUP(H155, De_Para!A:B, 2, FALSE), "NÃO MAPEADO"))), IFERROR(VLOOKUP(H155, De_Para!A:B, 2, FALSE), "NÃO MAPEADO"))</f>
        <v/>
      </c>
    </row>
    <row r="156">
      <c r="A156" s="2" t="inlineStr">
        <is>
          <t>69543</t>
        </is>
      </c>
      <c r="B156" s="2" t="inlineStr">
        <is>
          <t>Sicredi SNI</t>
        </is>
      </c>
      <c r="C156" s="2" t="inlineStr">
        <is>
          <t>27/06/2026</t>
        </is>
      </c>
      <c r="D156" s="2" t="inlineStr">
        <is>
          <t>27/06/2026</t>
        </is>
      </c>
      <c r="E156" s="2" t="inlineStr">
        <is>
          <t>PIX</t>
        </is>
      </c>
      <c r="F156" s="2" t="inlineStr">
        <is>
          <t>Boleto "67773" do cliente "NILTON FRANÇOIA"</t>
        </is>
      </c>
      <c r="G156" s="2" t="inlineStr">
        <is>
          <t>system</t>
        </is>
      </c>
      <c r="H156" s="2" t="inlineStr">
        <is>
          <t>01.01.01 : Mensalidade</t>
        </is>
      </c>
      <c r="I156" s="3" t="n">
        <v>99.90000000000001</v>
      </c>
      <c r="J156" s="2" t="n"/>
      <c r="K156" s="2">
        <f>IF(H156="02.09 : Outras Saídas", IF(OR(ISNUMBER(SEARCH("CHEQUE COMPE SICREDI", F156)), ISNUMBER(SEARCH("aniversario", F156)), ISNUMBER(SEARCH("churrasco", F156)), ISNUMBER(SEARCH("bolo", F156)), ISNUMBER(SEARCH("SUPERMERCADO", F156))), "6.1 Despesas Administrativas (Pessoal)", IF(OR(ISNUMBER(SEARCH("DLKNET", F156)), ISNUMBER(SEARCH("TESTE", F156))), "6.1 Despesas Administrativas (Gerais)", IFERROR(VLOOKUP(H156, De_Para!A:B, 2, FALSE), "NÃO MAPEADO"))), IFERROR(VLOOKUP(H156, De_Para!A:B, 2, FALSE), "NÃO MAPEADO"))</f>
        <v/>
      </c>
    </row>
    <row r="157">
      <c r="A157" s="2" t="inlineStr">
        <is>
          <t>69542</t>
        </is>
      </c>
      <c r="B157" s="2" t="inlineStr">
        <is>
          <t>Sicredi SNI</t>
        </is>
      </c>
      <c r="C157" s="2" t="inlineStr">
        <is>
          <t>27/06/2026</t>
        </is>
      </c>
      <c r="D157" s="2" t="inlineStr">
        <is>
          <t>27/06/2026</t>
        </is>
      </c>
      <c r="E157" s="2" t="inlineStr">
        <is>
          <t>PIX</t>
        </is>
      </c>
      <c r="F157" s="2" t="inlineStr">
        <is>
          <t>Boleto "58006" do cliente "MARIA JOSÉ VINHA SALVINO"</t>
        </is>
      </c>
      <c r="G157" s="2" t="inlineStr">
        <is>
          <t>system</t>
        </is>
      </c>
      <c r="H157" s="2" t="inlineStr">
        <is>
          <t>02.03.02.01 : Cobrança Bancaria</t>
        </is>
      </c>
      <c r="I157" s="2" t="n"/>
      <c r="J157" s="3" t="n">
        <v>-0.49</v>
      </c>
      <c r="K157" s="2">
        <f>IF(H157="02.09 : Outras Saídas", IF(OR(ISNUMBER(SEARCH("CHEQUE COMPE SICREDI", F157)), ISNUMBER(SEARCH("aniversario", F157)), ISNUMBER(SEARCH("churrasco", F157)), ISNUMBER(SEARCH("bolo", F157)), ISNUMBER(SEARCH("SUPERMERCADO", F157))), "6.1 Despesas Administrativas (Pessoal)", IF(OR(ISNUMBER(SEARCH("DLKNET", F157)), ISNUMBER(SEARCH("TESTE", F157))), "6.1 Despesas Administrativas (Gerais)", IFERROR(VLOOKUP(H157, De_Para!A:B, 2, FALSE), "NÃO MAPEADO"))), IFERROR(VLOOKUP(H157, De_Para!A:B, 2, FALSE), "NÃO MAPEADO"))</f>
        <v/>
      </c>
    </row>
    <row r="158">
      <c r="A158" s="2" t="inlineStr">
        <is>
          <t>69541</t>
        </is>
      </c>
      <c r="B158" s="2" t="inlineStr">
        <is>
          <t>Sicredi SNI</t>
        </is>
      </c>
      <c r="C158" s="2" t="inlineStr">
        <is>
          <t>27/06/2026</t>
        </is>
      </c>
      <c r="D158" s="2" t="inlineStr">
        <is>
          <t>27/06/2026</t>
        </is>
      </c>
      <c r="E158" s="2" t="inlineStr">
        <is>
          <t>PIX</t>
        </is>
      </c>
      <c r="F158" s="2" t="inlineStr">
        <is>
          <t>Boleto "58006" do cliente "MARIA JOSÉ VINHA SALVINO"</t>
        </is>
      </c>
      <c r="G158" s="2" t="inlineStr">
        <is>
          <t>system</t>
        </is>
      </c>
      <c r="H158" s="2" t="inlineStr">
        <is>
          <t>01.01.01 : Mensalidade</t>
        </is>
      </c>
      <c r="I158" s="3" t="n">
        <v>107.52</v>
      </c>
      <c r="J158" s="2" t="n"/>
      <c r="K158" s="2">
        <f>IF(H158="02.09 : Outras Saídas", IF(OR(ISNUMBER(SEARCH("CHEQUE COMPE SICREDI", F158)), ISNUMBER(SEARCH("aniversario", F158)), ISNUMBER(SEARCH("churrasco", F158)), ISNUMBER(SEARCH("bolo", F158)), ISNUMBER(SEARCH("SUPERMERCADO", F158))), "6.1 Despesas Administrativas (Pessoal)", IF(OR(ISNUMBER(SEARCH("DLKNET", F158)), ISNUMBER(SEARCH("TESTE", F158))), "6.1 Despesas Administrativas (Gerais)", IFERROR(VLOOKUP(H158, De_Para!A:B, 2, FALSE), "NÃO MAPEADO"))), IFERROR(VLOOKUP(H158, De_Para!A:B, 2, FALSE), "NÃO MAPEADO"))</f>
        <v/>
      </c>
    </row>
    <row r="159">
      <c r="A159" s="2" t="inlineStr">
        <is>
          <t>69540</t>
        </is>
      </c>
      <c r="B159" s="2" t="inlineStr">
        <is>
          <t>Sicredi SNI</t>
        </is>
      </c>
      <c r="C159" s="2" t="inlineStr">
        <is>
          <t>27/06/2026</t>
        </is>
      </c>
      <c r="D159" s="2" t="inlineStr">
        <is>
          <t>27/06/2026</t>
        </is>
      </c>
      <c r="E159" s="2" t="inlineStr">
        <is>
          <t>PIX</t>
        </is>
      </c>
      <c r="F159" s="2" t="inlineStr">
        <is>
          <t>Boleto "72120" do cliente "PAULO HENRIQUE COUTO MENDES"</t>
        </is>
      </c>
      <c r="G159" s="2" t="inlineStr">
        <is>
          <t>system</t>
        </is>
      </c>
      <c r="H159" s="2" t="inlineStr">
        <is>
          <t>02.03.02.01 : Cobrança Bancaria</t>
        </is>
      </c>
      <c r="I159" s="2" t="n"/>
      <c r="J159" s="3" t="n">
        <v>-0.49</v>
      </c>
      <c r="K159" s="2">
        <f>IF(H159="02.09 : Outras Saídas", IF(OR(ISNUMBER(SEARCH("CHEQUE COMPE SICREDI", F159)), ISNUMBER(SEARCH("aniversario", F159)), ISNUMBER(SEARCH("churrasco", F159)), ISNUMBER(SEARCH("bolo", F159)), ISNUMBER(SEARCH("SUPERMERCADO", F159))), "6.1 Despesas Administrativas (Pessoal)", IF(OR(ISNUMBER(SEARCH("DLKNET", F159)), ISNUMBER(SEARCH("TESTE", F159))), "6.1 Despesas Administrativas (Gerais)", IFERROR(VLOOKUP(H159, De_Para!A:B, 2, FALSE), "NÃO MAPEADO"))), IFERROR(VLOOKUP(H159, De_Para!A:B, 2, FALSE), "NÃO MAPEADO"))</f>
        <v/>
      </c>
    </row>
    <row r="160">
      <c r="A160" s="2" t="inlineStr">
        <is>
          <t>69539</t>
        </is>
      </c>
      <c r="B160" s="2" t="inlineStr">
        <is>
          <t>Sicredi SNI</t>
        </is>
      </c>
      <c r="C160" s="2" t="inlineStr">
        <is>
          <t>27/06/2026</t>
        </is>
      </c>
      <c r="D160" s="2" t="inlineStr">
        <is>
          <t>27/06/2026</t>
        </is>
      </c>
      <c r="E160" s="2" t="inlineStr">
        <is>
          <t>PIX</t>
        </is>
      </c>
      <c r="F160" s="2" t="inlineStr">
        <is>
          <t>Boleto "72120" do cliente "PAULO HENRIQUE COUTO MENDES"</t>
        </is>
      </c>
      <c r="G160" s="2" t="inlineStr">
        <is>
          <t>system</t>
        </is>
      </c>
      <c r="H160" s="2" t="inlineStr">
        <is>
          <t>01.01.01 : Mensalidade</t>
        </is>
      </c>
      <c r="I160" s="3" t="n">
        <v>33.65</v>
      </c>
      <c r="J160" s="2" t="n"/>
      <c r="K160" s="2">
        <f>IF(H160="02.09 : Outras Saídas", IF(OR(ISNUMBER(SEARCH("CHEQUE COMPE SICREDI", F160)), ISNUMBER(SEARCH("aniversario", F160)), ISNUMBER(SEARCH("churrasco", F160)), ISNUMBER(SEARCH("bolo", F160)), ISNUMBER(SEARCH("SUPERMERCADO", F160))), "6.1 Despesas Administrativas (Pessoal)", IF(OR(ISNUMBER(SEARCH("DLKNET", F160)), ISNUMBER(SEARCH("TESTE", F160))), "6.1 Despesas Administrativas (Gerais)", IFERROR(VLOOKUP(H160, De_Para!A:B, 2, FALSE), "NÃO MAPEADO"))), IFERROR(VLOOKUP(H160, De_Para!A:B, 2, FALSE), "NÃO MAPEADO"))</f>
        <v/>
      </c>
    </row>
    <row r="161">
      <c r="A161" s="2" t="inlineStr">
        <is>
          <t>69538</t>
        </is>
      </c>
      <c r="B161" s="2" t="inlineStr">
        <is>
          <t>Sicredi SNI</t>
        </is>
      </c>
      <c r="C161" s="2" t="inlineStr">
        <is>
          <t>26/06/2026</t>
        </is>
      </c>
      <c r="D161" s="2" t="inlineStr">
        <is>
          <t>26/06/2026</t>
        </is>
      </c>
      <c r="E161" s="2" t="inlineStr">
        <is>
          <t>PIX</t>
        </is>
      </c>
      <c r="F161" s="2" t="inlineStr">
        <is>
          <t>Boleto "67323" do cliente "PEDRO BARBARINI"</t>
        </is>
      </c>
      <c r="G161" s="2" t="inlineStr">
        <is>
          <t>system</t>
        </is>
      </c>
      <c r="H161" s="2" t="inlineStr">
        <is>
          <t>02.03.02.01 : Cobrança Bancaria</t>
        </is>
      </c>
      <c r="I161" s="2" t="n"/>
      <c r="J161" s="3" t="n">
        <v>-0.49</v>
      </c>
      <c r="K161" s="2">
        <f>IF(H161="02.09 : Outras Saídas", IF(OR(ISNUMBER(SEARCH("CHEQUE COMPE SICREDI", F161)), ISNUMBER(SEARCH("aniversario", F161)), ISNUMBER(SEARCH("churrasco", F161)), ISNUMBER(SEARCH("bolo", F161)), ISNUMBER(SEARCH("SUPERMERCADO", F161))), "6.1 Despesas Administrativas (Pessoal)", IF(OR(ISNUMBER(SEARCH("DLKNET", F161)), ISNUMBER(SEARCH("TESTE", F161))), "6.1 Despesas Administrativas (Gerais)", IFERROR(VLOOKUP(H161, De_Para!A:B, 2, FALSE), "NÃO MAPEADO"))), IFERROR(VLOOKUP(H161, De_Para!A:B, 2, FALSE), "NÃO MAPEADO"))</f>
        <v/>
      </c>
    </row>
    <row r="162">
      <c r="A162" s="2" t="inlineStr">
        <is>
          <t>69537</t>
        </is>
      </c>
      <c r="B162" s="2" t="inlineStr">
        <is>
          <t>Sicredi SNI</t>
        </is>
      </c>
      <c r="C162" s="2" t="inlineStr">
        <is>
          <t>26/06/2026</t>
        </is>
      </c>
      <c r="D162" s="2" t="inlineStr">
        <is>
          <t>26/06/2026</t>
        </is>
      </c>
      <c r="E162" s="2" t="inlineStr">
        <is>
          <t>PIX</t>
        </is>
      </c>
      <c r="F162" s="2" t="inlineStr">
        <is>
          <t>Boleto "67323" do cliente "PEDRO BARBARINI"</t>
        </is>
      </c>
      <c r="G162" s="2" t="inlineStr">
        <is>
          <t>system</t>
        </is>
      </c>
      <c r="H162" s="2" t="inlineStr">
        <is>
          <t>01.01.01 : Mensalidade</t>
        </is>
      </c>
      <c r="I162" s="3" t="n">
        <v>109.9</v>
      </c>
      <c r="J162" s="2" t="n"/>
      <c r="K162" s="2">
        <f>IF(H162="02.09 : Outras Saídas", IF(OR(ISNUMBER(SEARCH("CHEQUE COMPE SICREDI", F162)), ISNUMBER(SEARCH("aniversario", F162)), ISNUMBER(SEARCH("churrasco", F162)), ISNUMBER(SEARCH("bolo", F162)), ISNUMBER(SEARCH("SUPERMERCADO", F162))), "6.1 Despesas Administrativas (Pessoal)", IF(OR(ISNUMBER(SEARCH("DLKNET", F162)), ISNUMBER(SEARCH("TESTE", F162))), "6.1 Despesas Administrativas (Gerais)", IFERROR(VLOOKUP(H162, De_Para!A:B, 2, FALSE), "NÃO MAPEADO"))), IFERROR(VLOOKUP(H162, De_Para!A:B, 2, FALSE), "NÃO MAPEADO"))</f>
        <v/>
      </c>
    </row>
    <row r="163">
      <c r="A163" s="2" t="inlineStr">
        <is>
          <t>69536</t>
        </is>
      </c>
      <c r="B163" s="2" t="inlineStr">
        <is>
          <t>Sicoob</t>
        </is>
      </c>
      <c r="C163" s="2" t="inlineStr">
        <is>
          <t>26/06/2026</t>
        </is>
      </c>
      <c r="D163" s="2" t="inlineStr">
        <is>
          <t>26/06/2026</t>
        </is>
      </c>
      <c r="E163" s="2" t="inlineStr">
        <is>
          <t>Dinheiro</t>
        </is>
      </c>
      <c r="F163" s="2" t="inlineStr">
        <is>
          <t>Boleto "56745" do cliente "ANA CLAUDIA DA SILVA"</t>
        </is>
      </c>
      <c r="G163" s="2" t="inlineStr">
        <is>
          <t>system</t>
        </is>
      </c>
      <c r="H163" s="2" t="inlineStr">
        <is>
          <t>02.03.02.01 : Cobrança Bancaria</t>
        </is>
      </c>
      <c r="I163" s="2" t="n"/>
      <c r="J163" s="3" t="n">
        <v>-0.88</v>
      </c>
      <c r="K163" s="2">
        <f>IF(H163="02.09 : Outras Saídas", IF(OR(ISNUMBER(SEARCH("CHEQUE COMPE SICREDI", F163)), ISNUMBER(SEARCH("aniversario", F163)), ISNUMBER(SEARCH("churrasco", F163)), ISNUMBER(SEARCH("bolo", F163)), ISNUMBER(SEARCH("SUPERMERCADO", F163))), "6.1 Despesas Administrativas (Pessoal)", IF(OR(ISNUMBER(SEARCH("DLKNET", F163)), ISNUMBER(SEARCH("TESTE", F163))), "6.1 Despesas Administrativas (Gerais)", IFERROR(VLOOKUP(H163, De_Para!A:B, 2, FALSE), "NÃO MAPEADO"))), IFERROR(VLOOKUP(H163, De_Para!A:B, 2, FALSE), "NÃO MAPEADO"))</f>
        <v/>
      </c>
    </row>
    <row r="164">
      <c r="A164" s="2" t="inlineStr">
        <is>
          <t>69535</t>
        </is>
      </c>
      <c r="B164" s="2" t="inlineStr">
        <is>
          <t>Sicoob</t>
        </is>
      </c>
      <c r="C164" s="2" t="inlineStr">
        <is>
          <t>26/06/2026</t>
        </is>
      </c>
      <c r="D164" s="2" t="inlineStr">
        <is>
          <t>26/06/2026</t>
        </is>
      </c>
      <c r="E164" s="2" t="inlineStr">
        <is>
          <t>Dinheiro</t>
        </is>
      </c>
      <c r="F164" s="2" t="inlineStr">
        <is>
          <t>Boleto "56745" do cliente "ANA CLAUDIA DA SILVA"</t>
        </is>
      </c>
      <c r="G164" s="2" t="inlineStr">
        <is>
          <t>system</t>
        </is>
      </c>
      <c r="H164" s="2" t="inlineStr">
        <is>
          <t>01.01.01 : Mensalidade</t>
        </is>
      </c>
      <c r="I164" s="3" t="n">
        <v>105</v>
      </c>
      <c r="J164" s="2" t="n"/>
      <c r="K164" s="2">
        <f>IF(H164="02.09 : Outras Saídas", IF(OR(ISNUMBER(SEARCH("CHEQUE COMPE SICREDI", F164)), ISNUMBER(SEARCH("aniversario", F164)), ISNUMBER(SEARCH("churrasco", F164)), ISNUMBER(SEARCH("bolo", F164)), ISNUMBER(SEARCH("SUPERMERCADO", F164))), "6.1 Despesas Administrativas (Pessoal)", IF(OR(ISNUMBER(SEARCH("DLKNET", F164)), ISNUMBER(SEARCH("TESTE", F164))), "6.1 Despesas Administrativas (Gerais)", IFERROR(VLOOKUP(H164, De_Para!A:B, 2, FALSE), "NÃO MAPEADO"))), IFERROR(VLOOKUP(H164, De_Para!A:B, 2, FALSE), "NÃO MAPEADO"))</f>
        <v/>
      </c>
    </row>
    <row r="165">
      <c r="A165" s="2" t="inlineStr">
        <is>
          <t>69534</t>
        </is>
      </c>
      <c r="B165" s="2" t="inlineStr">
        <is>
          <t>Sicoob</t>
        </is>
      </c>
      <c r="C165" s="2" t="inlineStr">
        <is>
          <t>26/06/2026</t>
        </is>
      </c>
      <c r="D165" s="2" t="inlineStr">
        <is>
          <t>26/06/2026</t>
        </is>
      </c>
      <c r="E165" s="2" t="inlineStr">
        <is>
          <t>Dinheiro</t>
        </is>
      </c>
      <c r="F165" s="2" t="inlineStr">
        <is>
          <t>Boleto "60743" do cliente "ANGELA MARIA DE FREITAS FLOIS"</t>
        </is>
      </c>
      <c r="G165" s="2" t="inlineStr">
        <is>
          <t>system</t>
        </is>
      </c>
      <c r="H165" s="2" t="inlineStr">
        <is>
          <t>02.03.02.01 : Cobrança Bancaria</t>
        </is>
      </c>
      <c r="I165" s="2" t="n"/>
      <c r="J165" s="3" t="n">
        <v>-0.88</v>
      </c>
      <c r="K165" s="2">
        <f>IF(H165="02.09 : Outras Saídas", IF(OR(ISNUMBER(SEARCH("CHEQUE COMPE SICREDI", F165)), ISNUMBER(SEARCH("aniversario", F165)), ISNUMBER(SEARCH("churrasco", F165)), ISNUMBER(SEARCH("bolo", F165)), ISNUMBER(SEARCH("SUPERMERCADO", F165))), "6.1 Despesas Administrativas (Pessoal)", IF(OR(ISNUMBER(SEARCH("DLKNET", F165)), ISNUMBER(SEARCH("TESTE", F165))), "6.1 Despesas Administrativas (Gerais)", IFERROR(VLOOKUP(H165, De_Para!A:B, 2, FALSE), "NÃO MAPEADO"))), IFERROR(VLOOKUP(H165, De_Para!A:B, 2, FALSE), "NÃO MAPEADO"))</f>
        <v/>
      </c>
    </row>
    <row r="166">
      <c r="A166" s="2" t="inlineStr">
        <is>
          <t>69533</t>
        </is>
      </c>
      <c r="B166" s="2" t="inlineStr">
        <is>
          <t>Sicoob</t>
        </is>
      </c>
      <c r="C166" s="2" t="inlineStr">
        <is>
          <t>26/06/2026</t>
        </is>
      </c>
      <c r="D166" s="2" t="inlineStr">
        <is>
          <t>26/06/2026</t>
        </is>
      </c>
      <c r="E166" s="2" t="inlineStr">
        <is>
          <t>Dinheiro</t>
        </is>
      </c>
      <c r="F166" s="2" t="inlineStr">
        <is>
          <t>Boleto "60743" do cliente "ANGELA MARIA DE FREITAS FLOIS"</t>
        </is>
      </c>
      <c r="G166" s="2" t="inlineStr">
        <is>
          <t>system</t>
        </is>
      </c>
      <c r="H166" s="2" t="inlineStr">
        <is>
          <t>01.01.01 : Mensalidade</t>
        </is>
      </c>
      <c r="I166" s="3" t="n">
        <v>105</v>
      </c>
      <c r="J166" s="2" t="n"/>
      <c r="K166" s="2">
        <f>IF(H166="02.09 : Outras Saídas", IF(OR(ISNUMBER(SEARCH("CHEQUE COMPE SICREDI", F166)), ISNUMBER(SEARCH("aniversario", F166)), ISNUMBER(SEARCH("churrasco", F166)), ISNUMBER(SEARCH("bolo", F166)), ISNUMBER(SEARCH("SUPERMERCADO", F166))), "6.1 Despesas Administrativas (Pessoal)", IF(OR(ISNUMBER(SEARCH("DLKNET", F166)), ISNUMBER(SEARCH("TESTE", F166))), "6.1 Despesas Administrativas (Gerais)", IFERROR(VLOOKUP(H166, De_Para!A:B, 2, FALSE), "NÃO MAPEADO"))), IFERROR(VLOOKUP(H166, De_Para!A:B, 2, FALSE), "NÃO MAPEADO"))</f>
        <v/>
      </c>
    </row>
    <row r="167">
      <c r="A167" s="2" t="inlineStr">
        <is>
          <t>69532</t>
        </is>
      </c>
      <c r="B167" s="2" t="inlineStr">
        <is>
          <t>Sicoob</t>
        </is>
      </c>
      <c r="C167" s="2" t="inlineStr">
        <is>
          <t>26/06/2026</t>
        </is>
      </c>
      <c r="D167" s="2" t="inlineStr">
        <is>
          <t>26/06/2026</t>
        </is>
      </c>
      <c r="E167" s="2" t="inlineStr">
        <is>
          <t>Dinheiro</t>
        </is>
      </c>
      <c r="F167" s="2" t="inlineStr">
        <is>
          <t>Boleto "61648" do cliente "JOSUE ANTUNES"</t>
        </is>
      </c>
      <c r="G167" s="2" t="inlineStr">
        <is>
          <t>system</t>
        </is>
      </c>
      <c r="H167" s="2" t="inlineStr">
        <is>
          <t>02.03.02.01 : Cobrança Bancaria</t>
        </is>
      </c>
      <c r="I167" s="2" t="n"/>
      <c r="J167" s="3" t="n">
        <v>-0.88</v>
      </c>
      <c r="K167" s="2">
        <f>IF(H167="02.09 : Outras Saídas", IF(OR(ISNUMBER(SEARCH("CHEQUE COMPE SICREDI", F167)), ISNUMBER(SEARCH("aniversario", F167)), ISNUMBER(SEARCH("churrasco", F167)), ISNUMBER(SEARCH("bolo", F167)), ISNUMBER(SEARCH("SUPERMERCADO", F167))), "6.1 Despesas Administrativas (Pessoal)", IF(OR(ISNUMBER(SEARCH("DLKNET", F167)), ISNUMBER(SEARCH("TESTE", F167))), "6.1 Despesas Administrativas (Gerais)", IFERROR(VLOOKUP(H167, De_Para!A:B, 2, FALSE), "NÃO MAPEADO"))), IFERROR(VLOOKUP(H167, De_Para!A:B, 2, FALSE), "NÃO MAPEADO"))</f>
        <v/>
      </c>
    </row>
    <row r="168">
      <c r="A168" s="2" t="inlineStr">
        <is>
          <t>69531</t>
        </is>
      </c>
      <c r="B168" s="2" t="inlineStr">
        <is>
          <t>Sicoob</t>
        </is>
      </c>
      <c r="C168" s="2" t="inlineStr">
        <is>
          <t>26/06/2026</t>
        </is>
      </c>
      <c r="D168" s="2" t="inlineStr">
        <is>
          <t>26/06/2026</t>
        </is>
      </c>
      <c r="E168" s="2" t="inlineStr">
        <is>
          <t>Dinheiro</t>
        </is>
      </c>
      <c r="F168" s="2" t="inlineStr">
        <is>
          <t>Boleto "61648" do cliente "JOSUE ANTUNES"</t>
        </is>
      </c>
      <c r="G168" s="2" t="inlineStr">
        <is>
          <t>system</t>
        </is>
      </c>
      <c r="H168" s="2" t="inlineStr">
        <is>
          <t>01.01.01 : Mensalidade</t>
        </is>
      </c>
      <c r="I168" s="3" t="n">
        <v>110</v>
      </c>
      <c r="J168" s="2" t="n"/>
      <c r="K168" s="2">
        <f>IF(H168="02.09 : Outras Saídas", IF(OR(ISNUMBER(SEARCH("CHEQUE COMPE SICREDI", F168)), ISNUMBER(SEARCH("aniversario", F168)), ISNUMBER(SEARCH("churrasco", F168)), ISNUMBER(SEARCH("bolo", F168)), ISNUMBER(SEARCH("SUPERMERCADO", F168))), "6.1 Despesas Administrativas (Pessoal)", IF(OR(ISNUMBER(SEARCH("DLKNET", F168)), ISNUMBER(SEARCH("TESTE", F168))), "6.1 Despesas Administrativas (Gerais)", IFERROR(VLOOKUP(H168, De_Para!A:B, 2, FALSE), "NÃO MAPEADO"))), IFERROR(VLOOKUP(H168, De_Para!A:B, 2, FALSE), "NÃO MAPEADO"))</f>
        <v/>
      </c>
    </row>
    <row r="169">
      <c r="A169" s="2" t="inlineStr">
        <is>
          <t>69530</t>
        </is>
      </c>
      <c r="B169" s="2" t="inlineStr">
        <is>
          <t>Sicoob</t>
        </is>
      </c>
      <c r="C169" s="2" t="inlineStr">
        <is>
          <t>26/06/2026</t>
        </is>
      </c>
      <c r="D169" s="2" t="inlineStr">
        <is>
          <t>26/06/2026</t>
        </is>
      </c>
      <c r="E169" s="2" t="inlineStr">
        <is>
          <t>Dinheiro</t>
        </is>
      </c>
      <c r="F169" s="2" t="inlineStr">
        <is>
          <t>Boleto "59385" do cliente "DIRCE DI GUILMO VALE"</t>
        </is>
      </c>
      <c r="G169" s="2" t="inlineStr">
        <is>
          <t>system</t>
        </is>
      </c>
      <c r="H169" s="2" t="inlineStr">
        <is>
          <t>02.03.02.01 : Cobrança Bancaria</t>
        </is>
      </c>
      <c r="I169" s="2" t="n"/>
      <c r="J169" s="3" t="n">
        <v>-0.88</v>
      </c>
      <c r="K169" s="2">
        <f>IF(H169="02.09 : Outras Saídas", IF(OR(ISNUMBER(SEARCH("CHEQUE COMPE SICREDI", F169)), ISNUMBER(SEARCH("aniversario", F169)), ISNUMBER(SEARCH("churrasco", F169)), ISNUMBER(SEARCH("bolo", F169)), ISNUMBER(SEARCH("SUPERMERCADO", F169))), "6.1 Despesas Administrativas (Pessoal)", IF(OR(ISNUMBER(SEARCH("DLKNET", F169)), ISNUMBER(SEARCH("TESTE", F169))), "6.1 Despesas Administrativas (Gerais)", IFERROR(VLOOKUP(H169, De_Para!A:B, 2, FALSE), "NÃO MAPEADO"))), IFERROR(VLOOKUP(H169, De_Para!A:B, 2, FALSE), "NÃO MAPEADO"))</f>
        <v/>
      </c>
    </row>
    <row r="170">
      <c r="A170" s="2" t="inlineStr">
        <is>
          <t>69529</t>
        </is>
      </c>
      <c r="B170" s="2" t="inlineStr">
        <is>
          <t>Sicoob</t>
        </is>
      </c>
      <c r="C170" s="2" t="inlineStr">
        <is>
          <t>26/06/2026</t>
        </is>
      </c>
      <c r="D170" s="2" t="inlineStr">
        <is>
          <t>26/06/2026</t>
        </is>
      </c>
      <c r="E170" s="2" t="inlineStr">
        <is>
          <t>Dinheiro</t>
        </is>
      </c>
      <c r="F170" s="2" t="inlineStr">
        <is>
          <t>Boleto "59385" do cliente "DIRCE DI GUILMO VALE"</t>
        </is>
      </c>
      <c r="G170" s="2" t="inlineStr">
        <is>
          <t>system</t>
        </is>
      </c>
      <c r="H170" s="2" t="inlineStr">
        <is>
          <t>01.01.01 : Mensalidade</t>
        </is>
      </c>
      <c r="I170" s="3" t="n">
        <v>100</v>
      </c>
      <c r="J170" s="2" t="n"/>
      <c r="K170" s="2">
        <f>IF(H170="02.09 : Outras Saídas", IF(OR(ISNUMBER(SEARCH("CHEQUE COMPE SICREDI", F170)), ISNUMBER(SEARCH("aniversario", F170)), ISNUMBER(SEARCH("churrasco", F170)), ISNUMBER(SEARCH("bolo", F170)), ISNUMBER(SEARCH("SUPERMERCADO", F170))), "6.1 Despesas Administrativas (Pessoal)", IF(OR(ISNUMBER(SEARCH("DLKNET", F170)), ISNUMBER(SEARCH("TESTE", F170))), "6.1 Despesas Administrativas (Gerais)", IFERROR(VLOOKUP(H170, De_Para!A:B, 2, FALSE), "NÃO MAPEADO"))), IFERROR(VLOOKUP(H170, De_Para!A:B, 2, FALSE), "NÃO MAPEADO"))</f>
        <v/>
      </c>
    </row>
    <row r="171">
      <c r="A171" s="2" t="inlineStr">
        <is>
          <t>69528</t>
        </is>
      </c>
      <c r="B171" s="2" t="inlineStr">
        <is>
          <t>Sicredi SNI</t>
        </is>
      </c>
      <c r="C171" s="2" t="inlineStr">
        <is>
          <t>26/06/2026</t>
        </is>
      </c>
      <c r="D171" s="2" t="inlineStr">
        <is>
          <t>26/06/2026</t>
        </is>
      </c>
      <c r="E171" s="2" t="inlineStr">
        <is>
          <t>Dinheiro</t>
        </is>
      </c>
      <c r="F171" s="2" t="inlineStr">
        <is>
          <t>Boleto "67731" do cliente "ELETON BREKE"</t>
        </is>
      </c>
      <c r="G171" s="2" t="inlineStr">
        <is>
          <t>system</t>
        </is>
      </c>
      <c r="H171" s="2" t="inlineStr">
        <is>
          <t>02.03.02.01 : Cobrança Bancaria</t>
        </is>
      </c>
      <c r="I171" s="2" t="n"/>
      <c r="J171" s="3" t="n">
        <v>-1.08</v>
      </c>
      <c r="K171" s="2">
        <f>IF(H171="02.09 : Outras Saídas", IF(OR(ISNUMBER(SEARCH("CHEQUE COMPE SICREDI", F171)), ISNUMBER(SEARCH("aniversario", F171)), ISNUMBER(SEARCH("churrasco", F171)), ISNUMBER(SEARCH("bolo", F171)), ISNUMBER(SEARCH("SUPERMERCADO", F171))), "6.1 Despesas Administrativas (Pessoal)", IF(OR(ISNUMBER(SEARCH("DLKNET", F171)), ISNUMBER(SEARCH("TESTE", F171))), "6.1 Despesas Administrativas (Gerais)", IFERROR(VLOOKUP(H171, De_Para!A:B, 2, FALSE), "NÃO MAPEADO"))), IFERROR(VLOOKUP(H171, De_Para!A:B, 2, FALSE), "NÃO MAPEADO"))</f>
        <v/>
      </c>
    </row>
    <row r="172">
      <c r="A172" s="2" t="inlineStr">
        <is>
          <t>69527</t>
        </is>
      </c>
      <c r="B172" s="2" t="inlineStr">
        <is>
          <t>Sicredi SNI</t>
        </is>
      </c>
      <c r="C172" s="2" t="inlineStr">
        <is>
          <t>26/06/2026</t>
        </is>
      </c>
      <c r="D172" s="2" t="inlineStr">
        <is>
          <t>26/06/2026</t>
        </is>
      </c>
      <c r="E172" s="2" t="inlineStr">
        <is>
          <t>Dinheiro</t>
        </is>
      </c>
      <c r="F172" s="2" t="inlineStr">
        <is>
          <t>Boleto "67731" do cliente "ELETON BREKE"</t>
        </is>
      </c>
      <c r="G172" s="2" t="inlineStr">
        <is>
          <t>system</t>
        </is>
      </c>
      <c r="H172" s="2" t="inlineStr">
        <is>
          <t>01.01.01 : Mensalidade</t>
        </is>
      </c>
      <c r="I172" s="3" t="n">
        <v>109.9</v>
      </c>
      <c r="J172" s="2" t="n"/>
      <c r="K172" s="2">
        <f>IF(H172="02.09 : Outras Saídas", IF(OR(ISNUMBER(SEARCH("CHEQUE COMPE SICREDI", F172)), ISNUMBER(SEARCH("aniversario", F172)), ISNUMBER(SEARCH("churrasco", F172)), ISNUMBER(SEARCH("bolo", F172)), ISNUMBER(SEARCH("SUPERMERCADO", F172))), "6.1 Despesas Administrativas (Pessoal)", IF(OR(ISNUMBER(SEARCH("DLKNET", F172)), ISNUMBER(SEARCH("TESTE", F172))), "6.1 Despesas Administrativas (Gerais)", IFERROR(VLOOKUP(H172, De_Para!A:B, 2, FALSE), "NÃO MAPEADO"))), IFERROR(VLOOKUP(H172, De_Para!A:B, 2, FALSE), "NÃO MAPEADO"))</f>
        <v/>
      </c>
    </row>
    <row r="173">
      <c r="A173" s="2" t="inlineStr">
        <is>
          <t>69526</t>
        </is>
      </c>
      <c r="B173" s="2" t="inlineStr">
        <is>
          <t>Sicredi SNI</t>
        </is>
      </c>
      <c r="C173" s="2" t="inlineStr">
        <is>
          <t>26/06/2026</t>
        </is>
      </c>
      <c r="D173" s="2" t="inlineStr">
        <is>
          <t>26/06/2026</t>
        </is>
      </c>
      <c r="E173" s="2" t="inlineStr">
        <is>
          <t>Dinheiro</t>
        </is>
      </c>
      <c r="F173" s="2" t="inlineStr">
        <is>
          <t>Boleto "67793" do cliente "JEZUEL BATISTA JUNIOR"</t>
        </is>
      </c>
      <c r="G173" s="2" t="inlineStr">
        <is>
          <t>system</t>
        </is>
      </c>
      <c r="H173" s="2" t="inlineStr">
        <is>
          <t>02.03.02.01 : Cobrança Bancaria</t>
        </is>
      </c>
      <c r="I173" s="2" t="n"/>
      <c r="J173" s="3" t="n">
        <v>-1.08</v>
      </c>
      <c r="K173" s="2">
        <f>IF(H173="02.09 : Outras Saídas", IF(OR(ISNUMBER(SEARCH("CHEQUE COMPE SICREDI", F173)), ISNUMBER(SEARCH("aniversario", F173)), ISNUMBER(SEARCH("churrasco", F173)), ISNUMBER(SEARCH("bolo", F173)), ISNUMBER(SEARCH("SUPERMERCADO", F173))), "6.1 Despesas Administrativas (Pessoal)", IF(OR(ISNUMBER(SEARCH("DLKNET", F173)), ISNUMBER(SEARCH("TESTE", F173))), "6.1 Despesas Administrativas (Gerais)", IFERROR(VLOOKUP(H173, De_Para!A:B, 2, FALSE), "NÃO MAPEADO"))), IFERROR(VLOOKUP(H173, De_Para!A:B, 2, FALSE), "NÃO MAPEADO"))</f>
        <v/>
      </c>
    </row>
    <row r="174">
      <c r="A174" s="2" t="inlineStr">
        <is>
          <t>69525</t>
        </is>
      </c>
      <c r="B174" s="2" t="inlineStr">
        <is>
          <t>Sicredi SNI</t>
        </is>
      </c>
      <c r="C174" s="2" t="inlineStr">
        <is>
          <t>26/06/2026</t>
        </is>
      </c>
      <c r="D174" s="2" t="inlineStr">
        <is>
          <t>26/06/2026</t>
        </is>
      </c>
      <c r="E174" s="2" t="inlineStr">
        <is>
          <t>Dinheiro</t>
        </is>
      </c>
      <c r="F174" s="2" t="inlineStr">
        <is>
          <t>Boleto "67793" do cliente "JEZUEL BATISTA JUNIOR"</t>
        </is>
      </c>
      <c r="G174" s="2" t="inlineStr">
        <is>
          <t>system</t>
        </is>
      </c>
      <c r="H174" s="2" t="inlineStr">
        <is>
          <t>01.03.01 : Mensalidade</t>
        </is>
      </c>
      <c r="I174" s="3" t="n">
        <v>69.90000000000001</v>
      </c>
      <c r="J174" s="2" t="n"/>
      <c r="K174" s="2">
        <f>IF(H174="02.09 : Outras Saídas", IF(OR(ISNUMBER(SEARCH("CHEQUE COMPE SICREDI", F174)), ISNUMBER(SEARCH("aniversario", F174)), ISNUMBER(SEARCH("churrasco", F174)), ISNUMBER(SEARCH("bolo", F174)), ISNUMBER(SEARCH("SUPERMERCADO", F174))), "6.1 Despesas Administrativas (Pessoal)", IF(OR(ISNUMBER(SEARCH("DLKNET", F174)), ISNUMBER(SEARCH("TESTE", F174))), "6.1 Despesas Administrativas (Gerais)", IFERROR(VLOOKUP(H174, De_Para!A:B, 2, FALSE), "NÃO MAPEADO"))), IFERROR(VLOOKUP(H174, De_Para!A:B, 2, FALSE), "NÃO MAPEADO"))</f>
        <v/>
      </c>
    </row>
    <row r="175">
      <c r="A175" s="2" t="inlineStr">
        <is>
          <t>69524</t>
        </is>
      </c>
      <c r="B175" s="2" t="inlineStr">
        <is>
          <t>Sicredi SNI</t>
        </is>
      </c>
      <c r="C175" s="2" t="inlineStr">
        <is>
          <t>26/06/2026</t>
        </is>
      </c>
      <c r="D175" s="2" t="inlineStr">
        <is>
          <t>26/06/2026</t>
        </is>
      </c>
      <c r="E175" s="2" t="inlineStr">
        <is>
          <t>Dinheiro</t>
        </is>
      </c>
      <c r="F175" s="2" t="inlineStr">
        <is>
          <t>Boleto "66007" do cliente "MARIA JOSE DE CASTRO LIMA"</t>
        </is>
      </c>
      <c r="G175" s="2" t="inlineStr">
        <is>
          <t>system</t>
        </is>
      </c>
      <c r="H175" s="2" t="inlineStr">
        <is>
          <t>02.03.02.01 : Cobrança Bancaria</t>
        </is>
      </c>
      <c r="I175" s="2" t="n"/>
      <c r="J175" s="3" t="n">
        <v>-1.08</v>
      </c>
      <c r="K175" s="2">
        <f>IF(H175="02.09 : Outras Saídas", IF(OR(ISNUMBER(SEARCH("CHEQUE COMPE SICREDI", F175)), ISNUMBER(SEARCH("aniversario", F175)), ISNUMBER(SEARCH("churrasco", F175)), ISNUMBER(SEARCH("bolo", F175)), ISNUMBER(SEARCH("SUPERMERCADO", F175))), "6.1 Despesas Administrativas (Pessoal)", IF(OR(ISNUMBER(SEARCH("DLKNET", F175)), ISNUMBER(SEARCH("TESTE", F175))), "6.1 Despesas Administrativas (Gerais)", IFERROR(VLOOKUP(H175, De_Para!A:B, 2, FALSE), "NÃO MAPEADO"))), IFERROR(VLOOKUP(H175, De_Para!A:B, 2, FALSE), "NÃO MAPEADO"))</f>
        <v/>
      </c>
    </row>
    <row r="176">
      <c r="A176" s="2" t="inlineStr">
        <is>
          <t>69523</t>
        </is>
      </c>
      <c r="B176" s="2" t="inlineStr">
        <is>
          <t>Sicredi SNI</t>
        </is>
      </c>
      <c r="C176" s="2" t="inlineStr">
        <is>
          <t>26/06/2026</t>
        </is>
      </c>
      <c r="D176" s="2" t="inlineStr">
        <is>
          <t>26/06/2026</t>
        </is>
      </c>
      <c r="E176" s="2" t="inlineStr">
        <is>
          <t>Dinheiro</t>
        </is>
      </c>
      <c r="F176" s="2" t="inlineStr">
        <is>
          <t>Boleto "66007" do cliente "MARIA JOSE DE CASTRO LIMA"</t>
        </is>
      </c>
      <c r="G176" s="2" t="inlineStr">
        <is>
          <t>system</t>
        </is>
      </c>
      <c r="H176" s="2" t="inlineStr">
        <is>
          <t>01.01.01 : Mensalidade</t>
        </is>
      </c>
      <c r="I176" s="3" t="n">
        <v>99.90000000000001</v>
      </c>
      <c r="J176" s="2" t="n"/>
      <c r="K176" s="2">
        <f>IF(H176="02.09 : Outras Saídas", IF(OR(ISNUMBER(SEARCH("CHEQUE COMPE SICREDI", F176)), ISNUMBER(SEARCH("aniversario", F176)), ISNUMBER(SEARCH("churrasco", F176)), ISNUMBER(SEARCH("bolo", F176)), ISNUMBER(SEARCH("SUPERMERCADO", F176))), "6.1 Despesas Administrativas (Pessoal)", IF(OR(ISNUMBER(SEARCH("DLKNET", F176)), ISNUMBER(SEARCH("TESTE", F176))), "6.1 Despesas Administrativas (Gerais)", IFERROR(VLOOKUP(H176, De_Para!A:B, 2, FALSE), "NÃO MAPEADO"))), IFERROR(VLOOKUP(H176, De_Para!A:B, 2, FALSE), "NÃO MAPEADO"))</f>
        <v/>
      </c>
    </row>
    <row r="177">
      <c r="A177" s="2" t="inlineStr">
        <is>
          <t>69522</t>
        </is>
      </c>
      <c r="B177" s="2" t="inlineStr">
        <is>
          <t>Sicredi SNI</t>
        </is>
      </c>
      <c r="C177" s="2" t="inlineStr">
        <is>
          <t>26/06/2026</t>
        </is>
      </c>
      <c r="D177" s="2" t="inlineStr">
        <is>
          <t>26/06/2026</t>
        </is>
      </c>
      <c r="E177" s="2" t="inlineStr">
        <is>
          <t>Dinheiro</t>
        </is>
      </c>
      <c r="F177" s="2" t="inlineStr">
        <is>
          <t>Boleto "60470" do cliente "IRACI AMADEU DA SILVA"</t>
        </is>
      </c>
      <c r="G177" s="2" t="inlineStr">
        <is>
          <t>system</t>
        </is>
      </c>
      <c r="H177" s="2" t="inlineStr">
        <is>
          <t>02.03.02.01 : Cobrança Bancaria</t>
        </is>
      </c>
      <c r="I177" s="2" t="n"/>
      <c r="J177" s="3" t="n">
        <v>-1.08</v>
      </c>
      <c r="K177" s="2">
        <f>IF(H177="02.09 : Outras Saídas", IF(OR(ISNUMBER(SEARCH("CHEQUE COMPE SICREDI", F177)), ISNUMBER(SEARCH("aniversario", F177)), ISNUMBER(SEARCH("churrasco", F177)), ISNUMBER(SEARCH("bolo", F177)), ISNUMBER(SEARCH("SUPERMERCADO", F177))), "6.1 Despesas Administrativas (Pessoal)", IF(OR(ISNUMBER(SEARCH("DLKNET", F177)), ISNUMBER(SEARCH("TESTE", F177))), "6.1 Despesas Administrativas (Gerais)", IFERROR(VLOOKUP(H177, De_Para!A:B, 2, FALSE), "NÃO MAPEADO"))), IFERROR(VLOOKUP(H177, De_Para!A:B, 2, FALSE), "NÃO MAPEADO"))</f>
        <v/>
      </c>
    </row>
    <row r="178">
      <c r="A178" s="2" t="inlineStr">
        <is>
          <t>69521</t>
        </is>
      </c>
      <c r="B178" s="2" t="inlineStr">
        <is>
          <t>Sicredi SNI</t>
        </is>
      </c>
      <c r="C178" s="2" t="inlineStr">
        <is>
          <t>26/06/2026</t>
        </is>
      </c>
      <c r="D178" s="2" t="inlineStr">
        <is>
          <t>26/06/2026</t>
        </is>
      </c>
      <c r="E178" s="2" t="inlineStr">
        <is>
          <t>Dinheiro</t>
        </is>
      </c>
      <c r="F178" s="2" t="inlineStr">
        <is>
          <t>Boleto "60470" do cliente "IRACI AMADEU DA SILVA"</t>
        </is>
      </c>
      <c r="G178" s="2" t="inlineStr">
        <is>
          <t>system</t>
        </is>
      </c>
      <c r="H178" s="2" t="inlineStr">
        <is>
          <t>01.01.01 : Mensalidade</t>
        </is>
      </c>
      <c r="I178" s="3" t="n">
        <v>110</v>
      </c>
      <c r="J178" s="2" t="n"/>
      <c r="K178" s="2">
        <f>IF(H178="02.09 : Outras Saídas", IF(OR(ISNUMBER(SEARCH("CHEQUE COMPE SICREDI", F178)), ISNUMBER(SEARCH("aniversario", F178)), ISNUMBER(SEARCH("churrasco", F178)), ISNUMBER(SEARCH("bolo", F178)), ISNUMBER(SEARCH("SUPERMERCADO", F178))), "6.1 Despesas Administrativas (Pessoal)", IF(OR(ISNUMBER(SEARCH("DLKNET", F178)), ISNUMBER(SEARCH("TESTE", F178))), "6.1 Despesas Administrativas (Gerais)", IFERROR(VLOOKUP(H178, De_Para!A:B, 2, FALSE), "NÃO MAPEADO"))), IFERROR(VLOOKUP(H178, De_Para!A:B, 2, FALSE), "NÃO MAPEADO"))</f>
        <v/>
      </c>
    </row>
    <row r="179">
      <c r="A179" s="2" t="inlineStr">
        <is>
          <t>69520</t>
        </is>
      </c>
      <c r="B179" s="2" t="inlineStr">
        <is>
          <t>Sicoob</t>
        </is>
      </c>
      <c r="C179" s="2" t="inlineStr">
        <is>
          <t>26/06/2026</t>
        </is>
      </c>
      <c r="D179" s="2" t="inlineStr">
        <is>
          <t>26/06/2026</t>
        </is>
      </c>
      <c r="E179" s="2" t="inlineStr">
        <is>
          <t>Dinheiro</t>
        </is>
      </c>
      <c r="F179" s="2" t="inlineStr">
        <is>
          <t>Boleto "65708" do cliente "JOICE AMANDA DE LIMA"</t>
        </is>
      </c>
      <c r="G179" s="2" t="inlineStr">
        <is>
          <t>system</t>
        </is>
      </c>
      <c r="H179" s="2" t="inlineStr">
        <is>
          <t>02.03.02.01 : Cobrança Bancaria</t>
        </is>
      </c>
      <c r="I179" s="2" t="n"/>
      <c r="J179" s="3" t="n">
        <v>-0.88</v>
      </c>
      <c r="K179" s="2">
        <f>IF(H179="02.09 : Outras Saídas", IF(OR(ISNUMBER(SEARCH("CHEQUE COMPE SICREDI", F179)), ISNUMBER(SEARCH("aniversario", F179)), ISNUMBER(SEARCH("churrasco", F179)), ISNUMBER(SEARCH("bolo", F179)), ISNUMBER(SEARCH("SUPERMERCADO", F179))), "6.1 Despesas Administrativas (Pessoal)", IF(OR(ISNUMBER(SEARCH("DLKNET", F179)), ISNUMBER(SEARCH("TESTE", F179))), "6.1 Despesas Administrativas (Gerais)", IFERROR(VLOOKUP(H179, De_Para!A:B, 2, FALSE), "NÃO MAPEADO"))), IFERROR(VLOOKUP(H179, De_Para!A:B, 2, FALSE), "NÃO MAPEADO"))</f>
        <v/>
      </c>
    </row>
    <row r="180">
      <c r="A180" s="2" t="inlineStr">
        <is>
          <t>69519</t>
        </is>
      </c>
      <c r="B180" s="2" t="inlineStr">
        <is>
          <t>Sicoob</t>
        </is>
      </c>
      <c r="C180" s="2" t="inlineStr">
        <is>
          <t>26/06/2026</t>
        </is>
      </c>
      <c r="D180" s="2" t="inlineStr">
        <is>
          <t>26/06/2026</t>
        </is>
      </c>
      <c r="E180" s="2" t="inlineStr">
        <is>
          <t>Dinheiro</t>
        </is>
      </c>
      <c r="F180" s="2" t="inlineStr">
        <is>
          <t>Boleto "65708" do cliente "JOICE AMANDA DE LIMA"</t>
        </is>
      </c>
      <c r="G180" s="2" t="inlineStr">
        <is>
          <t>system</t>
        </is>
      </c>
      <c r="H180" s="2" t="inlineStr">
        <is>
          <t>01.03.02 : Adesão</t>
        </is>
      </c>
      <c r="I180" s="3" t="n">
        <v>51.18</v>
      </c>
      <c r="J180" s="2" t="n"/>
      <c r="K180" s="2">
        <f>IF(H180="02.09 : Outras Saídas", IF(OR(ISNUMBER(SEARCH("CHEQUE COMPE SICREDI", F180)), ISNUMBER(SEARCH("aniversario", F180)), ISNUMBER(SEARCH("churrasco", F180)), ISNUMBER(SEARCH("bolo", F180)), ISNUMBER(SEARCH("SUPERMERCADO", F180))), "6.1 Despesas Administrativas (Pessoal)", IF(OR(ISNUMBER(SEARCH("DLKNET", F180)), ISNUMBER(SEARCH("TESTE", F180))), "6.1 Despesas Administrativas (Gerais)", IFERROR(VLOOKUP(H180, De_Para!A:B, 2, FALSE), "NÃO MAPEADO"))), IFERROR(VLOOKUP(H180, De_Para!A:B, 2, FALSE), "NÃO MAPEADO"))</f>
        <v/>
      </c>
    </row>
    <row r="181">
      <c r="A181" s="2" t="inlineStr">
        <is>
          <t>69518</t>
        </is>
      </c>
      <c r="B181" s="2" t="inlineStr">
        <is>
          <t>Sicoob</t>
        </is>
      </c>
      <c r="C181" s="2" t="inlineStr">
        <is>
          <t>26/06/2026</t>
        </is>
      </c>
      <c r="D181" s="2" t="inlineStr">
        <is>
          <t>26/06/2026</t>
        </is>
      </c>
      <c r="E181" s="2" t="inlineStr">
        <is>
          <t>Dinheiro</t>
        </is>
      </c>
      <c r="F181" s="2" t="inlineStr">
        <is>
          <t>Boleto "65266" do cliente "JOSE OSNI FERNANDES"</t>
        </is>
      </c>
      <c r="G181" s="2" t="inlineStr">
        <is>
          <t>system</t>
        </is>
      </c>
      <c r="H181" s="2" t="inlineStr">
        <is>
          <t>02.03.02.01 : Cobrança Bancaria</t>
        </is>
      </c>
      <c r="I181" s="2" t="n"/>
      <c r="J181" s="3" t="n">
        <v>-0.88</v>
      </c>
      <c r="K181" s="2">
        <f>IF(H181="02.09 : Outras Saídas", IF(OR(ISNUMBER(SEARCH("CHEQUE COMPE SICREDI", F181)), ISNUMBER(SEARCH("aniversario", F181)), ISNUMBER(SEARCH("churrasco", F181)), ISNUMBER(SEARCH("bolo", F181)), ISNUMBER(SEARCH("SUPERMERCADO", F181))), "6.1 Despesas Administrativas (Pessoal)", IF(OR(ISNUMBER(SEARCH("DLKNET", F181)), ISNUMBER(SEARCH("TESTE", F181))), "6.1 Despesas Administrativas (Gerais)", IFERROR(VLOOKUP(H181, De_Para!A:B, 2, FALSE), "NÃO MAPEADO"))), IFERROR(VLOOKUP(H181, De_Para!A:B, 2, FALSE), "NÃO MAPEADO"))</f>
        <v/>
      </c>
    </row>
    <row r="182">
      <c r="A182" s="2" t="inlineStr">
        <is>
          <t>69517</t>
        </is>
      </c>
      <c r="B182" s="2" t="inlineStr">
        <is>
          <t>Sicoob</t>
        </is>
      </c>
      <c r="C182" s="2" t="inlineStr">
        <is>
          <t>26/06/2026</t>
        </is>
      </c>
      <c r="D182" s="2" t="inlineStr">
        <is>
          <t>26/06/2026</t>
        </is>
      </c>
      <c r="E182" s="2" t="inlineStr">
        <is>
          <t>Dinheiro</t>
        </is>
      </c>
      <c r="F182" s="2" t="inlineStr">
        <is>
          <t>Boleto "65266" do cliente "JOSE OSNI FERNANDES"</t>
        </is>
      </c>
      <c r="G182" s="2" t="inlineStr">
        <is>
          <t>system</t>
        </is>
      </c>
      <c r="H182" s="2" t="inlineStr">
        <is>
          <t>01.01.01 : Mensalidade</t>
        </is>
      </c>
      <c r="I182" s="3" t="n">
        <v>107.37</v>
      </c>
      <c r="J182" s="2" t="n"/>
      <c r="K182" s="2">
        <f>IF(H182="02.09 : Outras Saídas", IF(OR(ISNUMBER(SEARCH("CHEQUE COMPE SICREDI", F182)), ISNUMBER(SEARCH("aniversario", F182)), ISNUMBER(SEARCH("churrasco", F182)), ISNUMBER(SEARCH("bolo", F182)), ISNUMBER(SEARCH("SUPERMERCADO", F182))), "6.1 Despesas Administrativas (Pessoal)", IF(OR(ISNUMBER(SEARCH("DLKNET", F182)), ISNUMBER(SEARCH("TESTE", F182))), "6.1 Despesas Administrativas (Gerais)", IFERROR(VLOOKUP(H182, De_Para!A:B, 2, FALSE), "NÃO MAPEADO"))), IFERROR(VLOOKUP(H182, De_Para!A:B, 2, FALSE), "NÃO MAPEADO"))</f>
        <v/>
      </c>
    </row>
    <row r="183">
      <c r="A183" s="2" t="inlineStr">
        <is>
          <t>69516</t>
        </is>
      </c>
      <c r="B183" s="2" t="inlineStr">
        <is>
          <t>Sicoob</t>
        </is>
      </c>
      <c r="C183" s="2" t="inlineStr">
        <is>
          <t>26/06/2026</t>
        </is>
      </c>
      <c r="D183" s="2" t="inlineStr">
        <is>
          <t>26/06/2026</t>
        </is>
      </c>
      <c r="E183" s="2" t="inlineStr">
        <is>
          <t>Dinheiro</t>
        </is>
      </c>
      <c r="F183" s="2" t="inlineStr">
        <is>
          <t>Boleto "63846" do cliente "BENEDITO ANACLETO DA CRUZ"</t>
        </is>
      </c>
      <c r="G183" s="2" t="inlineStr">
        <is>
          <t>system</t>
        </is>
      </c>
      <c r="H183" s="2" t="inlineStr">
        <is>
          <t>02.03.02.01 : Cobrança Bancaria</t>
        </is>
      </c>
      <c r="I183" s="2" t="n"/>
      <c r="J183" s="3" t="n">
        <v>-0.88</v>
      </c>
      <c r="K183" s="2">
        <f>IF(H183="02.09 : Outras Saídas", IF(OR(ISNUMBER(SEARCH("CHEQUE COMPE SICREDI", F183)), ISNUMBER(SEARCH("aniversario", F183)), ISNUMBER(SEARCH("churrasco", F183)), ISNUMBER(SEARCH("bolo", F183)), ISNUMBER(SEARCH("SUPERMERCADO", F183))), "6.1 Despesas Administrativas (Pessoal)", IF(OR(ISNUMBER(SEARCH("DLKNET", F183)), ISNUMBER(SEARCH("TESTE", F183))), "6.1 Despesas Administrativas (Gerais)", IFERROR(VLOOKUP(H183, De_Para!A:B, 2, FALSE), "NÃO MAPEADO"))), IFERROR(VLOOKUP(H183, De_Para!A:B, 2, FALSE), "NÃO MAPEADO"))</f>
        <v/>
      </c>
    </row>
    <row r="184">
      <c r="A184" s="2" t="inlineStr">
        <is>
          <t>69515</t>
        </is>
      </c>
      <c r="B184" s="2" t="inlineStr">
        <is>
          <t>Sicoob</t>
        </is>
      </c>
      <c r="C184" s="2" t="inlineStr">
        <is>
          <t>26/06/2026</t>
        </is>
      </c>
      <c r="D184" s="2" t="inlineStr">
        <is>
          <t>26/06/2026</t>
        </is>
      </c>
      <c r="E184" s="2" t="inlineStr">
        <is>
          <t>Dinheiro</t>
        </is>
      </c>
      <c r="F184" s="2" t="inlineStr">
        <is>
          <t>Boleto "63846" do cliente "BENEDITO ANACLETO DA CRUZ"</t>
        </is>
      </c>
      <c r="G184" s="2" t="inlineStr">
        <is>
          <t>system</t>
        </is>
      </c>
      <c r="H184" s="2" t="inlineStr">
        <is>
          <t>01.01.01 : Mensalidade</t>
        </is>
      </c>
      <c r="I184" s="3" t="n">
        <v>104.9</v>
      </c>
      <c r="J184" s="2" t="n"/>
      <c r="K184" s="2">
        <f>IF(H184="02.09 : Outras Saídas", IF(OR(ISNUMBER(SEARCH("CHEQUE COMPE SICREDI", F184)), ISNUMBER(SEARCH("aniversario", F184)), ISNUMBER(SEARCH("churrasco", F184)), ISNUMBER(SEARCH("bolo", F184)), ISNUMBER(SEARCH("SUPERMERCADO", F184))), "6.1 Despesas Administrativas (Pessoal)", IF(OR(ISNUMBER(SEARCH("DLKNET", F184)), ISNUMBER(SEARCH("TESTE", F184))), "6.1 Despesas Administrativas (Gerais)", IFERROR(VLOOKUP(H184, De_Para!A:B, 2, FALSE), "NÃO MAPEADO"))), IFERROR(VLOOKUP(H184, De_Para!A:B, 2, FALSE), "NÃO MAPEADO"))</f>
        <v/>
      </c>
    </row>
    <row r="185">
      <c r="A185" s="2" t="inlineStr">
        <is>
          <t>69514</t>
        </is>
      </c>
      <c r="B185" s="2" t="inlineStr">
        <is>
          <t>Sicoob</t>
        </is>
      </c>
      <c r="C185" s="2" t="inlineStr">
        <is>
          <t>26/06/2026</t>
        </is>
      </c>
      <c r="D185" s="2" t="inlineStr">
        <is>
          <t>26/06/2026</t>
        </is>
      </c>
      <c r="E185" s="2" t="inlineStr">
        <is>
          <t>Dinheiro</t>
        </is>
      </c>
      <c r="F185" s="2" t="inlineStr">
        <is>
          <t>Boleto "61787" do cliente "RITA DE CASSIA LOPES"</t>
        </is>
      </c>
      <c r="G185" s="2" t="inlineStr">
        <is>
          <t>system</t>
        </is>
      </c>
      <c r="H185" s="2" t="inlineStr">
        <is>
          <t>02.03.02.01 : Cobrança Bancaria</t>
        </is>
      </c>
      <c r="I185" s="2" t="n"/>
      <c r="J185" s="3" t="n">
        <v>-0.88</v>
      </c>
      <c r="K185" s="2">
        <f>IF(H185="02.09 : Outras Saídas", IF(OR(ISNUMBER(SEARCH("CHEQUE COMPE SICREDI", F185)), ISNUMBER(SEARCH("aniversario", F185)), ISNUMBER(SEARCH("churrasco", F185)), ISNUMBER(SEARCH("bolo", F185)), ISNUMBER(SEARCH("SUPERMERCADO", F185))), "6.1 Despesas Administrativas (Pessoal)", IF(OR(ISNUMBER(SEARCH("DLKNET", F185)), ISNUMBER(SEARCH("TESTE", F185))), "6.1 Despesas Administrativas (Gerais)", IFERROR(VLOOKUP(H185, De_Para!A:B, 2, FALSE), "NÃO MAPEADO"))), IFERROR(VLOOKUP(H185, De_Para!A:B, 2, FALSE), "NÃO MAPEADO"))</f>
        <v/>
      </c>
    </row>
    <row r="186">
      <c r="A186" s="2" t="inlineStr">
        <is>
          <t>69513</t>
        </is>
      </c>
      <c r="B186" s="2" t="inlineStr">
        <is>
          <t>Sicoob</t>
        </is>
      </c>
      <c r="C186" s="2" t="inlineStr">
        <is>
          <t>26/06/2026</t>
        </is>
      </c>
      <c r="D186" s="2" t="inlineStr">
        <is>
          <t>26/06/2026</t>
        </is>
      </c>
      <c r="E186" s="2" t="inlineStr">
        <is>
          <t>Dinheiro</t>
        </is>
      </c>
      <c r="F186" s="2" t="inlineStr">
        <is>
          <t>Boleto "61787" do cliente "RITA DE CASSIA LOPES"</t>
        </is>
      </c>
      <c r="G186" s="2" t="inlineStr">
        <is>
          <t>system</t>
        </is>
      </c>
      <c r="H186" s="2" t="inlineStr">
        <is>
          <t>01.01.01 : Mensalidade</t>
        </is>
      </c>
      <c r="I186" s="3" t="n">
        <v>102.03</v>
      </c>
      <c r="J186" s="2" t="n"/>
      <c r="K186" s="2">
        <f>IF(H186="02.09 : Outras Saídas", IF(OR(ISNUMBER(SEARCH("CHEQUE COMPE SICREDI", F186)), ISNUMBER(SEARCH("aniversario", F186)), ISNUMBER(SEARCH("churrasco", F186)), ISNUMBER(SEARCH("bolo", F186)), ISNUMBER(SEARCH("SUPERMERCADO", F186))), "6.1 Despesas Administrativas (Pessoal)", IF(OR(ISNUMBER(SEARCH("DLKNET", F186)), ISNUMBER(SEARCH("TESTE", F186))), "6.1 Despesas Administrativas (Gerais)", IFERROR(VLOOKUP(H186, De_Para!A:B, 2, FALSE), "NÃO MAPEADO"))), IFERROR(VLOOKUP(H186, De_Para!A:B, 2, FALSE), "NÃO MAPEADO"))</f>
        <v/>
      </c>
    </row>
    <row r="187">
      <c r="A187" s="2" t="inlineStr">
        <is>
          <t>69512</t>
        </is>
      </c>
      <c r="B187" s="2" t="inlineStr">
        <is>
          <t>Sicoob</t>
        </is>
      </c>
      <c r="C187" s="2" t="inlineStr">
        <is>
          <t>26/06/2026</t>
        </is>
      </c>
      <c r="D187" s="2" t="inlineStr">
        <is>
          <t>26/06/2026</t>
        </is>
      </c>
      <c r="E187" s="2" t="inlineStr">
        <is>
          <t>Dinheiro</t>
        </is>
      </c>
      <c r="F187" s="2" t="inlineStr">
        <is>
          <t>Boleto "67586" do cliente "FRANCINE YOSHIE DE LIMA  KONDO"</t>
        </is>
      </c>
      <c r="G187" s="2" t="inlineStr">
        <is>
          <t>system</t>
        </is>
      </c>
      <c r="H187" s="2" t="inlineStr">
        <is>
          <t>02.03.02.01 : Cobrança Bancaria</t>
        </is>
      </c>
      <c r="I187" s="2" t="n"/>
      <c r="J187" s="3" t="n">
        <v>-0.88</v>
      </c>
      <c r="K187" s="2">
        <f>IF(H187="02.09 : Outras Saídas", IF(OR(ISNUMBER(SEARCH("CHEQUE COMPE SICREDI", F187)), ISNUMBER(SEARCH("aniversario", F187)), ISNUMBER(SEARCH("churrasco", F187)), ISNUMBER(SEARCH("bolo", F187)), ISNUMBER(SEARCH("SUPERMERCADO", F187))), "6.1 Despesas Administrativas (Pessoal)", IF(OR(ISNUMBER(SEARCH("DLKNET", F187)), ISNUMBER(SEARCH("TESTE", F187))), "6.1 Despesas Administrativas (Gerais)", IFERROR(VLOOKUP(H187, De_Para!A:B, 2, FALSE), "NÃO MAPEADO"))), IFERROR(VLOOKUP(H187, De_Para!A:B, 2, FALSE), "NÃO MAPEADO"))</f>
        <v/>
      </c>
    </row>
    <row r="188">
      <c r="A188" s="2" t="inlineStr">
        <is>
          <t>69511</t>
        </is>
      </c>
      <c r="B188" s="2" t="inlineStr">
        <is>
          <t>Sicoob</t>
        </is>
      </c>
      <c r="C188" s="2" t="inlineStr">
        <is>
          <t>26/06/2026</t>
        </is>
      </c>
      <c r="D188" s="2" t="inlineStr">
        <is>
          <t>26/06/2026</t>
        </is>
      </c>
      <c r="E188" s="2" t="inlineStr">
        <is>
          <t>Dinheiro</t>
        </is>
      </c>
      <c r="F188" s="2" t="inlineStr">
        <is>
          <t>Boleto "67586" do cliente "FRANCINE YOSHIE DE LIMA  KONDO"</t>
        </is>
      </c>
      <c r="G188" s="2" t="inlineStr">
        <is>
          <t>system</t>
        </is>
      </c>
      <c r="H188" s="2" t="inlineStr">
        <is>
          <t>01.01.01 : Mensalidade</t>
        </is>
      </c>
      <c r="I188" s="3" t="n">
        <v>112.49</v>
      </c>
      <c r="J188" s="2" t="n"/>
      <c r="K188" s="2">
        <f>IF(H188="02.09 : Outras Saídas", IF(OR(ISNUMBER(SEARCH("CHEQUE COMPE SICREDI", F188)), ISNUMBER(SEARCH("aniversario", F188)), ISNUMBER(SEARCH("churrasco", F188)), ISNUMBER(SEARCH("bolo", F188)), ISNUMBER(SEARCH("SUPERMERCADO", F188))), "6.1 Despesas Administrativas (Pessoal)", IF(OR(ISNUMBER(SEARCH("DLKNET", F188)), ISNUMBER(SEARCH("TESTE", F188))), "6.1 Despesas Administrativas (Gerais)", IFERROR(VLOOKUP(H188, De_Para!A:B, 2, FALSE), "NÃO MAPEADO"))), IFERROR(VLOOKUP(H188, De_Para!A:B, 2, FALSE), "NÃO MAPEADO"))</f>
        <v/>
      </c>
    </row>
    <row r="189">
      <c r="A189" s="2" t="inlineStr">
        <is>
          <t>69510</t>
        </is>
      </c>
      <c r="B189" s="2" t="inlineStr">
        <is>
          <t>Sicredi SNI</t>
        </is>
      </c>
      <c r="C189" s="2" t="inlineStr">
        <is>
          <t>26/06/2026</t>
        </is>
      </c>
      <c r="D189" s="2" t="inlineStr">
        <is>
          <t>26/06/2026</t>
        </is>
      </c>
      <c r="E189" s="2" t="inlineStr">
        <is>
          <t>Dinheiro</t>
        </is>
      </c>
      <c r="F189" s="2" t="inlineStr">
        <is>
          <t>Boleto "66666" do cliente "LAURINDA DAS DORES IZIDORO"</t>
        </is>
      </c>
      <c r="G189" s="2" t="inlineStr">
        <is>
          <t>system</t>
        </is>
      </c>
      <c r="H189" s="2" t="inlineStr">
        <is>
          <t>02.03.02.01 : Cobrança Bancaria</t>
        </is>
      </c>
      <c r="I189" s="2" t="n"/>
      <c r="J189" s="3" t="n">
        <v>-1.08</v>
      </c>
      <c r="K189" s="2">
        <f>IF(H189="02.09 : Outras Saídas", IF(OR(ISNUMBER(SEARCH("CHEQUE COMPE SICREDI", F189)), ISNUMBER(SEARCH("aniversario", F189)), ISNUMBER(SEARCH("churrasco", F189)), ISNUMBER(SEARCH("bolo", F189)), ISNUMBER(SEARCH("SUPERMERCADO", F189))), "6.1 Despesas Administrativas (Pessoal)", IF(OR(ISNUMBER(SEARCH("DLKNET", F189)), ISNUMBER(SEARCH("TESTE", F189))), "6.1 Despesas Administrativas (Gerais)", IFERROR(VLOOKUP(H189, De_Para!A:B, 2, FALSE), "NÃO MAPEADO"))), IFERROR(VLOOKUP(H189, De_Para!A:B, 2, FALSE), "NÃO MAPEADO"))</f>
        <v/>
      </c>
    </row>
    <row r="190">
      <c r="A190" s="2" t="inlineStr">
        <is>
          <t>69509</t>
        </is>
      </c>
      <c r="B190" s="2" t="inlineStr">
        <is>
          <t>Sicredi SNI</t>
        </is>
      </c>
      <c r="C190" s="2" t="inlineStr">
        <is>
          <t>26/06/2026</t>
        </is>
      </c>
      <c r="D190" s="2" t="inlineStr">
        <is>
          <t>26/06/2026</t>
        </is>
      </c>
      <c r="E190" s="2" t="inlineStr">
        <is>
          <t>Dinheiro</t>
        </is>
      </c>
      <c r="F190" s="2" t="inlineStr">
        <is>
          <t>Boleto "66666" do cliente "LAURINDA DAS DORES IZIDORO"</t>
        </is>
      </c>
      <c r="G190" s="2" t="inlineStr">
        <is>
          <t>system</t>
        </is>
      </c>
      <c r="H190" s="2" t="inlineStr">
        <is>
          <t>01.01.01 : Mensalidade</t>
        </is>
      </c>
      <c r="I190" s="3" t="n">
        <v>107.83</v>
      </c>
      <c r="J190" s="2" t="n"/>
      <c r="K190" s="2">
        <f>IF(H190="02.09 : Outras Saídas", IF(OR(ISNUMBER(SEARCH("CHEQUE COMPE SICREDI", F190)), ISNUMBER(SEARCH("aniversario", F190)), ISNUMBER(SEARCH("churrasco", F190)), ISNUMBER(SEARCH("bolo", F190)), ISNUMBER(SEARCH("SUPERMERCADO", F190))), "6.1 Despesas Administrativas (Pessoal)", IF(OR(ISNUMBER(SEARCH("DLKNET", F190)), ISNUMBER(SEARCH("TESTE", F190))), "6.1 Despesas Administrativas (Gerais)", IFERROR(VLOOKUP(H190, De_Para!A:B, 2, FALSE), "NÃO MAPEADO"))), IFERROR(VLOOKUP(H190, De_Para!A:B, 2, FALSE), "NÃO MAPEADO"))</f>
        <v/>
      </c>
    </row>
    <row r="191">
      <c r="A191" s="2" t="inlineStr">
        <is>
          <t>69508</t>
        </is>
      </c>
      <c r="B191" s="2" t="inlineStr">
        <is>
          <t>Sicoob</t>
        </is>
      </c>
      <c r="C191" s="2" t="inlineStr">
        <is>
          <t>26/06/2026</t>
        </is>
      </c>
      <c r="D191" s="2" t="inlineStr">
        <is>
          <t>26/06/2026</t>
        </is>
      </c>
      <c r="E191" s="2" t="inlineStr">
        <is>
          <t>Dinheiro</t>
        </is>
      </c>
      <c r="F191" s="2" t="inlineStr">
        <is>
          <t>Boleto "65167" do cliente "ANA MARIA DE OLIVEIRA NARCISO"</t>
        </is>
      </c>
      <c r="G191" s="2" t="inlineStr">
        <is>
          <t>system</t>
        </is>
      </c>
      <c r="H191" s="2" t="inlineStr">
        <is>
          <t>02.03.02.01 : Cobrança Bancaria</t>
        </is>
      </c>
      <c r="I191" s="2" t="n"/>
      <c r="J191" s="3" t="n">
        <v>-0.88</v>
      </c>
      <c r="K191" s="2">
        <f>IF(H191="02.09 : Outras Saídas", IF(OR(ISNUMBER(SEARCH("CHEQUE COMPE SICREDI", F191)), ISNUMBER(SEARCH("aniversario", F191)), ISNUMBER(SEARCH("churrasco", F191)), ISNUMBER(SEARCH("bolo", F191)), ISNUMBER(SEARCH("SUPERMERCADO", F191))), "6.1 Despesas Administrativas (Pessoal)", IF(OR(ISNUMBER(SEARCH("DLKNET", F191)), ISNUMBER(SEARCH("TESTE", F191))), "6.1 Despesas Administrativas (Gerais)", IFERROR(VLOOKUP(H191, De_Para!A:B, 2, FALSE), "NÃO MAPEADO"))), IFERROR(VLOOKUP(H191, De_Para!A:B, 2, FALSE), "NÃO MAPEADO"))</f>
        <v/>
      </c>
    </row>
    <row r="192">
      <c r="A192" s="2" t="inlineStr">
        <is>
          <t>69507</t>
        </is>
      </c>
      <c r="B192" s="2" t="inlineStr">
        <is>
          <t>Sicoob</t>
        </is>
      </c>
      <c r="C192" s="2" t="inlineStr">
        <is>
          <t>26/06/2026</t>
        </is>
      </c>
      <c r="D192" s="2" t="inlineStr">
        <is>
          <t>26/06/2026</t>
        </is>
      </c>
      <c r="E192" s="2" t="inlineStr">
        <is>
          <t>Dinheiro</t>
        </is>
      </c>
      <c r="F192" s="2" t="inlineStr">
        <is>
          <t>Boleto "65167" do cliente "ANA MARIA DE OLIVEIRA NARCISO"</t>
        </is>
      </c>
      <c r="G192" s="2" t="inlineStr">
        <is>
          <t>system</t>
        </is>
      </c>
      <c r="H192" s="2" t="inlineStr">
        <is>
          <t>01.01.01 : Mensalidade</t>
        </is>
      </c>
      <c r="I192" s="3" t="n">
        <v>107.19</v>
      </c>
      <c r="J192" s="2" t="n"/>
      <c r="K192" s="2">
        <f>IF(H192="02.09 : Outras Saídas", IF(OR(ISNUMBER(SEARCH("CHEQUE COMPE SICREDI", F192)), ISNUMBER(SEARCH("aniversario", F192)), ISNUMBER(SEARCH("churrasco", F192)), ISNUMBER(SEARCH("bolo", F192)), ISNUMBER(SEARCH("SUPERMERCADO", F192))), "6.1 Despesas Administrativas (Pessoal)", IF(OR(ISNUMBER(SEARCH("DLKNET", F192)), ISNUMBER(SEARCH("TESTE", F192))), "6.1 Despesas Administrativas (Gerais)", IFERROR(VLOOKUP(H192, De_Para!A:B, 2, FALSE), "NÃO MAPEADO"))), IFERROR(VLOOKUP(H192, De_Para!A:B, 2, FALSE), "NÃO MAPEADO"))</f>
        <v/>
      </c>
    </row>
    <row r="193">
      <c r="A193" s="2" t="inlineStr">
        <is>
          <t>69506</t>
        </is>
      </c>
      <c r="B193" s="2" t="inlineStr">
        <is>
          <t>Sicoob</t>
        </is>
      </c>
      <c r="C193" s="2" t="inlineStr">
        <is>
          <t>26/06/2026</t>
        </is>
      </c>
      <c r="D193" s="2" t="inlineStr">
        <is>
          <t>26/06/2026</t>
        </is>
      </c>
      <c r="E193" s="2" t="inlineStr">
        <is>
          <t>Dinheiro</t>
        </is>
      </c>
      <c r="F193" s="2" t="inlineStr">
        <is>
          <t>Boleto "65134" do cliente "ANA MARIA DE OLIVEIRA NARCISO"</t>
        </is>
      </c>
      <c r="G193" s="2" t="inlineStr">
        <is>
          <t>system</t>
        </is>
      </c>
      <c r="H193" s="2" t="inlineStr">
        <is>
          <t>02.03.02.01 : Cobrança Bancaria</t>
        </is>
      </c>
      <c r="I193" s="2" t="n"/>
      <c r="J193" s="3" t="n">
        <v>-0.88</v>
      </c>
      <c r="K193" s="2">
        <f>IF(H193="02.09 : Outras Saídas", IF(OR(ISNUMBER(SEARCH("CHEQUE COMPE SICREDI", F193)), ISNUMBER(SEARCH("aniversario", F193)), ISNUMBER(SEARCH("churrasco", F193)), ISNUMBER(SEARCH("bolo", F193)), ISNUMBER(SEARCH("SUPERMERCADO", F193))), "6.1 Despesas Administrativas (Pessoal)", IF(OR(ISNUMBER(SEARCH("DLKNET", F193)), ISNUMBER(SEARCH("TESTE", F193))), "6.1 Despesas Administrativas (Gerais)", IFERROR(VLOOKUP(H193, De_Para!A:B, 2, FALSE), "NÃO MAPEADO"))), IFERROR(VLOOKUP(H193, De_Para!A:B, 2, FALSE), "NÃO MAPEADO"))</f>
        <v/>
      </c>
    </row>
    <row r="194">
      <c r="A194" s="2" t="inlineStr">
        <is>
          <t>69505</t>
        </is>
      </c>
      <c r="B194" s="2" t="inlineStr">
        <is>
          <t>Sicoob</t>
        </is>
      </c>
      <c r="C194" s="2" t="inlineStr">
        <is>
          <t>26/06/2026</t>
        </is>
      </c>
      <c r="D194" s="2" t="inlineStr">
        <is>
          <t>26/06/2026</t>
        </is>
      </c>
      <c r="E194" s="2" t="inlineStr">
        <is>
          <t>Dinheiro</t>
        </is>
      </c>
      <c r="F194" s="2" t="inlineStr">
        <is>
          <t>Boleto "65134" do cliente "ANA MARIA DE OLIVEIRA NARCISO"</t>
        </is>
      </c>
      <c r="G194" s="2" t="inlineStr">
        <is>
          <t>system</t>
        </is>
      </c>
      <c r="H194" s="2" t="inlineStr">
        <is>
          <t>01.01.01 : Mensalidade</t>
        </is>
      </c>
      <c r="I194" s="3" t="n">
        <v>107.19</v>
      </c>
      <c r="J194" s="2" t="n"/>
      <c r="K194" s="2">
        <f>IF(H194="02.09 : Outras Saídas", IF(OR(ISNUMBER(SEARCH("CHEQUE COMPE SICREDI", F194)), ISNUMBER(SEARCH("aniversario", F194)), ISNUMBER(SEARCH("churrasco", F194)), ISNUMBER(SEARCH("bolo", F194)), ISNUMBER(SEARCH("SUPERMERCADO", F194))), "6.1 Despesas Administrativas (Pessoal)", IF(OR(ISNUMBER(SEARCH("DLKNET", F194)), ISNUMBER(SEARCH("TESTE", F194))), "6.1 Despesas Administrativas (Gerais)", IFERROR(VLOOKUP(H194, De_Para!A:B, 2, FALSE), "NÃO MAPEADO"))), IFERROR(VLOOKUP(H194, De_Para!A:B, 2, FALSE), "NÃO MAPEADO"))</f>
        <v/>
      </c>
    </row>
    <row r="195">
      <c r="A195" s="2" t="inlineStr">
        <is>
          <t>69504</t>
        </is>
      </c>
      <c r="B195" s="2" t="inlineStr">
        <is>
          <t>Sicoob</t>
        </is>
      </c>
      <c r="C195" s="2" t="inlineStr">
        <is>
          <t>26/06/2026</t>
        </is>
      </c>
      <c r="D195" s="2" t="inlineStr">
        <is>
          <t>25/06/2026</t>
        </is>
      </c>
      <c r="E195" s="2" t="inlineStr">
        <is>
          <t>Dinheiro</t>
        </is>
      </c>
      <c r="F195" s="2" t="inlineStr">
        <is>
          <t>Boleto "72232" do cliente "ALEXANDRE DUARTE"</t>
        </is>
      </c>
      <c r="G195" s="2" t="inlineStr">
        <is>
          <t>system</t>
        </is>
      </c>
      <c r="H195" s="2" t="inlineStr">
        <is>
          <t>02.03.02.01 : Cobrança Bancaria</t>
        </is>
      </c>
      <c r="I195" s="2" t="n"/>
      <c r="J195" s="3" t="n">
        <v>-0.3</v>
      </c>
      <c r="K195" s="2">
        <f>IF(H195="02.09 : Outras Saídas", IF(OR(ISNUMBER(SEARCH("CHEQUE COMPE SICREDI", F195)), ISNUMBER(SEARCH("aniversario", F195)), ISNUMBER(SEARCH("churrasco", F195)), ISNUMBER(SEARCH("bolo", F195)), ISNUMBER(SEARCH("SUPERMERCADO", F195))), "6.1 Despesas Administrativas (Pessoal)", IF(OR(ISNUMBER(SEARCH("DLKNET", F195)), ISNUMBER(SEARCH("TESTE", F195))), "6.1 Despesas Administrativas (Gerais)", IFERROR(VLOOKUP(H195, De_Para!A:B, 2, FALSE), "NÃO MAPEADO"))), IFERROR(VLOOKUP(H195, De_Para!A:B, 2, FALSE), "NÃO MAPEADO"))</f>
        <v/>
      </c>
    </row>
    <row r="196">
      <c r="A196" s="2" t="inlineStr">
        <is>
          <t>69503</t>
        </is>
      </c>
      <c r="B196" s="2" t="inlineStr">
        <is>
          <t>Sicoob</t>
        </is>
      </c>
      <c r="C196" s="2" t="inlineStr">
        <is>
          <t>26/06/2026</t>
        </is>
      </c>
      <c r="D196" s="2" t="inlineStr">
        <is>
          <t>25/06/2026</t>
        </is>
      </c>
      <c r="E196" s="2" t="inlineStr">
        <is>
          <t>Dinheiro</t>
        </is>
      </c>
      <c r="F196" s="2" t="inlineStr">
        <is>
          <t>Boleto "72232" do cliente "ALEXANDRE DUARTE"</t>
        </is>
      </c>
      <c r="G196" s="2" t="inlineStr">
        <is>
          <t>system</t>
        </is>
      </c>
      <c r="H196" s="2" t="inlineStr">
        <is>
          <t>01.01.01 : Mensalidade</t>
        </is>
      </c>
      <c r="I196" s="3" t="n">
        <v>76.93000000000001</v>
      </c>
      <c r="J196" s="2" t="n"/>
      <c r="K196" s="2">
        <f>IF(H196="02.09 : Outras Saídas", IF(OR(ISNUMBER(SEARCH("CHEQUE COMPE SICREDI", F196)), ISNUMBER(SEARCH("aniversario", F196)), ISNUMBER(SEARCH("churrasco", F196)), ISNUMBER(SEARCH("bolo", F196)), ISNUMBER(SEARCH("SUPERMERCADO", F196))), "6.1 Despesas Administrativas (Pessoal)", IF(OR(ISNUMBER(SEARCH("DLKNET", F196)), ISNUMBER(SEARCH("TESTE", F196))), "6.1 Despesas Administrativas (Gerais)", IFERROR(VLOOKUP(H196, De_Para!A:B, 2, FALSE), "NÃO MAPEADO"))), IFERROR(VLOOKUP(H196, De_Para!A:B, 2, FALSE), "NÃO MAPEADO"))</f>
        <v/>
      </c>
    </row>
    <row r="197">
      <c r="A197" s="2" t="inlineStr">
        <is>
          <t>69502</t>
        </is>
      </c>
      <c r="B197" s="2" t="inlineStr">
        <is>
          <t>Sicoob</t>
        </is>
      </c>
      <c r="C197" s="2" t="inlineStr">
        <is>
          <t>26/06/2026</t>
        </is>
      </c>
      <c r="D197" s="2" t="inlineStr">
        <is>
          <t>25/06/2026</t>
        </is>
      </c>
      <c r="E197" s="2" t="inlineStr">
        <is>
          <t>Dinheiro</t>
        </is>
      </c>
      <c r="F197" s="2" t="inlineStr">
        <is>
          <t>Boleto "59474" do cliente "DANIEL ALVES DA ROCHA DE OLIVEIRA"</t>
        </is>
      </c>
      <c r="G197" s="2" t="inlineStr">
        <is>
          <t>system</t>
        </is>
      </c>
      <c r="H197" s="2" t="inlineStr">
        <is>
          <t>02.03.02.01 : Cobrança Bancaria</t>
        </is>
      </c>
      <c r="I197" s="2" t="n"/>
      <c r="J197" s="3" t="n">
        <v>-0.3</v>
      </c>
      <c r="K197" s="2">
        <f>IF(H197="02.09 : Outras Saídas", IF(OR(ISNUMBER(SEARCH("CHEQUE COMPE SICREDI", F197)), ISNUMBER(SEARCH("aniversario", F197)), ISNUMBER(SEARCH("churrasco", F197)), ISNUMBER(SEARCH("bolo", F197)), ISNUMBER(SEARCH("SUPERMERCADO", F197))), "6.1 Despesas Administrativas (Pessoal)", IF(OR(ISNUMBER(SEARCH("DLKNET", F197)), ISNUMBER(SEARCH("TESTE", F197))), "6.1 Despesas Administrativas (Gerais)", IFERROR(VLOOKUP(H197, De_Para!A:B, 2, FALSE), "NÃO MAPEADO"))), IFERROR(VLOOKUP(H197, De_Para!A:B, 2, FALSE), "NÃO MAPEADO"))</f>
        <v/>
      </c>
    </row>
    <row r="198">
      <c r="A198" s="2" t="inlineStr">
        <is>
          <t>69501</t>
        </is>
      </c>
      <c r="B198" s="2" t="inlineStr">
        <is>
          <t>Sicoob</t>
        </is>
      </c>
      <c r="C198" s="2" t="inlineStr">
        <is>
          <t>26/06/2026</t>
        </is>
      </c>
      <c r="D198" s="2" t="inlineStr">
        <is>
          <t>25/06/2026</t>
        </is>
      </c>
      <c r="E198" s="2" t="inlineStr">
        <is>
          <t>Dinheiro</t>
        </is>
      </c>
      <c r="F198" s="2" t="inlineStr">
        <is>
          <t>Boleto "59474" do cliente "DANIEL ALVES DA ROCHA DE OLIVEIRA"</t>
        </is>
      </c>
      <c r="G198" s="2" t="inlineStr">
        <is>
          <t>system</t>
        </is>
      </c>
      <c r="H198" s="2" t="inlineStr">
        <is>
          <t>01.01.01 : Mensalidade</t>
        </is>
      </c>
      <c r="I198" s="3" t="n">
        <v>107.27</v>
      </c>
      <c r="J198" s="2" t="n"/>
      <c r="K198" s="2">
        <f>IF(H198="02.09 : Outras Saídas", IF(OR(ISNUMBER(SEARCH("CHEQUE COMPE SICREDI", F198)), ISNUMBER(SEARCH("aniversario", F198)), ISNUMBER(SEARCH("churrasco", F198)), ISNUMBER(SEARCH("bolo", F198)), ISNUMBER(SEARCH("SUPERMERCADO", F198))), "6.1 Despesas Administrativas (Pessoal)", IF(OR(ISNUMBER(SEARCH("DLKNET", F198)), ISNUMBER(SEARCH("TESTE", F198))), "6.1 Despesas Administrativas (Gerais)", IFERROR(VLOOKUP(H198, De_Para!A:B, 2, FALSE), "NÃO MAPEADO"))), IFERROR(VLOOKUP(H198, De_Para!A:B, 2, FALSE), "NÃO MAPEADO"))</f>
        <v/>
      </c>
    </row>
    <row r="199">
      <c r="A199" s="2" t="inlineStr">
        <is>
          <t>69500</t>
        </is>
      </c>
      <c r="B199" s="2" t="inlineStr">
        <is>
          <t>Sicoob</t>
        </is>
      </c>
      <c r="C199" s="2" t="inlineStr">
        <is>
          <t>26/06/2026</t>
        </is>
      </c>
      <c r="D199" s="2" t="inlineStr">
        <is>
          <t>25/06/2026</t>
        </is>
      </c>
      <c r="E199" s="2" t="inlineStr">
        <is>
          <t>Dinheiro</t>
        </is>
      </c>
      <c r="F199" s="2" t="inlineStr">
        <is>
          <t>Boleto "57272" do cliente "LEVINO DE SOUZA DOMICIANO"</t>
        </is>
      </c>
      <c r="G199" s="2" t="inlineStr">
        <is>
          <t>system</t>
        </is>
      </c>
      <c r="H199" s="2" t="inlineStr">
        <is>
          <t>02.03.02.01 : Cobrança Bancaria</t>
        </is>
      </c>
      <c r="I199" s="2" t="n"/>
      <c r="J199" s="3" t="n">
        <v>-0.3</v>
      </c>
      <c r="K199" s="2">
        <f>IF(H199="02.09 : Outras Saídas", IF(OR(ISNUMBER(SEARCH("CHEQUE COMPE SICREDI", F199)), ISNUMBER(SEARCH("aniversario", F199)), ISNUMBER(SEARCH("churrasco", F199)), ISNUMBER(SEARCH("bolo", F199)), ISNUMBER(SEARCH("SUPERMERCADO", F199))), "6.1 Despesas Administrativas (Pessoal)", IF(OR(ISNUMBER(SEARCH("DLKNET", F199)), ISNUMBER(SEARCH("TESTE", F199))), "6.1 Despesas Administrativas (Gerais)", IFERROR(VLOOKUP(H199, De_Para!A:B, 2, FALSE), "NÃO MAPEADO"))), IFERROR(VLOOKUP(H199, De_Para!A:B, 2, FALSE), "NÃO MAPEADO"))</f>
        <v/>
      </c>
    </row>
    <row r="200">
      <c r="A200" s="2" t="inlineStr">
        <is>
          <t>69499</t>
        </is>
      </c>
      <c r="B200" s="2" t="inlineStr">
        <is>
          <t>Sicoob</t>
        </is>
      </c>
      <c r="C200" s="2" t="inlineStr">
        <is>
          <t>26/06/2026</t>
        </is>
      </c>
      <c r="D200" s="2" t="inlineStr">
        <is>
          <t>25/06/2026</t>
        </is>
      </c>
      <c r="E200" s="2" t="inlineStr">
        <is>
          <t>Dinheiro</t>
        </is>
      </c>
      <c r="F200" s="2" t="inlineStr">
        <is>
          <t>Boleto "57272" do cliente "LEVINO DE SOUZA DOMICIANO"</t>
        </is>
      </c>
      <c r="G200" s="2" t="inlineStr">
        <is>
          <t>system</t>
        </is>
      </c>
      <c r="H200" s="2" t="inlineStr">
        <is>
          <t>01.01.01 : Mensalidade</t>
        </is>
      </c>
      <c r="I200" s="3" t="n">
        <v>80</v>
      </c>
      <c r="J200" s="2" t="n"/>
      <c r="K200" s="2">
        <f>IF(H200="02.09 : Outras Saídas", IF(OR(ISNUMBER(SEARCH("CHEQUE COMPE SICREDI", F200)), ISNUMBER(SEARCH("aniversario", F200)), ISNUMBER(SEARCH("churrasco", F200)), ISNUMBER(SEARCH("bolo", F200)), ISNUMBER(SEARCH("SUPERMERCADO", F200))), "6.1 Despesas Administrativas (Pessoal)", IF(OR(ISNUMBER(SEARCH("DLKNET", F200)), ISNUMBER(SEARCH("TESTE", F200))), "6.1 Despesas Administrativas (Gerais)", IFERROR(VLOOKUP(H200, De_Para!A:B, 2, FALSE), "NÃO MAPEADO"))), IFERROR(VLOOKUP(H200, De_Para!A:B, 2, FALSE), "NÃO MAPEADO"))</f>
        <v/>
      </c>
    </row>
    <row r="201">
      <c r="A201" s="2" t="inlineStr">
        <is>
          <t>69498</t>
        </is>
      </c>
      <c r="B201" s="2" t="inlineStr">
        <is>
          <t>Sicredi SNI</t>
        </is>
      </c>
      <c r="C201" s="2" t="inlineStr">
        <is>
          <t>26/06/2026</t>
        </is>
      </c>
      <c r="D201" s="2" t="inlineStr">
        <is>
          <t>25/06/2026</t>
        </is>
      </c>
      <c r="E201" s="2" t="inlineStr">
        <is>
          <t>PIX</t>
        </is>
      </c>
      <c r="F201" s="2" t="inlineStr">
        <is>
          <t>Boleto "54515" do cliente "ADAIANE PEREIRA VALIM"</t>
        </is>
      </c>
      <c r="G201" s="2" t="inlineStr">
        <is>
          <t>system</t>
        </is>
      </c>
      <c r="H201" s="2" t="inlineStr">
        <is>
          <t>02.03.02.01 : Cobrança Bancaria</t>
        </is>
      </c>
      <c r="I201" s="2" t="n"/>
      <c r="J201" s="3" t="n">
        <v>-0.49</v>
      </c>
      <c r="K201" s="2">
        <f>IF(H201="02.09 : Outras Saídas", IF(OR(ISNUMBER(SEARCH("CHEQUE COMPE SICREDI", F201)), ISNUMBER(SEARCH("aniversario", F201)), ISNUMBER(SEARCH("churrasco", F201)), ISNUMBER(SEARCH("bolo", F201)), ISNUMBER(SEARCH("SUPERMERCADO", F201))), "6.1 Despesas Administrativas (Pessoal)", IF(OR(ISNUMBER(SEARCH("DLKNET", F201)), ISNUMBER(SEARCH("TESTE", F201))), "6.1 Despesas Administrativas (Gerais)", IFERROR(VLOOKUP(H201, De_Para!A:B, 2, FALSE), "NÃO MAPEADO"))), IFERROR(VLOOKUP(H201, De_Para!A:B, 2, FALSE), "NÃO MAPEADO"))</f>
        <v/>
      </c>
    </row>
    <row r="202">
      <c r="A202" s="2" t="inlineStr">
        <is>
          <t>69497</t>
        </is>
      </c>
      <c r="B202" s="2" t="inlineStr">
        <is>
          <t>Sicredi SNI</t>
        </is>
      </c>
      <c r="C202" s="2" t="inlineStr">
        <is>
          <t>26/06/2026</t>
        </is>
      </c>
      <c r="D202" s="2" t="inlineStr">
        <is>
          <t>25/06/2026</t>
        </is>
      </c>
      <c r="E202" s="2" t="inlineStr">
        <is>
          <t>PIX</t>
        </is>
      </c>
      <c r="F202" s="2" t="inlineStr">
        <is>
          <t>Boleto "54515" do cliente "ADAIANE PEREIRA VALIM"</t>
        </is>
      </c>
      <c r="G202" s="2" t="inlineStr">
        <is>
          <t>system</t>
        </is>
      </c>
      <c r="H202" s="2" t="inlineStr">
        <is>
          <t>01.01.01 : Mensalidade</t>
        </is>
      </c>
      <c r="I202" s="3" t="n">
        <v>102.17</v>
      </c>
      <c r="J202" s="2" t="n"/>
      <c r="K202" s="2">
        <f>IF(H202="02.09 : Outras Saídas", IF(OR(ISNUMBER(SEARCH("CHEQUE COMPE SICREDI", F202)), ISNUMBER(SEARCH("aniversario", F202)), ISNUMBER(SEARCH("churrasco", F202)), ISNUMBER(SEARCH("bolo", F202)), ISNUMBER(SEARCH("SUPERMERCADO", F202))), "6.1 Despesas Administrativas (Pessoal)", IF(OR(ISNUMBER(SEARCH("DLKNET", F202)), ISNUMBER(SEARCH("TESTE", F202))), "6.1 Despesas Administrativas (Gerais)", IFERROR(VLOOKUP(H202, De_Para!A:B, 2, FALSE), "NÃO MAPEADO"))), IFERROR(VLOOKUP(H202, De_Para!A:B, 2, FALSE), "NÃO MAPEADO"))</f>
        <v/>
      </c>
    </row>
    <row r="203">
      <c r="A203" s="2" t="inlineStr">
        <is>
          <t>69496</t>
        </is>
      </c>
      <c r="B203" s="2" t="inlineStr">
        <is>
          <t>Sicredi SNI</t>
        </is>
      </c>
      <c r="C203" s="2" t="inlineStr">
        <is>
          <t>25/06/2026</t>
        </is>
      </c>
      <c r="D203" s="2" t="inlineStr">
        <is>
          <t>25/06/2026</t>
        </is>
      </c>
      <c r="E203" s="2" t="inlineStr">
        <is>
          <t>PIX</t>
        </is>
      </c>
      <c r="F203" s="2" t="inlineStr">
        <is>
          <t>Boleto "67333" do cliente "MARGARIDA RODRIGUES DE LIMA"</t>
        </is>
      </c>
      <c r="G203" s="2" t="inlineStr">
        <is>
          <t>system</t>
        </is>
      </c>
      <c r="H203" s="2" t="inlineStr">
        <is>
          <t>02.03.02.01 : Cobrança Bancaria</t>
        </is>
      </c>
      <c r="I203" s="2" t="n"/>
      <c r="J203" s="3" t="n">
        <v>-0.49</v>
      </c>
      <c r="K203" s="2">
        <f>IF(H203="02.09 : Outras Saídas", IF(OR(ISNUMBER(SEARCH("CHEQUE COMPE SICREDI", F203)), ISNUMBER(SEARCH("aniversario", F203)), ISNUMBER(SEARCH("churrasco", F203)), ISNUMBER(SEARCH("bolo", F203)), ISNUMBER(SEARCH("SUPERMERCADO", F203))), "6.1 Despesas Administrativas (Pessoal)", IF(OR(ISNUMBER(SEARCH("DLKNET", F203)), ISNUMBER(SEARCH("TESTE", F203))), "6.1 Despesas Administrativas (Gerais)", IFERROR(VLOOKUP(H203, De_Para!A:B, 2, FALSE), "NÃO MAPEADO"))), IFERROR(VLOOKUP(H203, De_Para!A:B, 2, FALSE), "NÃO MAPEADO"))</f>
        <v/>
      </c>
    </row>
    <row r="204">
      <c r="A204" s="2" t="inlineStr">
        <is>
          <t>69495</t>
        </is>
      </c>
      <c r="B204" s="2" t="inlineStr">
        <is>
          <t>Sicredi SNI</t>
        </is>
      </c>
      <c r="C204" s="2" t="inlineStr">
        <is>
          <t>25/06/2026</t>
        </is>
      </c>
      <c r="D204" s="2" t="inlineStr">
        <is>
          <t>25/06/2026</t>
        </is>
      </c>
      <c r="E204" s="2" t="inlineStr">
        <is>
          <t>PIX</t>
        </is>
      </c>
      <c r="F204" s="2" t="inlineStr">
        <is>
          <t>Boleto "67333" do cliente "MARGARIDA RODRIGUES DE LIMA"</t>
        </is>
      </c>
      <c r="G204" s="2" t="inlineStr">
        <is>
          <t>system</t>
        </is>
      </c>
      <c r="H204" s="2" t="inlineStr">
        <is>
          <t>01.01.01 : Mensalidade</t>
        </is>
      </c>
      <c r="I204" s="3" t="n">
        <v>102.07</v>
      </c>
      <c r="J204" s="2" t="n"/>
      <c r="K204" s="2">
        <f>IF(H204="02.09 : Outras Saídas", IF(OR(ISNUMBER(SEARCH("CHEQUE COMPE SICREDI", F204)), ISNUMBER(SEARCH("aniversario", F204)), ISNUMBER(SEARCH("churrasco", F204)), ISNUMBER(SEARCH("bolo", F204)), ISNUMBER(SEARCH("SUPERMERCADO", F204))), "6.1 Despesas Administrativas (Pessoal)", IF(OR(ISNUMBER(SEARCH("DLKNET", F204)), ISNUMBER(SEARCH("TESTE", F204))), "6.1 Despesas Administrativas (Gerais)", IFERROR(VLOOKUP(H204, De_Para!A:B, 2, FALSE), "NÃO MAPEADO"))), IFERROR(VLOOKUP(H204, De_Para!A:B, 2, FALSE), "NÃO MAPEADO"))</f>
        <v/>
      </c>
    </row>
    <row r="205">
      <c r="A205" s="2" t="inlineStr">
        <is>
          <t>69494</t>
        </is>
      </c>
      <c r="B205" s="2" t="inlineStr">
        <is>
          <t>Sicoob</t>
        </is>
      </c>
      <c r="C205" s="2" t="inlineStr">
        <is>
          <t>25/06/2026</t>
        </is>
      </c>
      <c r="D205" s="2" t="inlineStr">
        <is>
          <t>25/06/2026</t>
        </is>
      </c>
      <c r="E205" s="2" t="inlineStr">
        <is>
          <t>Dinheiro</t>
        </is>
      </c>
      <c r="F205" s="2" t="inlineStr">
        <is>
          <t>Boleto "66555" do cliente "THIAGO BARBOSA  PIRATELO"</t>
        </is>
      </c>
      <c r="G205" s="2" t="inlineStr">
        <is>
          <t>system</t>
        </is>
      </c>
      <c r="H205" s="2" t="inlineStr">
        <is>
          <t>02.03.02.01 : Cobrança Bancaria</t>
        </is>
      </c>
      <c r="I205" s="2" t="n"/>
      <c r="J205" s="3" t="n">
        <v>-0.88</v>
      </c>
      <c r="K205" s="2">
        <f>IF(H205="02.09 : Outras Saídas", IF(OR(ISNUMBER(SEARCH("CHEQUE COMPE SICREDI", F205)), ISNUMBER(SEARCH("aniversario", F205)), ISNUMBER(SEARCH("churrasco", F205)), ISNUMBER(SEARCH("bolo", F205)), ISNUMBER(SEARCH("SUPERMERCADO", F205))), "6.1 Despesas Administrativas (Pessoal)", IF(OR(ISNUMBER(SEARCH("DLKNET", F205)), ISNUMBER(SEARCH("TESTE", F205))), "6.1 Despesas Administrativas (Gerais)", IFERROR(VLOOKUP(H205, De_Para!A:B, 2, FALSE), "NÃO MAPEADO"))), IFERROR(VLOOKUP(H205, De_Para!A:B, 2, FALSE), "NÃO MAPEADO"))</f>
        <v/>
      </c>
    </row>
    <row r="206">
      <c r="A206" s="2" t="inlineStr">
        <is>
          <t>69493</t>
        </is>
      </c>
      <c r="B206" s="2" t="inlineStr">
        <is>
          <t>Sicoob</t>
        </is>
      </c>
      <c r="C206" s="2" t="inlineStr">
        <is>
          <t>25/06/2026</t>
        </is>
      </c>
      <c r="D206" s="2" t="inlineStr">
        <is>
          <t>25/06/2026</t>
        </is>
      </c>
      <c r="E206" s="2" t="inlineStr">
        <is>
          <t>Dinheiro</t>
        </is>
      </c>
      <c r="F206" s="2" t="inlineStr">
        <is>
          <t>Boleto "66555" do cliente "THIAGO BARBOSA  PIRATELO"</t>
        </is>
      </c>
      <c r="G206" s="2" t="inlineStr">
        <is>
          <t>system</t>
        </is>
      </c>
      <c r="H206" s="2" t="inlineStr">
        <is>
          <t>01.01.01 : Mensalidade</t>
        </is>
      </c>
      <c r="I206" s="3" t="n">
        <v>99.90000000000001</v>
      </c>
      <c r="J206" s="2" t="n"/>
      <c r="K206" s="2">
        <f>IF(H206="02.09 : Outras Saídas", IF(OR(ISNUMBER(SEARCH("CHEQUE COMPE SICREDI", F206)), ISNUMBER(SEARCH("aniversario", F206)), ISNUMBER(SEARCH("churrasco", F206)), ISNUMBER(SEARCH("bolo", F206)), ISNUMBER(SEARCH("SUPERMERCADO", F206))), "6.1 Despesas Administrativas (Pessoal)", IF(OR(ISNUMBER(SEARCH("DLKNET", F206)), ISNUMBER(SEARCH("TESTE", F206))), "6.1 Despesas Administrativas (Gerais)", IFERROR(VLOOKUP(H206, De_Para!A:B, 2, FALSE), "NÃO MAPEADO"))), IFERROR(VLOOKUP(H206, De_Para!A:B, 2, FALSE), "NÃO MAPEADO"))</f>
        <v/>
      </c>
    </row>
    <row r="207">
      <c r="A207" s="2" t="inlineStr">
        <is>
          <t>69492</t>
        </is>
      </c>
      <c r="B207" s="2" t="inlineStr">
        <is>
          <t>Sicoob</t>
        </is>
      </c>
      <c r="C207" s="2" t="inlineStr">
        <is>
          <t>25/06/2026</t>
        </is>
      </c>
      <c r="D207" s="2" t="inlineStr">
        <is>
          <t>25/06/2026</t>
        </is>
      </c>
      <c r="E207" s="2" t="inlineStr">
        <is>
          <t>Dinheiro</t>
        </is>
      </c>
      <c r="F207" s="2" t="inlineStr">
        <is>
          <t>Boleto "55041" do cliente "JULIANO DANIEL LOUZANO VERA"</t>
        </is>
      </c>
      <c r="G207" s="2" t="inlineStr">
        <is>
          <t>system</t>
        </is>
      </c>
      <c r="H207" s="2" t="inlineStr">
        <is>
          <t>02.03.02.01 : Cobrança Bancaria</t>
        </is>
      </c>
      <c r="I207" s="2" t="n"/>
      <c r="J207" s="3" t="n">
        <v>-0.88</v>
      </c>
      <c r="K207" s="2">
        <f>IF(H207="02.09 : Outras Saídas", IF(OR(ISNUMBER(SEARCH("CHEQUE COMPE SICREDI", F207)), ISNUMBER(SEARCH("aniversario", F207)), ISNUMBER(SEARCH("churrasco", F207)), ISNUMBER(SEARCH("bolo", F207)), ISNUMBER(SEARCH("SUPERMERCADO", F207))), "6.1 Despesas Administrativas (Pessoal)", IF(OR(ISNUMBER(SEARCH("DLKNET", F207)), ISNUMBER(SEARCH("TESTE", F207))), "6.1 Despesas Administrativas (Gerais)", IFERROR(VLOOKUP(H207, De_Para!A:B, 2, FALSE), "NÃO MAPEADO"))), IFERROR(VLOOKUP(H207, De_Para!A:B, 2, FALSE), "NÃO MAPEADO"))</f>
        <v/>
      </c>
    </row>
    <row r="208">
      <c r="A208" s="2" t="inlineStr">
        <is>
          <t>69491</t>
        </is>
      </c>
      <c r="B208" s="2" t="inlineStr">
        <is>
          <t>Sicoob</t>
        </is>
      </c>
      <c r="C208" s="2" t="inlineStr">
        <is>
          <t>25/06/2026</t>
        </is>
      </c>
      <c r="D208" s="2" t="inlineStr">
        <is>
          <t>25/06/2026</t>
        </is>
      </c>
      <c r="E208" s="2" t="inlineStr">
        <is>
          <t>Dinheiro</t>
        </is>
      </c>
      <c r="F208" s="2" t="inlineStr">
        <is>
          <t>Boleto "55041" do cliente "JULIANO DANIEL LOUZANO VERA"</t>
        </is>
      </c>
      <c r="G208" s="2" t="inlineStr">
        <is>
          <t>system</t>
        </is>
      </c>
      <c r="H208" s="2" t="inlineStr">
        <is>
          <t>01.01.01 : Mensalidade</t>
        </is>
      </c>
      <c r="I208" s="3" t="n">
        <v>105</v>
      </c>
      <c r="J208" s="2" t="n"/>
      <c r="K208" s="2">
        <f>IF(H208="02.09 : Outras Saídas", IF(OR(ISNUMBER(SEARCH("CHEQUE COMPE SICREDI", F208)), ISNUMBER(SEARCH("aniversario", F208)), ISNUMBER(SEARCH("churrasco", F208)), ISNUMBER(SEARCH("bolo", F208)), ISNUMBER(SEARCH("SUPERMERCADO", F208))), "6.1 Despesas Administrativas (Pessoal)", IF(OR(ISNUMBER(SEARCH("DLKNET", F208)), ISNUMBER(SEARCH("TESTE", F208))), "6.1 Despesas Administrativas (Gerais)", IFERROR(VLOOKUP(H208, De_Para!A:B, 2, FALSE), "NÃO MAPEADO"))), IFERROR(VLOOKUP(H208, De_Para!A:B, 2, FALSE), "NÃO MAPEADO"))</f>
        <v/>
      </c>
    </row>
    <row r="209">
      <c r="A209" s="2" t="inlineStr">
        <is>
          <t>69490</t>
        </is>
      </c>
      <c r="B209" s="2" t="inlineStr">
        <is>
          <t>Sicoob</t>
        </is>
      </c>
      <c r="C209" s="2" t="inlineStr">
        <is>
          <t>25/06/2026</t>
        </is>
      </c>
      <c r="D209" s="2" t="inlineStr">
        <is>
          <t>25/06/2026</t>
        </is>
      </c>
      <c r="E209" s="2" t="inlineStr">
        <is>
          <t>Dinheiro</t>
        </is>
      </c>
      <c r="F209" s="2" t="inlineStr">
        <is>
          <t>Boleto "54920" do cliente "MICHEL VIEIRA DA FONSECA"</t>
        </is>
      </c>
      <c r="G209" s="2" t="inlineStr">
        <is>
          <t>system</t>
        </is>
      </c>
      <c r="H209" s="2" t="inlineStr">
        <is>
          <t>02.03.02.01 : Cobrança Bancaria</t>
        </is>
      </c>
      <c r="I209" s="2" t="n"/>
      <c r="J209" s="3" t="n">
        <v>-0.88</v>
      </c>
      <c r="K209" s="2">
        <f>IF(H209="02.09 : Outras Saídas", IF(OR(ISNUMBER(SEARCH("CHEQUE COMPE SICREDI", F209)), ISNUMBER(SEARCH("aniversario", F209)), ISNUMBER(SEARCH("churrasco", F209)), ISNUMBER(SEARCH("bolo", F209)), ISNUMBER(SEARCH("SUPERMERCADO", F209))), "6.1 Despesas Administrativas (Pessoal)", IF(OR(ISNUMBER(SEARCH("DLKNET", F209)), ISNUMBER(SEARCH("TESTE", F209))), "6.1 Despesas Administrativas (Gerais)", IFERROR(VLOOKUP(H209, De_Para!A:B, 2, FALSE), "NÃO MAPEADO"))), IFERROR(VLOOKUP(H209, De_Para!A:B, 2, FALSE), "NÃO MAPEADO"))</f>
        <v/>
      </c>
    </row>
    <row r="210">
      <c r="A210" s="2" t="inlineStr">
        <is>
          <t>69489</t>
        </is>
      </c>
      <c r="B210" s="2" t="inlineStr">
        <is>
          <t>Sicoob</t>
        </is>
      </c>
      <c r="C210" s="2" t="inlineStr">
        <is>
          <t>25/06/2026</t>
        </is>
      </c>
      <c r="D210" s="2" t="inlineStr">
        <is>
          <t>25/06/2026</t>
        </is>
      </c>
      <c r="E210" s="2" t="inlineStr">
        <is>
          <t>Dinheiro</t>
        </is>
      </c>
      <c r="F210" s="2" t="inlineStr">
        <is>
          <t>Boleto "54920" do cliente "MICHEL VIEIRA DA FONSECA"</t>
        </is>
      </c>
      <c r="G210" s="2" t="inlineStr">
        <is>
          <t>system</t>
        </is>
      </c>
      <c r="H210" s="2" t="inlineStr">
        <is>
          <t>01.01.01 : Mensalidade</t>
        </is>
      </c>
      <c r="I210" s="3" t="n">
        <v>81.73</v>
      </c>
      <c r="J210" s="2" t="n"/>
      <c r="K210" s="2">
        <f>IF(H210="02.09 : Outras Saídas", IF(OR(ISNUMBER(SEARCH("CHEQUE COMPE SICREDI", F210)), ISNUMBER(SEARCH("aniversario", F210)), ISNUMBER(SEARCH("churrasco", F210)), ISNUMBER(SEARCH("bolo", F210)), ISNUMBER(SEARCH("SUPERMERCADO", F210))), "6.1 Despesas Administrativas (Pessoal)", IF(OR(ISNUMBER(SEARCH("DLKNET", F210)), ISNUMBER(SEARCH("TESTE", F210))), "6.1 Despesas Administrativas (Gerais)", IFERROR(VLOOKUP(H210, De_Para!A:B, 2, FALSE), "NÃO MAPEADO"))), IFERROR(VLOOKUP(H210, De_Para!A:B, 2, FALSE), "NÃO MAPEADO"))</f>
        <v/>
      </c>
    </row>
    <row r="211">
      <c r="A211" s="2" t="inlineStr">
        <is>
          <t>69488</t>
        </is>
      </c>
      <c r="B211" s="2" t="inlineStr">
        <is>
          <t>Sicredi SNI</t>
        </is>
      </c>
      <c r="C211" s="2" t="inlineStr">
        <is>
          <t>25/06/2026</t>
        </is>
      </c>
      <c r="D211" s="2" t="inlineStr">
        <is>
          <t>25/06/2026</t>
        </is>
      </c>
      <c r="E211" s="2" t="inlineStr">
        <is>
          <t>PIX</t>
        </is>
      </c>
      <c r="F211" s="2" t="inlineStr">
        <is>
          <t>Boleto "64755" do cliente "LUIZ DE JESUS SILVA"</t>
        </is>
      </c>
      <c r="G211" s="2" t="inlineStr">
        <is>
          <t>system</t>
        </is>
      </c>
      <c r="H211" s="2" t="inlineStr">
        <is>
          <t>02.03.02.01 : Cobrança Bancaria</t>
        </is>
      </c>
      <c r="I211" s="2" t="n"/>
      <c r="J211" s="3" t="n">
        <v>-0.49</v>
      </c>
      <c r="K211" s="2">
        <f>IF(H211="02.09 : Outras Saídas", IF(OR(ISNUMBER(SEARCH("CHEQUE COMPE SICREDI", F211)), ISNUMBER(SEARCH("aniversario", F211)), ISNUMBER(SEARCH("churrasco", F211)), ISNUMBER(SEARCH("bolo", F211)), ISNUMBER(SEARCH("SUPERMERCADO", F211))), "6.1 Despesas Administrativas (Pessoal)", IF(OR(ISNUMBER(SEARCH("DLKNET", F211)), ISNUMBER(SEARCH("TESTE", F211))), "6.1 Despesas Administrativas (Gerais)", IFERROR(VLOOKUP(H211, De_Para!A:B, 2, FALSE), "NÃO MAPEADO"))), IFERROR(VLOOKUP(H211, De_Para!A:B, 2, FALSE), "NÃO MAPEADO"))</f>
        <v/>
      </c>
    </row>
    <row r="212">
      <c r="A212" s="2" t="inlineStr">
        <is>
          <t>69487</t>
        </is>
      </c>
      <c r="B212" s="2" t="inlineStr">
        <is>
          <t>Sicredi SNI</t>
        </is>
      </c>
      <c r="C212" s="2" t="inlineStr">
        <is>
          <t>25/06/2026</t>
        </is>
      </c>
      <c r="D212" s="2" t="inlineStr">
        <is>
          <t>25/06/2026</t>
        </is>
      </c>
      <c r="E212" s="2" t="inlineStr">
        <is>
          <t>PIX</t>
        </is>
      </c>
      <c r="F212" s="2" t="inlineStr">
        <is>
          <t>Boleto "64755" do cliente "LUIZ DE JESUS SILVA"</t>
        </is>
      </c>
      <c r="G212" s="2" t="inlineStr">
        <is>
          <t>system</t>
        </is>
      </c>
      <c r="H212" s="2" t="inlineStr">
        <is>
          <t>01.01.01 : Mensalidade</t>
        </is>
      </c>
      <c r="I212" s="3" t="n">
        <v>110</v>
      </c>
      <c r="J212" s="2" t="n"/>
      <c r="K212" s="2">
        <f>IF(H212="02.09 : Outras Saídas", IF(OR(ISNUMBER(SEARCH("CHEQUE COMPE SICREDI", F212)), ISNUMBER(SEARCH("aniversario", F212)), ISNUMBER(SEARCH("churrasco", F212)), ISNUMBER(SEARCH("bolo", F212)), ISNUMBER(SEARCH("SUPERMERCADO", F212))), "6.1 Despesas Administrativas (Pessoal)", IF(OR(ISNUMBER(SEARCH("DLKNET", F212)), ISNUMBER(SEARCH("TESTE", F212))), "6.1 Despesas Administrativas (Gerais)", IFERROR(VLOOKUP(H212, De_Para!A:B, 2, FALSE), "NÃO MAPEADO"))), IFERROR(VLOOKUP(H212, De_Para!A:B, 2, FALSE), "NÃO MAPEADO"))</f>
        <v/>
      </c>
    </row>
    <row r="213">
      <c r="A213" s="2" t="inlineStr">
        <is>
          <t>69486</t>
        </is>
      </c>
      <c r="B213" s="2" t="inlineStr">
        <is>
          <t>Sicoob</t>
        </is>
      </c>
      <c r="C213" s="2" t="inlineStr">
        <is>
          <t>25/06/2026</t>
        </is>
      </c>
      <c r="D213" s="2" t="inlineStr">
        <is>
          <t>25/06/2026</t>
        </is>
      </c>
      <c r="E213" s="2" t="inlineStr">
        <is>
          <t>Dinheiro</t>
        </is>
      </c>
      <c r="F213" s="2" t="inlineStr">
        <is>
          <t>Boleto "66544" do cliente "SANDRO JOSÉ MENDONÇA"</t>
        </is>
      </c>
      <c r="G213" s="2" t="inlineStr">
        <is>
          <t>system</t>
        </is>
      </c>
      <c r="H213" s="2" t="inlineStr">
        <is>
          <t>02.03.02.01 : Cobrança Bancaria</t>
        </is>
      </c>
      <c r="I213" s="2" t="n"/>
      <c r="J213" s="3" t="n">
        <v>-0.88</v>
      </c>
      <c r="K213" s="2">
        <f>IF(H213="02.09 : Outras Saídas", IF(OR(ISNUMBER(SEARCH("CHEQUE COMPE SICREDI", F213)), ISNUMBER(SEARCH("aniversario", F213)), ISNUMBER(SEARCH("churrasco", F213)), ISNUMBER(SEARCH("bolo", F213)), ISNUMBER(SEARCH("SUPERMERCADO", F213))), "6.1 Despesas Administrativas (Pessoal)", IF(OR(ISNUMBER(SEARCH("DLKNET", F213)), ISNUMBER(SEARCH("TESTE", F213))), "6.1 Despesas Administrativas (Gerais)", IFERROR(VLOOKUP(H213, De_Para!A:B, 2, FALSE), "NÃO MAPEADO"))), IFERROR(VLOOKUP(H213, De_Para!A:B, 2, FALSE), "NÃO MAPEADO"))</f>
        <v/>
      </c>
    </row>
    <row r="214">
      <c r="A214" s="2" t="inlineStr">
        <is>
          <t>69485</t>
        </is>
      </c>
      <c r="B214" s="2" t="inlineStr">
        <is>
          <t>Sicoob</t>
        </is>
      </c>
      <c r="C214" s="2" t="inlineStr">
        <is>
          <t>25/06/2026</t>
        </is>
      </c>
      <c r="D214" s="2" t="inlineStr">
        <is>
          <t>25/06/2026</t>
        </is>
      </c>
      <c r="E214" s="2" t="inlineStr">
        <is>
          <t>Dinheiro</t>
        </is>
      </c>
      <c r="F214" s="2" t="inlineStr">
        <is>
          <t>Boleto "66544" do cliente "SANDRO JOSÉ MENDONÇA"</t>
        </is>
      </c>
      <c r="G214" s="2" t="inlineStr">
        <is>
          <t>system</t>
        </is>
      </c>
      <c r="H214" s="2" t="inlineStr">
        <is>
          <t>01.01.01 : Mensalidade</t>
        </is>
      </c>
      <c r="I214" s="3" t="n">
        <v>69.92</v>
      </c>
      <c r="J214" s="2" t="n"/>
      <c r="K214" s="2">
        <f>IF(H214="02.09 : Outras Saídas", IF(OR(ISNUMBER(SEARCH("CHEQUE COMPE SICREDI", F214)), ISNUMBER(SEARCH("aniversario", F214)), ISNUMBER(SEARCH("churrasco", F214)), ISNUMBER(SEARCH("bolo", F214)), ISNUMBER(SEARCH("SUPERMERCADO", F214))), "6.1 Despesas Administrativas (Pessoal)", IF(OR(ISNUMBER(SEARCH("DLKNET", F214)), ISNUMBER(SEARCH("TESTE", F214))), "6.1 Despesas Administrativas (Gerais)", IFERROR(VLOOKUP(H214, De_Para!A:B, 2, FALSE), "NÃO MAPEADO"))), IFERROR(VLOOKUP(H214, De_Para!A:B, 2, FALSE), "NÃO MAPEADO"))</f>
        <v/>
      </c>
    </row>
    <row r="215">
      <c r="A215" s="2" t="inlineStr">
        <is>
          <t>69484</t>
        </is>
      </c>
      <c r="B215" s="2" t="inlineStr">
        <is>
          <t>Sicredi SNI</t>
        </is>
      </c>
      <c r="C215" s="2" t="inlineStr">
        <is>
          <t>25/06/2026</t>
        </is>
      </c>
      <c r="D215" s="2" t="inlineStr">
        <is>
          <t>25/06/2026</t>
        </is>
      </c>
      <c r="E215" s="2" t="inlineStr">
        <is>
          <t>PIX</t>
        </is>
      </c>
      <c r="F215" s="2" t="inlineStr">
        <is>
          <t>Boleto "63949" do cliente "SANDRO JOSÉ MENDONÇA"</t>
        </is>
      </c>
      <c r="G215" s="2" t="inlineStr">
        <is>
          <t>system</t>
        </is>
      </c>
      <c r="H215" s="2" t="inlineStr">
        <is>
          <t>02.03.02.01 : Cobrança Bancaria</t>
        </is>
      </c>
      <c r="I215" s="2" t="n"/>
      <c r="J215" s="3" t="n">
        <v>-0.49</v>
      </c>
      <c r="K215" s="2">
        <f>IF(H215="02.09 : Outras Saídas", IF(OR(ISNUMBER(SEARCH("CHEQUE COMPE SICREDI", F215)), ISNUMBER(SEARCH("aniversario", F215)), ISNUMBER(SEARCH("churrasco", F215)), ISNUMBER(SEARCH("bolo", F215)), ISNUMBER(SEARCH("SUPERMERCADO", F215))), "6.1 Despesas Administrativas (Pessoal)", IF(OR(ISNUMBER(SEARCH("DLKNET", F215)), ISNUMBER(SEARCH("TESTE", F215))), "6.1 Despesas Administrativas (Gerais)", IFERROR(VLOOKUP(H215, De_Para!A:B, 2, FALSE), "NÃO MAPEADO"))), IFERROR(VLOOKUP(H215, De_Para!A:B, 2, FALSE), "NÃO MAPEADO"))</f>
        <v/>
      </c>
    </row>
    <row r="216">
      <c r="A216" s="2" t="inlineStr">
        <is>
          <t>69483</t>
        </is>
      </c>
      <c r="B216" s="2" t="inlineStr">
        <is>
          <t>Sicredi SNI</t>
        </is>
      </c>
      <c r="C216" s="2" t="inlineStr">
        <is>
          <t>25/06/2026</t>
        </is>
      </c>
      <c r="D216" s="2" t="inlineStr">
        <is>
          <t>25/06/2026</t>
        </is>
      </c>
      <c r="E216" s="2" t="inlineStr">
        <is>
          <t>PIX</t>
        </is>
      </c>
      <c r="F216" s="2" t="inlineStr">
        <is>
          <t>Boleto "63949" do cliente "SANDRO JOSÉ MENDONÇA"</t>
        </is>
      </c>
      <c r="G216" s="2" t="inlineStr">
        <is>
          <t>system</t>
        </is>
      </c>
      <c r="H216" s="2" t="inlineStr">
        <is>
          <t>01.01.01 : Mensalidade</t>
        </is>
      </c>
      <c r="I216" s="3" t="n">
        <v>104.9</v>
      </c>
      <c r="J216" s="2" t="n"/>
      <c r="K216" s="2">
        <f>IF(H216="02.09 : Outras Saídas", IF(OR(ISNUMBER(SEARCH("CHEQUE COMPE SICREDI", F216)), ISNUMBER(SEARCH("aniversario", F216)), ISNUMBER(SEARCH("churrasco", F216)), ISNUMBER(SEARCH("bolo", F216)), ISNUMBER(SEARCH("SUPERMERCADO", F216))), "6.1 Despesas Administrativas (Pessoal)", IF(OR(ISNUMBER(SEARCH("DLKNET", F216)), ISNUMBER(SEARCH("TESTE", F216))), "6.1 Despesas Administrativas (Gerais)", IFERROR(VLOOKUP(H216, De_Para!A:B, 2, FALSE), "NÃO MAPEADO"))), IFERROR(VLOOKUP(H216, De_Para!A:B, 2, FALSE), "NÃO MAPEADO"))</f>
        <v/>
      </c>
    </row>
    <row r="217">
      <c r="A217" s="2" t="inlineStr">
        <is>
          <t>69482</t>
        </is>
      </c>
      <c r="B217" s="2" t="inlineStr">
        <is>
          <t>Sicredi SNI</t>
        </is>
      </c>
      <c r="C217" s="2" t="inlineStr">
        <is>
          <t>25/06/2026</t>
        </is>
      </c>
      <c r="D217" s="2" t="inlineStr">
        <is>
          <t>25/06/2026</t>
        </is>
      </c>
      <c r="E217" s="2" t="inlineStr">
        <is>
          <t>PIX</t>
        </is>
      </c>
      <c r="F217" s="2" t="inlineStr">
        <is>
          <t>Boleto "63544" do cliente "MANOEL CARLOS FERREIRA"</t>
        </is>
      </c>
      <c r="G217" s="2" t="inlineStr">
        <is>
          <t>system</t>
        </is>
      </c>
      <c r="H217" s="2" t="inlineStr">
        <is>
          <t>02.03.02.01 : Cobrança Bancaria</t>
        </is>
      </c>
      <c r="I217" s="2" t="n"/>
      <c r="J217" s="3" t="n">
        <v>-0.49</v>
      </c>
      <c r="K217" s="2">
        <f>IF(H217="02.09 : Outras Saídas", IF(OR(ISNUMBER(SEARCH("CHEQUE COMPE SICREDI", F217)), ISNUMBER(SEARCH("aniversario", F217)), ISNUMBER(SEARCH("churrasco", F217)), ISNUMBER(SEARCH("bolo", F217)), ISNUMBER(SEARCH("SUPERMERCADO", F217))), "6.1 Despesas Administrativas (Pessoal)", IF(OR(ISNUMBER(SEARCH("DLKNET", F217)), ISNUMBER(SEARCH("TESTE", F217))), "6.1 Despesas Administrativas (Gerais)", IFERROR(VLOOKUP(H217, De_Para!A:B, 2, FALSE), "NÃO MAPEADO"))), IFERROR(VLOOKUP(H217, De_Para!A:B, 2, FALSE), "NÃO MAPEADO"))</f>
        <v/>
      </c>
    </row>
    <row r="218">
      <c r="A218" s="2" t="inlineStr">
        <is>
          <t>69481</t>
        </is>
      </c>
      <c r="B218" s="2" t="inlineStr">
        <is>
          <t>Sicredi SNI</t>
        </is>
      </c>
      <c r="C218" s="2" t="inlineStr">
        <is>
          <t>25/06/2026</t>
        </is>
      </c>
      <c r="D218" s="2" t="inlineStr">
        <is>
          <t>25/06/2026</t>
        </is>
      </c>
      <c r="E218" s="2" t="inlineStr">
        <is>
          <t>PIX</t>
        </is>
      </c>
      <c r="F218" s="2" t="inlineStr">
        <is>
          <t>Boleto "63544" do cliente "MANOEL CARLOS FERREIRA"</t>
        </is>
      </c>
      <c r="G218" s="2" t="inlineStr">
        <is>
          <t>system</t>
        </is>
      </c>
      <c r="H218" s="2" t="inlineStr">
        <is>
          <t>01.01.01 : Mensalidade</t>
        </is>
      </c>
      <c r="I218" s="3" t="n">
        <v>122.5</v>
      </c>
      <c r="J218" s="2" t="n"/>
      <c r="K218" s="2">
        <f>IF(H218="02.09 : Outras Saídas", IF(OR(ISNUMBER(SEARCH("CHEQUE COMPE SICREDI", F218)), ISNUMBER(SEARCH("aniversario", F218)), ISNUMBER(SEARCH("churrasco", F218)), ISNUMBER(SEARCH("bolo", F218)), ISNUMBER(SEARCH("SUPERMERCADO", F218))), "6.1 Despesas Administrativas (Pessoal)", IF(OR(ISNUMBER(SEARCH("DLKNET", F218)), ISNUMBER(SEARCH("TESTE", F218))), "6.1 Despesas Administrativas (Gerais)", IFERROR(VLOOKUP(H218, De_Para!A:B, 2, FALSE), "NÃO MAPEADO"))), IFERROR(VLOOKUP(H218, De_Para!A:B, 2, FALSE), "NÃO MAPEADO"))</f>
        <v/>
      </c>
    </row>
    <row r="219">
      <c r="A219" s="2" t="inlineStr">
        <is>
          <t>69480</t>
        </is>
      </c>
      <c r="B219" s="2" t="inlineStr">
        <is>
          <t>Sicredi SNI</t>
        </is>
      </c>
      <c r="C219" s="2" t="inlineStr">
        <is>
          <t>25/06/2026</t>
        </is>
      </c>
      <c r="D219" s="2" t="inlineStr">
        <is>
          <t>25/06/2026</t>
        </is>
      </c>
      <c r="E219" s="2" t="inlineStr">
        <is>
          <t>PIX</t>
        </is>
      </c>
      <c r="F219" s="2" t="inlineStr">
        <is>
          <t>Boleto "67040" do cliente "NELITA APARECIDA TODESCHINI"</t>
        </is>
      </c>
      <c r="G219" s="2" t="inlineStr">
        <is>
          <t>system</t>
        </is>
      </c>
      <c r="H219" s="2" t="inlineStr">
        <is>
          <t>02.03.02.01 : Cobrança Bancaria</t>
        </is>
      </c>
      <c r="I219" s="2" t="n"/>
      <c r="J219" s="3" t="n">
        <v>-0.49</v>
      </c>
      <c r="K219" s="2">
        <f>IF(H219="02.09 : Outras Saídas", IF(OR(ISNUMBER(SEARCH("CHEQUE COMPE SICREDI", F219)), ISNUMBER(SEARCH("aniversario", F219)), ISNUMBER(SEARCH("churrasco", F219)), ISNUMBER(SEARCH("bolo", F219)), ISNUMBER(SEARCH("SUPERMERCADO", F219))), "6.1 Despesas Administrativas (Pessoal)", IF(OR(ISNUMBER(SEARCH("DLKNET", F219)), ISNUMBER(SEARCH("TESTE", F219))), "6.1 Despesas Administrativas (Gerais)", IFERROR(VLOOKUP(H219, De_Para!A:B, 2, FALSE), "NÃO MAPEADO"))), IFERROR(VLOOKUP(H219, De_Para!A:B, 2, FALSE), "NÃO MAPEADO"))</f>
        <v/>
      </c>
    </row>
    <row r="220">
      <c r="A220" s="2" t="inlineStr">
        <is>
          <t>69479</t>
        </is>
      </c>
      <c r="B220" s="2" t="inlineStr">
        <is>
          <t>Sicredi SNI</t>
        </is>
      </c>
      <c r="C220" s="2" t="inlineStr">
        <is>
          <t>25/06/2026</t>
        </is>
      </c>
      <c r="D220" s="2" t="inlineStr">
        <is>
          <t>25/06/2026</t>
        </is>
      </c>
      <c r="E220" s="2" t="inlineStr">
        <is>
          <t>PIX</t>
        </is>
      </c>
      <c r="F220" s="2" t="inlineStr">
        <is>
          <t>Boleto "67040" do cliente "NELITA APARECIDA TODESCHINI"</t>
        </is>
      </c>
      <c r="G220" s="2" t="inlineStr">
        <is>
          <t>system</t>
        </is>
      </c>
      <c r="H220" s="2" t="inlineStr">
        <is>
          <t>01.01.01 : Mensalidade</t>
        </is>
      </c>
      <c r="I220" s="3" t="n">
        <v>99.90000000000001</v>
      </c>
      <c r="J220" s="2" t="n"/>
      <c r="K220" s="2">
        <f>IF(H220="02.09 : Outras Saídas", IF(OR(ISNUMBER(SEARCH("CHEQUE COMPE SICREDI", F220)), ISNUMBER(SEARCH("aniversario", F220)), ISNUMBER(SEARCH("churrasco", F220)), ISNUMBER(SEARCH("bolo", F220)), ISNUMBER(SEARCH("SUPERMERCADO", F220))), "6.1 Despesas Administrativas (Pessoal)", IF(OR(ISNUMBER(SEARCH("DLKNET", F220)), ISNUMBER(SEARCH("TESTE", F220))), "6.1 Despesas Administrativas (Gerais)", IFERROR(VLOOKUP(H220, De_Para!A:B, 2, FALSE), "NÃO MAPEADO"))), IFERROR(VLOOKUP(H220, De_Para!A:B, 2, FALSE), "NÃO MAPEADO"))</f>
        <v/>
      </c>
    </row>
    <row r="221">
      <c r="A221" s="2" t="inlineStr">
        <is>
          <t>69478</t>
        </is>
      </c>
      <c r="B221" s="2" t="inlineStr">
        <is>
          <t>Sicredi SNI</t>
        </is>
      </c>
      <c r="C221" s="2" t="inlineStr">
        <is>
          <t>25/06/2026</t>
        </is>
      </c>
      <c r="D221" s="2" t="inlineStr">
        <is>
          <t>25/06/2026</t>
        </is>
      </c>
      <c r="E221" s="2" t="inlineStr">
        <is>
          <t>PIX</t>
        </is>
      </c>
      <c r="F221" s="2" t="inlineStr">
        <is>
          <t>Boleto "67495" do cliente "NORBERTO SAKAKIBARA"</t>
        </is>
      </c>
      <c r="G221" s="2" t="inlineStr">
        <is>
          <t>system</t>
        </is>
      </c>
      <c r="H221" s="2" t="inlineStr">
        <is>
          <t>02.03.02.01 : Cobrança Bancaria</t>
        </is>
      </c>
      <c r="I221" s="2" t="n"/>
      <c r="J221" s="3" t="n">
        <v>-0.49</v>
      </c>
      <c r="K221" s="2">
        <f>IF(H221="02.09 : Outras Saídas", IF(OR(ISNUMBER(SEARCH("CHEQUE COMPE SICREDI", F221)), ISNUMBER(SEARCH("aniversario", F221)), ISNUMBER(SEARCH("churrasco", F221)), ISNUMBER(SEARCH("bolo", F221)), ISNUMBER(SEARCH("SUPERMERCADO", F221))), "6.1 Despesas Administrativas (Pessoal)", IF(OR(ISNUMBER(SEARCH("DLKNET", F221)), ISNUMBER(SEARCH("TESTE", F221))), "6.1 Despesas Administrativas (Gerais)", IFERROR(VLOOKUP(H221, De_Para!A:B, 2, FALSE), "NÃO MAPEADO"))), IFERROR(VLOOKUP(H221, De_Para!A:B, 2, FALSE), "NÃO MAPEADO"))</f>
        <v/>
      </c>
    </row>
    <row r="222">
      <c r="A222" s="2" t="inlineStr">
        <is>
          <t>69477</t>
        </is>
      </c>
      <c r="B222" s="2" t="inlineStr">
        <is>
          <t>Sicredi SNI</t>
        </is>
      </c>
      <c r="C222" s="2" t="inlineStr">
        <is>
          <t>25/06/2026</t>
        </is>
      </c>
      <c r="D222" s="2" t="inlineStr">
        <is>
          <t>25/06/2026</t>
        </is>
      </c>
      <c r="E222" s="2" t="inlineStr">
        <is>
          <t>PIX</t>
        </is>
      </c>
      <c r="F222" s="2" t="inlineStr">
        <is>
          <t>Boleto "67495" do cliente "NORBERTO SAKAKIBARA"</t>
        </is>
      </c>
      <c r="G222" s="2" t="inlineStr">
        <is>
          <t>system</t>
        </is>
      </c>
      <c r="H222" s="2" t="inlineStr">
        <is>
          <t>01.01.01 : Mensalidade</t>
        </is>
      </c>
      <c r="I222" s="3" t="n">
        <v>99.90000000000001</v>
      </c>
      <c r="J222" s="2" t="n"/>
      <c r="K222" s="2">
        <f>IF(H222="02.09 : Outras Saídas", IF(OR(ISNUMBER(SEARCH("CHEQUE COMPE SICREDI", F222)), ISNUMBER(SEARCH("aniversario", F222)), ISNUMBER(SEARCH("churrasco", F222)), ISNUMBER(SEARCH("bolo", F222)), ISNUMBER(SEARCH("SUPERMERCADO", F222))), "6.1 Despesas Administrativas (Pessoal)", IF(OR(ISNUMBER(SEARCH("DLKNET", F222)), ISNUMBER(SEARCH("TESTE", F222))), "6.1 Despesas Administrativas (Gerais)", IFERROR(VLOOKUP(H222, De_Para!A:B, 2, FALSE), "NÃO MAPEADO"))), IFERROR(VLOOKUP(H222, De_Para!A:B, 2, FALSE), "NÃO MAPEADO"))</f>
        <v/>
      </c>
    </row>
    <row r="223">
      <c r="A223" s="2" t="inlineStr">
        <is>
          <t>69476</t>
        </is>
      </c>
      <c r="B223" s="2" t="inlineStr">
        <is>
          <t>Sicredi SNI</t>
        </is>
      </c>
      <c r="C223" s="2" t="inlineStr">
        <is>
          <t>25/06/2026</t>
        </is>
      </c>
      <c r="D223" s="2" t="inlineStr">
        <is>
          <t>25/06/2026</t>
        </is>
      </c>
      <c r="E223" s="2" t="inlineStr">
        <is>
          <t>Dinheiro</t>
        </is>
      </c>
      <c r="F223" s="2" t="inlineStr">
        <is>
          <t>Boleto "69937" do cliente "VANIR APARECIDA DE OLIVEIRA"</t>
        </is>
      </c>
      <c r="G223" s="2" t="inlineStr">
        <is>
          <t>system</t>
        </is>
      </c>
      <c r="H223" s="2" t="inlineStr">
        <is>
          <t>02.03.02.01 : Cobrança Bancaria</t>
        </is>
      </c>
      <c r="I223" s="2" t="n"/>
      <c r="J223" s="3" t="n">
        <v>-1.08</v>
      </c>
      <c r="K223" s="2">
        <f>IF(H223="02.09 : Outras Saídas", IF(OR(ISNUMBER(SEARCH("CHEQUE COMPE SICREDI", F223)), ISNUMBER(SEARCH("aniversario", F223)), ISNUMBER(SEARCH("churrasco", F223)), ISNUMBER(SEARCH("bolo", F223)), ISNUMBER(SEARCH("SUPERMERCADO", F223))), "6.1 Despesas Administrativas (Pessoal)", IF(OR(ISNUMBER(SEARCH("DLKNET", F223)), ISNUMBER(SEARCH("TESTE", F223))), "6.1 Despesas Administrativas (Gerais)", IFERROR(VLOOKUP(H223, De_Para!A:B, 2, FALSE), "NÃO MAPEADO"))), IFERROR(VLOOKUP(H223, De_Para!A:B, 2, FALSE), "NÃO MAPEADO"))</f>
        <v/>
      </c>
    </row>
    <row r="224">
      <c r="A224" s="2" t="inlineStr">
        <is>
          <t>69475</t>
        </is>
      </c>
      <c r="B224" s="2" t="inlineStr">
        <is>
          <t>Sicredi SNI</t>
        </is>
      </c>
      <c r="C224" s="2" t="inlineStr">
        <is>
          <t>25/06/2026</t>
        </is>
      </c>
      <c r="D224" s="2" t="inlineStr">
        <is>
          <t>25/06/2026</t>
        </is>
      </c>
      <c r="E224" s="2" t="inlineStr">
        <is>
          <t>Dinheiro</t>
        </is>
      </c>
      <c r="F224" s="2" t="inlineStr">
        <is>
          <t>Boleto "69937" do cliente "VANIR APARECIDA DE OLIVEIRA"</t>
        </is>
      </c>
      <c r="G224" s="2" t="inlineStr">
        <is>
          <t>system</t>
        </is>
      </c>
      <c r="H224" s="2" t="inlineStr">
        <is>
          <t>01.01.01 : Mensalidade</t>
        </is>
      </c>
      <c r="I224" s="3" t="n">
        <v>109.9</v>
      </c>
      <c r="J224" s="2" t="n"/>
      <c r="K224" s="2">
        <f>IF(H224="02.09 : Outras Saídas", IF(OR(ISNUMBER(SEARCH("CHEQUE COMPE SICREDI", F224)), ISNUMBER(SEARCH("aniversario", F224)), ISNUMBER(SEARCH("churrasco", F224)), ISNUMBER(SEARCH("bolo", F224)), ISNUMBER(SEARCH("SUPERMERCADO", F224))), "6.1 Despesas Administrativas (Pessoal)", IF(OR(ISNUMBER(SEARCH("DLKNET", F224)), ISNUMBER(SEARCH("TESTE", F224))), "6.1 Despesas Administrativas (Gerais)", IFERROR(VLOOKUP(H224, De_Para!A:B, 2, FALSE), "NÃO MAPEADO"))), IFERROR(VLOOKUP(H224, De_Para!A:B, 2, FALSE), "NÃO MAPEADO"))</f>
        <v/>
      </c>
    </row>
    <row r="225">
      <c r="A225" s="2" t="inlineStr">
        <is>
          <t>69474</t>
        </is>
      </c>
      <c r="B225" s="2" t="inlineStr">
        <is>
          <t>Sicoob</t>
        </is>
      </c>
      <c r="C225" s="2" t="inlineStr">
        <is>
          <t>25/06/2026</t>
        </is>
      </c>
      <c r="D225" s="2" t="inlineStr">
        <is>
          <t>25/06/2026</t>
        </is>
      </c>
      <c r="E225" s="2" t="inlineStr">
        <is>
          <t>Dinheiro</t>
        </is>
      </c>
      <c r="F225" s="2" t="inlineStr">
        <is>
          <t>Boleto "65555" do cliente "WALDOMIRO BUBNA"</t>
        </is>
      </c>
      <c r="G225" s="2" t="inlineStr">
        <is>
          <t>system</t>
        </is>
      </c>
      <c r="H225" s="2" t="inlineStr">
        <is>
          <t>02.03.02.01 : Cobrança Bancaria</t>
        </is>
      </c>
      <c r="I225" s="2" t="n"/>
      <c r="J225" s="3" t="n">
        <v>-0.88</v>
      </c>
      <c r="K225" s="2">
        <f>IF(H225="02.09 : Outras Saídas", IF(OR(ISNUMBER(SEARCH("CHEQUE COMPE SICREDI", F225)), ISNUMBER(SEARCH("aniversario", F225)), ISNUMBER(SEARCH("churrasco", F225)), ISNUMBER(SEARCH("bolo", F225)), ISNUMBER(SEARCH("SUPERMERCADO", F225))), "6.1 Despesas Administrativas (Pessoal)", IF(OR(ISNUMBER(SEARCH("DLKNET", F225)), ISNUMBER(SEARCH("TESTE", F225))), "6.1 Despesas Administrativas (Gerais)", IFERROR(VLOOKUP(H225, De_Para!A:B, 2, FALSE), "NÃO MAPEADO"))), IFERROR(VLOOKUP(H225, De_Para!A:B, 2, FALSE), "NÃO MAPEADO"))</f>
        <v/>
      </c>
    </row>
    <row r="226">
      <c r="A226" s="2" t="inlineStr">
        <is>
          <t>69473</t>
        </is>
      </c>
      <c r="B226" s="2" t="inlineStr">
        <is>
          <t>Sicoob</t>
        </is>
      </c>
      <c r="C226" s="2" t="inlineStr">
        <is>
          <t>25/06/2026</t>
        </is>
      </c>
      <c r="D226" s="2" t="inlineStr">
        <is>
          <t>25/06/2026</t>
        </is>
      </c>
      <c r="E226" s="2" t="inlineStr">
        <is>
          <t>Dinheiro</t>
        </is>
      </c>
      <c r="F226" s="2" t="inlineStr">
        <is>
          <t>Boleto "65555" do cliente "WALDOMIRO BUBNA"</t>
        </is>
      </c>
      <c r="G226" s="2" t="inlineStr">
        <is>
          <t>system</t>
        </is>
      </c>
      <c r="H226" s="2" t="inlineStr">
        <is>
          <t>01.01.01 : Mensalidade</t>
        </is>
      </c>
      <c r="I226" s="3" t="n">
        <v>104.9</v>
      </c>
      <c r="J226" s="2" t="n"/>
      <c r="K226" s="2">
        <f>IF(H226="02.09 : Outras Saídas", IF(OR(ISNUMBER(SEARCH("CHEQUE COMPE SICREDI", F226)), ISNUMBER(SEARCH("aniversario", F226)), ISNUMBER(SEARCH("churrasco", F226)), ISNUMBER(SEARCH("bolo", F226)), ISNUMBER(SEARCH("SUPERMERCADO", F226))), "6.1 Despesas Administrativas (Pessoal)", IF(OR(ISNUMBER(SEARCH("DLKNET", F226)), ISNUMBER(SEARCH("TESTE", F226))), "6.1 Despesas Administrativas (Gerais)", IFERROR(VLOOKUP(H226, De_Para!A:B, 2, FALSE), "NÃO MAPEADO"))), IFERROR(VLOOKUP(H226, De_Para!A:B, 2, FALSE), "NÃO MAPEADO"))</f>
        <v/>
      </c>
    </row>
    <row r="227">
      <c r="A227" s="2" t="inlineStr">
        <is>
          <t>69472</t>
        </is>
      </c>
      <c r="B227" s="2" t="inlineStr">
        <is>
          <t>Sicoob</t>
        </is>
      </c>
      <c r="C227" s="2" t="inlineStr">
        <is>
          <t>25/06/2026</t>
        </is>
      </c>
      <c r="D227" s="2" t="inlineStr">
        <is>
          <t>25/06/2026</t>
        </is>
      </c>
      <c r="E227" s="2" t="inlineStr">
        <is>
          <t>Dinheiro</t>
        </is>
      </c>
      <c r="F227" s="2" t="inlineStr">
        <is>
          <t>Boleto "59639" do cliente "LETICIA FUJITA DE ALMEIDA"</t>
        </is>
      </c>
      <c r="G227" s="2" t="inlineStr">
        <is>
          <t>system</t>
        </is>
      </c>
      <c r="H227" s="2" t="inlineStr">
        <is>
          <t>02.03.02.01 : Cobrança Bancaria</t>
        </is>
      </c>
      <c r="I227" s="2" t="n"/>
      <c r="J227" s="3" t="n">
        <v>-0.88</v>
      </c>
      <c r="K227" s="2">
        <f>IF(H227="02.09 : Outras Saídas", IF(OR(ISNUMBER(SEARCH("CHEQUE COMPE SICREDI", F227)), ISNUMBER(SEARCH("aniversario", F227)), ISNUMBER(SEARCH("churrasco", F227)), ISNUMBER(SEARCH("bolo", F227)), ISNUMBER(SEARCH("SUPERMERCADO", F227))), "6.1 Despesas Administrativas (Pessoal)", IF(OR(ISNUMBER(SEARCH("DLKNET", F227)), ISNUMBER(SEARCH("TESTE", F227))), "6.1 Despesas Administrativas (Gerais)", IFERROR(VLOOKUP(H227, De_Para!A:B, 2, FALSE), "NÃO MAPEADO"))), IFERROR(VLOOKUP(H227, De_Para!A:B, 2, FALSE), "NÃO MAPEADO"))</f>
        <v/>
      </c>
    </row>
    <row r="228">
      <c r="A228" s="2" t="inlineStr">
        <is>
          <t>69471</t>
        </is>
      </c>
      <c r="B228" s="2" t="inlineStr">
        <is>
          <t>Sicoob</t>
        </is>
      </c>
      <c r="C228" s="2" t="inlineStr">
        <is>
          <t>25/06/2026</t>
        </is>
      </c>
      <c r="D228" s="2" t="inlineStr">
        <is>
          <t>25/06/2026</t>
        </is>
      </c>
      <c r="E228" s="2" t="inlineStr">
        <is>
          <t>Dinheiro</t>
        </is>
      </c>
      <c r="F228" s="2" t="inlineStr">
        <is>
          <t>Boleto "59639" do cliente "LETICIA FUJITA DE ALMEIDA"</t>
        </is>
      </c>
      <c r="G228" s="2" t="inlineStr">
        <is>
          <t>system</t>
        </is>
      </c>
      <c r="H228" s="2" t="inlineStr">
        <is>
          <t>01.01.01 : Mensalidade</t>
        </is>
      </c>
      <c r="I228" s="3" t="n">
        <v>110</v>
      </c>
      <c r="J228" s="2" t="n"/>
      <c r="K228" s="2">
        <f>IF(H228="02.09 : Outras Saídas", IF(OR(ISNUMBER(SEARCH("CHEQUE COMPE SICREDI", F228)), ISNUMBER(SEARCH("aniversario", F228)), ISNUMBER(SEARCH("churrasco", F228)), ISNUMBER(SEARCH("bolo", F228)), ISNUMBER(SEARCH("SUPERMERCADO", F228))), "6.1 Despesas Administrativas (Pessoal)", IF(OR(ISNUMBER(SEARCH("DLKNET", F228)), ISNUMBER(SEARCH("TESTE", F228))), "6.1 Despesas Administrativas (Gerais)", IFERROR(VLOOKUP(H228, De_Para!A:B, 2, FALSE), "NÃO MAPEADO"))), IFERROR(VLOOKUP(H228, De_Para!A:B, 2, FALSE), "NÃO MAPEADO"))</f>
        <v/>
      </c>
    </row>
    <row r="229">
      <c r="A229" s="2" t="inlineStr">
        <is>
          <t>69470</t>
        </is>
      </c>
      <c r="B229" s="2" t="inlineStr">
        <is>
          <t>Sicoob</t>
        </is>
      </c>
      <c r="C229" s="2" t="inlineStr">
        <is>
          <t>25/06/2026</t>
        </is>
      </c>
      <c r="D229" s="2" t="inlineStr">
        <is>
          <t>25/06/2026</t>
        </is>
      </c>
      <c r="E229" s="2" t="inlineStr">
        <is>
          <t>Dinheiro</t>
        </is>
      </c>
      <c r="F229" s="2" t="inlineStr">
        <is>
          <t>Boleto "59070" do cliente "VALDIVINO AFONSO"</t>
        </is>
      </c>
      <c r="G229" s="2" t="inlineStr">
        <is>
          <t>system</t>
        </is>
      </c>
      <c r="H229" s="2" t="inlineStr">
        <is>
          <t>02.03.02.01 : Cobrança Bancaria</t>
        </is>
      </c>
      <c r="I229" s="2" t="n"/>
      <c r="J229" s="3" t="n">
        <v>-0.88</v>
      </c>
      <c r="K229" s="2">
        <f>IF(H229="02.09 : Outras Saídas", IF(OR(ISNUMBER(SEARCH("CHEQUE COMPE SICREDI", F229)), ISNUMBER(SEARCH("aniversario", F229)), ISNUMBER(SEARCH("churrasco", F229)), ISNUMBER(SEARCH("bolo", F229)), ISNUMBER(SEARCH("SUPERMERCADO", F229))), "6.1 Despesas Administrativas (Pessoal)", IF(OR(ISNUMBER(SEARCH("DLKNET", F229)), ISNUMBER(SEARCH("TESTE", F229))), "6.1 Despesas Administrativas (Gerais)", IFERROR(VLOOKUP(H229, De_Para!A:B, 2, FALSE), "NÃO MAPEADO"))), IFERROR(VLOOKUP(H229, De_Para!A:B, 2, FALSE), "NÃO MAPEADO"))</f>
        <v/>
      </c>
    </row>
    <row r="230">
      <c r="A230" s="2" t="inlineStr">
        <is>
          <t>69469</t>
        </is>
      </c>
      <c r="B230" s="2" t="inlineStr">
        <is>
          <t>Sicoob</t>
        </is>
      </c>
      <c r="C230" s="2" t="inlineStr">
        <is>
          <t>25/06/2026</t>
        </is>
      </c>
      <c r="D230" s="2" t="inlineStr">
        <is>
          <t>25/06/2026</t>
        </is>
      </c>
      <c r="E230" s="2" t="inlineStr">
        <is>
          <t>Dinheiro</t>
        </is>
      </c>
      <c r="F230" s="2" t="inlineStr">
        <is>
          <t>Boleto "59070" do cliente "VALDIVINO AFONSO"</t>
        </is>
      </c>
      <c r="G230" s="2" t="inlineStr">
        <is>
          <t>system</t>
        </is>
      </c>
      <c r="H230" s="2" t="inlineStr">
        <is>
          <t>01.03.01 : Mensalidade</t>
        </is>
      </c>
      <c r="I230" s="3" t="n">
        <v>107.62</v>
      </c>
      <c r="J230" s="2" t="n"/>
      <c r="K230" s="2">
        <f>IF(H230="02.09 : Outras Saídas", IF(OR(ISNUMBER(SEARCH("CHEQUE COMPE SICREDI", F230)), ISNUMBER(SEARCH("aniversario", F230)), ISNUMBER(SEARCH("churrasco", F230)), ISNUMBER(SEARCH("bolo", F230)), ISNUMBER(SEARCH("SUPERMERCADO", F230))), "6.1 Despesas Administrativas (Pessoal)", IF(OR(ISNUMBER(SEARCH("DLKNET", F230)), ISNUMBER(SEARCH("TESTE", F230))), "6.1 Despesas Administrativas (Gerais)", IFERROR(VLOOKUP(H230, De_Para!A:B, 2, FALSE), "NÃO MAPEADO"))), IFERROR(VLOOKUP(H230, De_Para!A:B, 2, FALSE), "NÃO MAPEADO"))</f>
        <v/>
      </c>
    </row>
    <row r="231">
      <c r="A231" s="2" t="inlineStr">
        <is>
          <t>69468</t>
        </is>
      </c>
      <c r="B231" s="2" t="inlineStr">
        <is>
          <t>Sicoob</t>
        </is>
      </c>
      <c r="C231" s="2" t="inlineStr">
        <is>
          <t>25/06/2026</t>
        </is>
      </c>
      <c r="D231" s="2" t="inlineStr">
        <is>
          <t>25/06/2026</t>
        </is>
      </c>
      <c r="E231" s="2" t="inlineStr">
        <is>
          <t>Dinheiro</t>
        </is>
      </c>
      <c r="F231" s="2" t="inlineStr">
        <is>
          <t>Boleto "54714" do cliente "SIDNEI INOCENCIO AZEVEDO RIBEIRO"</t>
        </is>
      </c>
      <c r="G231" s="2" t="inlineStr">
        <is>
          <t>system</t>
        </is>
      </c>
      <c r="H231" s="2" t="inlineStr">
        <is>
          <t>02.03.02.01 : Cobrança Bancaria</t>
        </is>
      </c>
      <c r="I231" s="2" t="n"/>
      <c r="J231" s="3" t="n">
        <v>-0.88</v>
      </c>
      <c r="K231" s="2">
        <f>IF(H231="02.09 : Outras Saídas", IF(OR(ISNUMBER(SEARCH("CHEQUE COMPE SICREDI", F231)), ISNUMBER(SEARCH("aniversario", F231)), ISNUMBER(SEARCH("churrasco", F231)), ISNUMBER(SEARCH("bolo", F231)), ISNUMBER(SEARCH("SUPERMERCADO", F231))), "6.1 Despesas Administrativas (Pessoal)", IF(OR(ISNUMBER(SEARCH("DLKNET", F231)), ISNUMBER(SEARCH("TESTE", F231))), "6.1 Despesas Administrativas (Gerais)", IFERROR(VLOOKUP(H231, De_Para!A:B, 2, FALSE), "NÃO MAPEADO"))), IFERROR(VLOOKUP(H231, De_Para!A:B, 2, FALSE), "NÃO MAPEADO"))</f>
        <v/>
      </c>
    </row>
    <row r="232">
      <c r="A232" s="2" t="inlineStr">
        <is>
          <t>69467</t>
        </is>
      </c>
      <c r="B232" s="2" t="inlineStr">
        <is>
          <t>Sicoob</t>
        </is>
      </c>
      <c r="C232" s="2" t="inlineStr">
        <is>
          <t>25/06/2026</t>
        </is>
      </c>
      <c r="D232" s="2" t="inlineStr">
        <is>
          <t>25/06/2026</t>
        </is>
      </c>
      <c r="E232" s="2" t="inlineStr">
        <is>
          <t>Dinheiro</t>
        </is>
      </c>
      <c r="F232" s="2" t="inlineStr">
        <is>
          <t>Boleto "54714" do cliente "SIDNEI INOCENCIO AZEVEDO RIBEIRO"</t>
        </is>
      </c>
      <c r="G232" s="2" t="inlineStr">
        <is>
          <t>system</t>
        </is>
      </c>
      <c r="H232" s="2" t="inlineStr">
        <is>
          <t>01.01.01 : Mensalidade</t>
        </is>
      </c>
      <c r="I232" s="3" t="n">
        <v>107.44</v>
      </c>
      <c r="J232" s="2" t="n"/>
      <c r="K232" s="2">
        <f>IF(H232="02.09 : Outras Saídas", IF(OR(ISNUMBER(SEARCH("CHEQUE COMPE SICREDI", F232)), ISNUMBER(SEARCH("aniversario", F232)), ISNUMBER(SEARCH("churrasco", F232)), ISNUMBER(SEARCH("bolo", F232)), ISNUMBER(SEARCH("SUPERMERCADO", F232))), "6.1 Despesas Administrativas (Pessoal)", IF(OR(ISNUMBER(SEARCH("DLKNET", F232)), ISNUMBER(SEARCH("TESTE", F232))), "6.1 Despesas Administrativas (Gerais)", IFERROR(VLOOKUP(H232, De_Para!A:B, 2, FALSE), "NÃO MAPEADO"))), IFERROR(VLOOKUP(H232, De_Para!A:B, 2, FALSE), "NÃO MAPEADO"))</f>
        <v/>
      </c>
    </row>
    <row r="233">
      <c r="A233" s="2" t="inlineStr">
        <is>
          <t>69466</t>
        </is>
      </c>
      <c r="B233" s="2" t="inlineStr">
        <is>
          <t>Sicoob</t>
        </is>
      </c>
      <c r="C233" s="2" t="inlineStr">
        <is>
          <t>25/06/2026</t>
        </is>
      </c>
      <c r="D233" s="2" t="inlineStr">
        <is>
          <t>25/06/2026</t>
        </is>
      </c>
      <c r="E233" s="2" t="inlineStr">
        <is>
          <t>Dinheiro</t>
        </is>
      </c>
      <c r="F233" s="2" t="inlineStr">
        <is>
          <t>Boleto "67598" do cliente "DENISE DA SILVA ROCHA"</t>
        </is>
      </c>
      <c r="G233" s="2" t="inlineStr">
        <is>
          <t>system</t>
        </is>
      </c>
      <c r="H233" s="2" t="inlineStr">
        <is>
          <t>02.03.02.01 : Cobrança Bancaria</t>
        </is>
      </c>
      <c r="I233" s="2" t="n"/>
      <c r="J233" s="3" t="n">
        <v>-0.88</v>
      </c>
      <c r="K233" s="2">
        <f>IF(H233="02.09 : Outras Saídas", IF(OR(ISNUMBER(SEARCH("CHEQUE COMPE SICREDI", F233)), ISNUMBER(SEARCH("aniversario", F233)), ISNUMBER(SEARCH("churrasco", F233)), ISNUMBER(SEARCH("bolo", F233)), ISNUMBER(SEARCH("SUPERMERCADO", F233))), "6.1 Despesas Administrativas (Pessoal)", IF(OR(ISNUMBER(SEARCH("DLKNET", F233)), ISNUMBER(SEARCH("TESTE", F233))), "6.1 Despesas Administrativas (Gerais)", IFERROR(VLOOKUP(H233, De_Para!A:B, 2, FALSE), "NÃO MAPEADO"))), IFERROR(VLOOKUP(H233, De_Para!A:B, 2, FALSE), "NÃO MAPEADO"))</f>
        <v/>
      </c>
    </row>
    <row r="234">
      <c r="A234" s="2" t="inlineStr">
        <is>
          <t>69465</t>
        </is>
      </c>
      <c r="B234" s="2" t="inlineStr">
        <is>
          <t>Sicoob</t>
        </is>
      </c>
      <c r="C234" s="2" t="inlineStr">
        <is>
          <t>25/06/2026</t>
        </is>
      </c>
      <c r="D234" s="2" t="inlineStr">
        <is>
          <t>25/06/2026</t>
        </is>
      </c>
      <c r="E234" s="2" t="inlineStr">
        <is>
          <t>Dinheiro</t>
        </is>
      </c>
      <c r="F234" s="2" t="inlineStr">
        <is>
          <t>Boleto "67598" do cliente "DENISE DA SILVA ROCHA"</t>
        </is>
      </c>
      <c r="G234" s="2" t="inlineStr">
        <is>
          <t>system</t>
        </is>
      </c>
      <c r="H234" s="2" t="inlineStr">
        <is>
          <t>01.01.01 : Mensalidade</t>
        </is>
      </c>
      <c r="I234" s="3" t="n">
        <v>107.16</v>
      </c>
      <c r="J234" s="2" t="n"/>
      <c r="K234" s="2">
        <f>IF(H234="02.09 : Outras Saídas", IF(OR(ISNUMBER(SEARCH("CHEQUE COMPE SICREDI", F234)), ISNUMBER(SEARCH("aniversario", F234)), ISNUMBER(SEARCH("churrasco", F234)), ISNUMBER(SEARCH("bolo", F234)), ISNUMBER(SEARCH("SUPERMERCADO", F234))), "6.1 Despesas Administrativas (Pessoal)", IF(OR(ISNUMBER(SEARCH("DLKNET", F234)), ISNUMBER(SEARCH("TESTE", F234))), "6.1 Despesas Administrativas (Gerais)", IFERROR(VLOOKUP(H234, De_Para!A:B, 2, FALSE), "NÃO MAPEADO"))), IFERROR(VLOOKUP(H234, De_Para!A:B, 2, FALSE), "NÃO MAPEADO"))</f>
        <v/>
      </c>
    </row>
    <row r="235">
      <c r="A235" s="2" t="inlineStr">
        <is>
          <t>69464</t>
        </is>
      </c>
      <c r="B235" s="2" t="inlineStr">
        <is>
          <t>Sicoob</t>
        </is>
      </c>
      <c r="C235" s="2" t="inlineStr">
        <is>
          <t>25/06/2026</t>
        </is>
      </c>
      <c r="D235" s="2" t="inlineStr">
        <is>
          <t>25/06/2026</t>
        </is>
      </c>
      <c r="E235" s="2" t="inlineStr">
        <is>
          <t>Dinheiro</t>
        </is>
      </c>
      <c r="F235" s="2" t="inlineStr">
        <is>
          <t>Boleto "67556" do cliente "SIRIA HENRIQUE PEREIRA ROSA"</t>
        </is>
      </c>
      <c r="G235" s="2" t="inlineStr">
        <is>
          <t>system</t>
        </is>
      </c>
      <c r="H235" s="2" t="inlineStr">
        <is>
          <t>02.03.02.01 : Cobrança Bancaria</t>
        </is>
      </c>
      <c r="I235" s="2" t="n"/>
      <c r="J235" s="3" t="n">
        <v>-0.88</v>
      </c>
      <c r="K235" s="2">
        <f>IF(H235="02.09 : Outras Saídas", IF(OR(ISNUMBER(SEARCH("CHEQUE COMPE SICREDI", F235)), ISNUMBER(SEARCH("aniversario", F235)), ISNUMBER(SEARCH("churrasco", F235)), ISNUMBER(SEARCH("bolo", F235)), ISNUMBER(SEARCH("SUPERMERCADO", F235))), "6.1 Despesas Administrativas (Pessoal)", IF(OR(ISNUMBER(SEARCH("DLKNET", F235)), ISNUMBER(SEARCH("TESTE", F235))), "6.1 Despesas Administrativas (Gerais)", IFERROR(VLOOKUP(H235, De_Para!A:B, 2, FALSE), "NÃO MAPEADO"))), IFERROR(VLOOKUP(H235, De_Para!A:B, 2, FALSE), "NÃO MAPEADO"))</f>
        <v/>
      </c>
    </row>
    <row r="236">
      <c r="A236" s="2" t="inlineStr">
        <is>
          <t>69463</t>
        </is>
      </c>
      <c r="B236" s="2" t="inlineStr">
        <is>
          <t>Sicoob</t>
        </is>
      </c>
      <c r="C236" s="2" t="inlineStr">
        <is>
          <t>25/06/2026</t>
        </is>
      </c>
      <c r="D236" s="2" t="inlineStr">
        <is>
          <t>25/06/2026</t>
        </is>
      </c>
      <c r="E236" s="2" t="inlineStr">
        <is>
          <t>Dinheiro</t>
        </is>
      </c>
      <c r="F236" s="2" t="inlineStr">
        <is>
          <t>Boleto "67556" do cliente "SIRIA HENRIQUE PEREIRA ROSA"</t>
        </is>
      </c>
      <c r="G236" s="2" t="inlineStr">
        <is>
          <t>system</t>
        </is>
      </c>
      <c r="H236" s="2" t="inlineStr">
        <is>
          <t>01.01.01 : Mensalidade</t>
        </is>
      </c>
      <c r="I236" s="3" t="n">
        <v>104.9</v>
      </c>
      <c r="J236" s="2" t="n"/>
      <c r="K236" s="2">
        <f>IF(H236="02.09 : Outras Saídas", IF(OR(ISNUMBER(SEARCH("CHEQUE COMPE SICREDI", F236)), ISNUMBER(SEARCH("aniversario", F236)), ISNUMBER(SEARCH("churrasco", F236)), ISNUMBER(SEARCH("bolo", F236)), ISNUMBER(SEARCH("SUPERMERCADO", F236))), "6.1 Despesas Administrativas (Pessoal)", IF(OR(ISNUMBER(SEARCH("DLKNET", F236)), ISNUMBER(SEARCH("TESTE", F236))), "6.1 Despesas Administrativas (Gerais)", IFERROR(VLOOKUP(H236, De_Para!A:B, 2, FALSE), "NÃO MAPEADO"))), IFERROR(VLOOKUP(H236, De_Para!A:B, 2, FALSE), "NÃO MAPEADO"))</f>
        <v/>
      </c>
    </row>
    <row r="237">
      <c r="A237" s="2" t="inlineStr">
        <is>
          <t>69462</t>
        </is>
      </c>
      <c r="B237" s="2" t="inlineStr">
        <is>
          <t>Sicoob</t>
        </is>
      </c>
      <c r="C237" s="2" t="inlineStr">
        <is>
          <t>25/06/2026</t>
        </is>
      </c>
      <c r="D237" s="2" t="inlineStr">
        <is>
          <t>25/06/2026</t>
        </is>
      </c>
      <c r="E237" s="2" t="inlineStr">
        <is>
          <t>Dinheiro</t>
        </is>
      </c>
      <c r="F237" s="2" t="inlineStr">
        <is>
          <t>Boleto "67536" do cliente "CLAUDIONOR ALBINO DO PRADO"</t>
        </is>
      </c>
      <c r="G237" s="2" t="inlineStr">
        <is>
          <t>system</t>
        </is>
      </c>
      <c r="H237" s="2" t="inlineStr">
        <is>
          <t>02.03.02.01 : Cobrança Bancaria</t>
        </is>
      </c>
      <c r="I237" s="2" t="n"/>
      <c r="J237" s="3" t="n">
        <v>-0.88</v>
      </c>
      <c r="K237" s="2">
        <f>IF(H237="02.09 : Outras Saídas", IF(OR(ISNUMBER(SEARCH("CHEQUE COMPE SICREDI", F237)), ISNUMBER(SEARCH("aniversario", F237)), ISNUMBER(SEARCH("churrasco", F237)), ISNUMBER(SEARCH("bolo", F237)), ISNUMBER(SEARCH("SUPERMERCADO", F237))), "6.1 Despesas Administrativas (Pessoal)", IF(OR(ISNUMBER(SEARCH("DLKNET", F237)), ISNUMBER(SEARCH("TESTE", F237))), "6.1 Despesas Administrativas (Gerais)", IFERROR(VLOOKUP(H237, De_Para!A:B, 2, FALSE), "NÃO MAPEADO"))), IFERROR(VLOOKUP(H237, De_Para!A:B, 2, FALSE), "NÃO MAPEADO"))</f>
        <v/>
      </c>
    </row>
    <row r="238">
      <c r="A238" s="2" t="inlineStr">
        <is>
          <t>69461</t>
        </is>
      </c>
      <c r="B238" s="2" t="inlineStr">
        <is>
          <t>Sicoob</t>
        </is>
      </c>
      <c r="C238" s="2" t="inlineStr">
        <is>
          <t>25/06/2026</t>
        </is>
      </c>
      <c r="D238" s="2" t="inlineStr">
        <is>
          <t>25/06/2026</t>
        </is>
      </c>
      <c r="E238" s="2" t="inlineStr">
        <is>
          <t>Dinheiro</t>
        </is>
      </c>
      <c r="F238" s="2" t="inlineStr">
        <is>
          <t>Boleto "67536" do cliente "CLAUDIONOR ALBINO DO PRADO"</t>
        </is>
      </c>
      <c r="G238" s="2" t="inlineStr">
        <is>
          <t>system</t>
        </is>
      </c>
      <c r="H238" s="2" t="inlineStr">
        <is>
          <t>01.01.01 : Mensalidade</t>
        </is>
      </c>
      <c r="I238" s="3" t="n">
        <v>104.9</v>
      </c>
      <c r="J238" s="2" t="n"/>
      <c r="K238" s="2">
        <f>IF(H238="02.09 : Outras Saídas", IF(OR(ISNUMBER(SEARCH("CHEQUE COMPE SICREDI", F238)), ISNUMBER(SEARCH("aniversario", F238)), ISNUMBER(SEARCH("churrasco", F238)), ISNUMBER(SEARCH("bolo", F238)), ISNUMBER(SEARCH("SUPERMERCADO", F238))), "6.1 Despesas Administrativas (Pessoal)", IF(OR(ISNUMBER(SEARCH("DLKNET", F238)), ISNUMBER(SEARCH("TESTE", F238))), "6.1 Despesas Administrativas (Gerais)", IFERROR(VLOOKUP(H238, De_Para!A:B, 2, FALSE), "NÃO MAPEADO"))), IFERROR(VLOOKUP(H238, De_Para!A:B, 2, FALSE), "NÃO MAPEADO"))</f>
        <v/>
      </c>
    </row>
    <row r="239">
      <c r="A239" s="2" t="inlineStr">
        <is>
          <t>69460</t>
        </is>
      </c>
      <c r="B239" s="2" t="inlineStr">
        <is>
          <t>Sicoob</t>
        </is>
      </c>
      <c r="C239" s="2" t="inlineStr">
        <is>
          <t>25/06/2026</t>
        </is>
      </c>
      <c r="D239" s="2" t="inlineStr">
        <is>
          <t>25/06/2026</t>
        </is>
      </c>
      <c r="E239" s="2" t="inlineStr">
        <is>
          <t>Dinheiro</t>
        </is>
      </c>
      <c r="F239" s="2" t="inlineStr">
        <is>
          <t>Boleto "67485" do cliente "VILASIO FRANCISCO DA SILVA"</t>
        </is>
      </c>
      <c r="G239" s="2" t="inlineStr">
        <is>
          <t>system</t>
        </is>
      </c>
      <c r="H239" s="2" t="inlineStr">
        <is>
          <t>02.03.02.01 : Cobrança Bancaria</t>
        </is>
      </c>
      <c r="I239" s="2" t="n"/>
      <c r="J239" s="3" t="n">
        <v>-0.88</v>
      </c>
      <c r="K239" s="2">
        <f>IF(H239="02.09 : Outras Saídas", IF(OR(ISNUMBER(SEARCH("CHEQUE COMPE SICREDI", F239)), ISNUMBER(SEARCH("aniversario", F239)), ISNUMBER(SEARCH("churrasco", F239)), ISNUMBER(SEARCH("bolo", F239)), ISNUMBER(SEARCH("SUPERMERCADO", F239))), "6.1 Despesas Administrativas (Pessoal)", IF(OR(ISNUMBER(SEARCH("DLKNET", F239)), ISNUMBER(SEARCH("TESTE", F239))), "6.1 Despesas Administrativas (Gerais)", IFERROR(VLOOKUP(H239, De_Para!A:B, 2, FALSE), "NÃO MAPEADO"))), IFERROR(VLOOKUP(H239, De_Para!A:B, 2, FALSE), "NÃO MAPEADO"))</f>
        <v/>
      </c>
    </row>
    <row r="240">
      <c r="A240" s="2" t="inlineStr">
        <is>
          <t>69459</t>
        </is>
      </c>
      <c r="B240" s="2" t="inlineStr">
        <is>
          <t>Sicoob</t>
        </is>
      </c>
      <c r="C240" s="2" t="inlineStr">
        <is>
          <t>25/06/2026</t>
        </is>
      </c>
      <c r="D240" s="2" t="inlineStr">
        <is>
          <t>25/06/2026</t>
        </is>
      </c>
      <c r="E240" s="2" t="inlineStr">
        <is>
          <t>Dinheiro</t>
        </is>
      </c>
      <c r="F240" s="2" t="inlineStr">
        <is>
          <t>Boleto "67485" do cliente "VILASIO FRANCISCO DA SILVA"</t>
        </is>
      </c>
      <c r="G240" s="2" t="inlineStr">
        <is>
          <t>system</t>
        </is>
      </c>
      <c r="H240" s="2" t="inlineStr">
        <is>
          <t>01.03.01 : Mensalidade</t>
        </is>
      </c>
      <c r="I240" s="3" t="n">
        <v>105</v>
      </c>
      <c r="J240" s="2" t="n"/>
      <c r="K240" s="2">
        <f>IF(H240="02.09 : Outras Saídas", IF(OR(ISNUMBER(SEARCH("CHEQUE COMPE SICREDI", F240)), ISNUMBER(SEARCH("aniversario", F240)), ISNUMBER(SEARCH("churrasco", F240)), ISNUMBER(SEARCH("bolo", F240)), ISNUMBER(SEARCH("SUPERMERCADO", F240))), "6.1 Despesas Administrativas (Pessoal)", IF(OR(ISNUMBER(SEARCH("DLKNET", F240)), ISNUMBER(SEARCH("TESTE", F240))), "6.1 Despesas Administrativas (Gerais)", IFERROR(VLOOKUP(H240, De_Para!A:B, 2, FALSE), "NÃO MAPEADO"))), IFERROR(VLOOKUP(H240, De_Para!A:B, 2, FALSE), "NÃO MAPEADO"))</f>
        <v/>
      </c>
    </row>
    <row r="241">
      <c r="A241" s="2" t="inlineStr">
        <is>
          <t>69458</t>
        </is>
      </c>
      <c r="B241" s="2" t="inlineStr">
        <is>
          <t>Sicoob</t>
        </is>
      </c>
      <c r="C241" s="2" t="inlineStr">
        <is>
          <t>25/06/2026</t>
        </is>
      </c>
      <c r="D241" s="2" t="inlineStr">
        <is>
          <t>25/06/2026</t>
        </is>
      </c>
      <c r="E241" s="2" t="inlineStr">
        <is>
          <t>Dinheiro</t>
        </is>
      </c>
      <c r="F241" s="2" t="inlineStr">
        <is>
          <t>Boleto "67388" do cliente "OTAVIO TECHUK CORCINI E SILVA"</t>
        </is>
      </c>
      <c r="G241" s="2" t="inlineStr">
        <is>
          <t>system</t>
        </is>
      </c>
      <c r="H241" s="2" t="inlineStr">
        <is>
          <t>02.03.02.01 : Cobrança Bancaria</t>
        </is>
      </c>
      <c r="I241" s="2" t="n"/>
      <c r="J241" s="3" t="n">
        <v>-0.88</v>
      </c>
      <c r="K241" s="2">
        <f>IF(H241="02.09 : Outras Saídas", IF(OR(ISNUMBER(SEARCH("CHEQUE COMPE SICREDI", F241)), ISNUMBER(SEARCH("aniversario", F241)), ISNUMBER(SEARCH("churrasco", F241)), ISNUMBER(SEARCH("bolo", F241)), ISNUMBER(SEARCH("SUPERMERCADO", F241))), "6.1 Despesas Administrativas (Pessoal)", IF(OR(ISNUMBER(SEARCH("DLKNET", F241)), ISNUMBER(SEARCH("TESTE", F241))), "6.1 Despesas Administrativas (Gerais)", IFERROR(VLOOKUP(H241, De_Para!A:B, 2, FALSE), "NÃO MAPEADO"))), IFERROR(VLOOKUP(H241, De_Para!A:B, 2, FALSE), "NÃO MAPEADO"))</f>
        <v/>
      </c>
    </row>
    <row r="242">
      <c r="A242" s="2" t="inlineStr">
        <is>
          <t>69457</t>
        </is>
      </c>
      <c r="B242" s="2" t="inlineStr">
        <is>
          <t>Sicoob</t>
        </is>
      </c>
      <c r="C242" s="2" t="inlineStr">
        <is>
          <t>25/06/2026</t>
        </is>
      </c>
      <c r="D242" s="2" t="inlineStr">
        <is>
          <t>25/06/2026</t>
        </is>
      </c>
      <c r="E242" s="2" t="inlineStr">
        <is>
          <t>Dinheiro</t>
        </is>
      </c>
      <c r="F242" s="2" t="inlineStr">
        <is>
          <t>Boleto "67388" do cliente "OTAVIO TECHUK CORCINI E SILVA"</t>
        </is>
      </c>
      <c r="G242" s="2" t="inlineStr">
        <is>
          <t>system</t>
        </is>
      </c>
      <c r="H242" s="2" t="inlineStr">
        <is>
          <t>01.03.01 : Mensalidade</t>
        </is>
      </c>
      <c r="I242" s="3" t="n">
        <v>107.27</v>
      </c>
      <c r="J242" s="2" t="n"/>
      <c r="K242" s="2">
        <f>IF(H242="02.09 : Outras Saídas", IF(OR(ISNUMBER(SEARCH("CHEQUE COMPE SICREDI", F242)), ISNUMBER(SEARCH("aniversario", F242)), ISNUMBER(SEARCH("churrasco", F242)), ISNUMBER(SEARCH("bolo", F242)), ISNUMBER(SEARCH("SUPERMERCADO", F242))), "6.1 Despesas Administrativas (Pessoal)", IF(OR(ISNUMBER(SEARCH("DLKNET", F242)), ISNUMBER(SEARCH("TESTE", F242))), "6.1 Despesas Administrativas (Gerais)", IFERROR(VLOOKUP(H242, De_Para!A:B, 2, FALSE), "NÃO MAPEADO"))), IFERROR(VLOOKUP(H242, De_Para!A:B, 2, FALSE), "NÃO MAPEADO"))</f>
        <v/>
      </c>
    </row>
    <row r="243">
      <c r="A243" s="2" t="inlineStr">
        <is>
          <t>69456</t>
        </is>
      </c>
      <c r="B243" s="2" t="inlineStr">
        <is>
          <t>Sicredi SNI</t>
        </is>
      </c>
      <c r="C243" s="2" t="inlineStr">
        <is>
          <t>25/06/2026</t>
        </is>
      </c>
      <c r="D243" s="2" t="inlineStr">
        <is>
          <t>25/06/2026</t>
        </is>
      </c>
      <c r="E243" s="2" t="inlineStr">
        <is>
          <t>PIX</t>
        </is>
      </c>
      <c r="F243" s="2" t="inlineStr">
        <is>
          <t>Boleto "67422" do cliente "JOSLEI FERREIRA"</t>
        </is>
      </c>
      <c r="G243" s="2" t="inlineStr">
        <is>
          <t>system</t>
        </is>
      </c>
      <c r="H243" s="2" t="inlineStr">
        <is>
          <t>02.03.02.01 : Cobrança Bancaria</t>
        </is>
      </c>
      <c r="I243" s="2" t="n"/>
      <c r="J243" s="3" t="n">
        <v>-0.49</v>
      </c>
      <c r="K243" s="2">
        <f>IF(H243="02.09 : Outras Saídas", IF(OR(ISNUMBER(SEARCH("CHEQUE COMPE SICREDI", F243)), ISNUMBER(SEARCH("aniversario", F243)), ISNUMBER(SEARCH("churrasco", F243)), ISNUMBER(SEARCH("bolo", F243)), ISNUMBER(SEARCH("SUPERMERCADO", F243))), "6.1 Despesas Administrativas (Pessoal)", IF(OR(ISNUMBER(SEARCH("DLKNET", F243)), ISNUMBER(SEARCH("TESTE", F243))), "6.1 Despesas Administrativas (Gerais)", IFERROR(VLOOKUP(H243, De_Para!A:B, 2, FALSE), "NÃO MAPEADO"))), IFERROR(VLOOKUP(H243, De_Para!A:B, 2, FALSE), "NÃO MAPEADO"))</f>
        <v/>
      </c>
    </row>
    <row r="244">
      <c r="A244" s="2" t="inlineStr">
        <is>
          <t>69455</t>
        </is>
      </c>
      <c r="B244" s="2" t="inlineStr">
        <is>
          <t>Sicredi SNI</t>
        </is>
      </c>
      <c r="C244" s="2" t="inlineStr">
        <is>
          <t>25/06/2026</t>
        </is>
      </c>
      <c r="D244" s="2" t="inlineStr">
        <is>
          <t>25/06/2026</t>
        </is>
      </c>
      <c r="E244" s="2" t="inlineStr">
        <is>
          <t>PIX</t>
        </is>
      </c>
      <c r="F244" s="2" t="inlineStr">
        <is>
          <t>Boleto "67422" do cliente "JOSLEI FERREIRA"</t>
        </is>
      </c>
      <c r="G244" s="2" t="inlineStr">
        <is>
          <t>system</t>
        </is>
      </c>
      <c r="H244" s="2" t="inlineStr">
        <is>
          <t>01.01.01 : Mensalidade</t>
        </is>
      </c>
      <c r="I244" s="3" t="n">
        <v>104.9</v>
      </c>
      <c r="J244" s="2" t="n"/>
      <c r="K244" s="2">
        <f>IF(H244="02.09 : Outras Saídas", IF(OR(ISNUMBER(SEARCH("CHEQUE COMPE SICREDI", F244)), ISNUMBER(SEARCH("aniversario", F244)), ISNUMBER(SEARCH("churrasco", F244)), ISNUMBER(SEARCH("bolo", F244)), ISNUMBER(SEARCH("SUPERMERCADO", F244))), "6.1 Despesas Administrativas (Pessoal)", IF(OR(ISNUMBER(SEARCH("DLKNET", F244)), ISNUMBER(SEARCH("TESTE", F244))), "6.1 Despesas Administrativas (Gerais)", IFERROR(VLOOKUP(H244, De_Para!A:B, 2, FALSE), "NÃO MAPEADO"))), IFERROR(VLOOKUP(H244, De_Para!A:B, 2, FALSE), "NÃO MAPEADO"))</f>
        <v/>
      </c>
    </row>
    <row r="245">
      <c r="A245" s="2" t="inlineStr">
        <is>
          <t>69454</t>
        </is>
      </c>
      <c r="B245" s="2" t="inlineStr">
        <is>
          <t>Sicredi SNI</t>
        </is>
      </c>
      <c r="C245" s="2" t="inlineStr">
        <is>
          <t>25/06/2026</t>
        </is>
      </c>
      <c r="D245" s="2" t="inlineStr">
        <is>
          <t>25/06/2026</t>
        </is>
      </c>
      <c r="E245" s="2" t="inlineStr">
        <is>
          <t>PIX</t>
        </is>
      </c>
      <c r="F245" s="2" t="inlineStr">
        <is>
          <t>Boleto "57736" do cliente "FABIO CESAR VELANI THIBES"</t>
        </is>
      </c>
      <c r="G245" s="2" t="inlineStr">
        <is>
          <t>system</t>
        </is>
      </c>
      <c r="H245" s="2" t="inlineStr">
        <is>
          <t>02.03.02.01 : Cobrança Bancaria</t>
        </is>
      </c>
      <c r="I245" s="2" t="n"/>
      <c r="J245" s="3" t="n">
        <v>-0.49</v>
      </c>
      <c r="K245" s="2">
        <f>IF(H245="02.09 : Outras Saídas", IF(OR(ISNUMBER(SEARCH("CHEQUE COMPE SICREDI", F245)), ISNUMBER(SEARCH("aniversario", F245)), ISNUMBER(SEARCH("churrasco", F245)), ISNUMBER(SEARCH("bolo", F245)), ISNUMBER(SEARCH("SUPERMERCADO", F245))), "6.1 Despesas Administrativas (Pessoal)", IF(OR(ISNUMBER(SEARCH("DLKNET", F245)), ISNUMBER(SEARCH("TESTE", F245))), "6.1 Despesas Administrativas (Gerais)", IFERROR(VLOOKUP(H245, De_Para!A:B, 2, FALSE), "NÃO MAPEADO"))), IFERROR(VLOOKUP(H245, De_Para!A:B, 2, FALSE), "NÃO MAPEADO"))</f>
        <v/>
      </c>
    </row>
    <row r="246">
      <c r="A246" s="2" t="inlineStr">
        <is>
          <t>69453</t>
        </is>
      </c>
      <c r="B246" s="2" t="inlineStr">
        <is>
          <t>Sicredi SNI</t>
        </is>
      </c>
      <c r="C246" s="2" t="inlineStr">
        <is>
          <t>25/06/2026</t>
        </is>
      </c>
      <c r="D246" s="2" t="inlineStr">
        <is>
          <t>25/06/2026</t>
        </is>
      </c>
      <c r="E246" s="2" t="inlineStr">
        <is>
          <t>PIX</t>
        </is>
      </c>
      <c r="F246" s="2" t="inlineStr">
        <is>
          <t>Boleto "57736" do cliente "FABIO CESAR VELANI THIBES"</t>
        </is>
      </c>
      <c r="G246" s="2" t="inlineStr">
        <is>
          <t>system</t>
        </is>
      </c>
      <c r="H246" s="2" t="inlineStr">
        <is>
          <t>01.01.01 : Mensalidade</t>
        </is>
      </c>
      <c r="I246" s="3" t="n">
        <v>105</v>
      </c>
      <c r="J246" s="2" t="n"/>
      <c r="K246" s="2">
        <f>IF(H246="02.09 : Outras Saídas", IF(OR(ISNUMBER(SEARCH("CHEQUE COMPE SICREDI", F246)), ISNUMBER(SEARCH("aniversario", F246)), ISNUMBER(SEARCH("churrasco", F246)), ISNUMBER(SEARCH("bolo", F246)), ISNUMBER(SEARCH("SUPERMERCADO", F246))), "6.1 Despesas Administrativas (Pessoal)", IF(OR(ISNUMBER(SEARCH("DLKNET", F246)), ISNUMBER(SEARCH("TESTE", F246))), "6.1 Despesas Administrativas (Gerais)", IFERROR(VLOOKUP(H246, De_Para!A:B, 2, FALSE), "NÃO MAPEADO"))), IFERROR(VLOOKUP(H246, De_Para!A:B, 2, FALSE), "NÃO MAPEADO"))</f>
        <v/>
      </c>
    </row>
    <row r="247">
      <c r="A247" s="2" t="inlineStr">
        <is>
          <t>69452</t>
        </is>
      </c>
      <c r="B247" s="2" t="inlineStr">
        <is>
          <t>Sicredi SNI</t>
        </is>
      </c>
      <c r="C247" s="2" t="inlineStr">
        <is>
          <t>25/06/2026</t>
        </is>
      </c>
      <c r="D247" s="2" t="inlineStr">
        <is>
          <t>25/06/2026</t>
        </is>
      </c>
      <c r="E247" s="2" t="inlineStr">
        <is>
          <t>PIX</t>
        </is>
      </c>
      <c r="F247" s="2" t="inlineStr">
        <is>
          <t>Boleto "60446" do cliente "JOSE LOPES DA SILVA"</t>
        </is>
      </c>
      <c r="G247" s="2" t="inlineStr">
        <is>
          <t>system</t>
        </is>
      </c>
      <c r="H247" s="2" t="inlineStr">
        <is>
          <t>02.03.02.01 : Cobrança Bancaria</t>
        </is>
      </c>
      <c r="I247" s="2" t="n"/>
      <c r="J247" s="3" t="n">
        <v>-0.49</v>
      </c>
      <c r="K247" s="2">
        <f>IF(H247="02.09 : Outras Saídas", IF(OR(ISNUMBER(SEARCH("CHEQUE COMPE SICREDI", F247)), ISNUMBER(SEARCH("aniversario", F247)), ISNUMBER(SEARCH("churrasco", F247)), ISNUMBER(SEARCH("bolo", F247)), ISNUMBER(SEARCH("SUPERMERCADO", F247))), "6.1 Despesas Administrativas (Pessoal)", IF(OR(ISNUMBER(SEARCH("DLKNET", F247)), ISNUMBER(SEARCH("TESTE", F247))), "6.1 Despesas Administrativas (Gerais)", IFERROR(VLOOKUP(H247, De_Para!A:B, 2, FALSE), "NÃO MAPEADO"))), IFERROR(VLOOKUP(H247, De_Para!A:B, 2, FALSE), "NÃO MAPEADO"))</f>
        <v/>
      </c>
    </row>
    <row r="248">
      <c r="A248" s="2" t="inlineStr">
        <is>
          <t>69451</t>
        </is>
      </c>
      <c r="B248" s="2" t="inlineStr">
        <is>
          <t>Sicredi SNI</t>
        </is>
      </c>
      <c r="C248" s="2" t="inlineStr">
        <is>
          <t>25/06/2026</t>
        </is>
      </c>
      <c r="D248" s="2" t="inlineStr">
        <is>
          <t>25/06/2026</t>
        </is>
      </c>
      <c r="E248" s="2" t="inlineStr">
        <is>
          <t>PIX</t>
        </is>
      </c>
      <c r="F248" s="2" t="inlineStr">
        <is>
          <t>Boleto "60446" do cliente "JOSE LOPES DA SILVA"</t>
        </is>
      </c>
      <c r="G248" s="2" t="inlineStr">
        <is>
          <t>system</t>
        </is>
      </c>
      <c r="H248" s="2" t="inlineStr">
        <is>
          <t>01.01.01 : Mensalidade</t>
        </is>
      </c>
      <c r="I248" s="3" t="n">
        <v>100</v>
      </c>
      <c r="J248" s="2" t="n"/>
      <c r="K248" s="2">
        <f>IF(H248="02.09 : Outras Saídas", IF(OR(ISNUMBER(SEARCH("CHEQUE COMPE SICREDI", F248)), ISNUMBER(SEARCH("aniversario", F248)), ISNUMBER(SEARCH("churrasco", F248)), ISNUMBER(SEARCH("bolo", F248)), ISNUMBER(SEARCH("SUPERMERCADO", F248))), "6.1 Despesas Administrativas (Pessoal)", IF(OR(ISNUMBER(SEARCH("DLKNET", F248)), ISNUMBER(SEARCH("TESTE", F248))), "6.1 Despesas Administrativas (Gerais)", IFERROR(VLOOKUP(H248, De_Para!A:B, 2, FALSE), "NÃO MAPEADO"))), IFERROR(VLOOKUP(H248, De_Para!A:B, 2, FALSE), "NÃO MAPEADO"))</f>
        <v/>
      </c>
    </row>
    <row r="249">
      <c r="A249" s="2" t="inlineStr">
        <is>
          <t>69450</t>
        </is>
      </c>
      <c r="B249" s="2" t="inlineStr">
        <is>
          <t>Sicredi SNI</t>
        </is>
      </c>
      <c r="C249" s="2" t="inlineStr">
        <is>
          <t>25/06/2026</t>
        </is>
      </c>
      <c r="D249" s="2" t="inlineStr">
        <is>
          <t>25/06/2026</t>
        </is>
      </c>
      <c r="E249" s="2" t="inlineStr">
        <is>
          <t>PIX</t>
        </is>
      </c>
      <c r="F249" s="2" t="inlineStr">
        <is>
          <t>Boleto "54846" do cliente "ANA ELIZE VILAS BOAS"</t>
        </is>
      </c>
      <c r="G249" s="2" t="inlineStr">
        <is>
          <t>system</t>
        </is>
      </c>
      <c r="H249" s="2" t="inlineStr">
        <is>
          <t>02.03.02.01 : Cobrança Bancaria</t>
        </is>
      </c>
      <c r="I249" s="2" t="n"/>
      <c r="J249" s="3" t="n">
        <v>-0.49</v>
      </c>
      <c r="K249" s="2">
        <f>IF(H249="02.09 : Outras Saídas", IF(OR(ISNUMBER(SEARCH("CHEQUE COMPE SICREDI", F249)), ISNUMBER(SEARCH("aniversario", F249)), ISNUMBER(SEARCH("churrasco", F249)), ISNUMBER(SEARCH("bolo", F249)), ISNUMBER(SEARCH("SUPERMERCADO", F249))), "6.1 Despesas Administrativas (Pessoal)", IF(OR(ISNUMBER(SEARCH("DLKNET", F249)), ISNUMBER(SEARCH("TESTE", F249))), "6.1 Despesas Administrativas (Gerais)", IFERROR(VLOOKUP(H249, De_Para!A:B, 2, FALSE), "NÃO MAPEADO"))), IFERROR(VLOOKUP(H249, De_Para!A:B, 2, FALSE), "NÃO MAPEADO"))</f>
        <v/>
      </c>
    </row>
    <row r="250">
      <c r="A250" s="2" t="inlineStr">
        <is>
          <t>69449</t>
        </is>
      </c>
      <c r="B250" s="2" t="inlineStr">
        <is>
          <t>Sicredi SNI</t>
        </is>
      </c>
      <c r="C250" s="2" t="inlineStr">
        <is>
          <t>25/06/2026</t>
        </is>
      </c>
      <c r="D250" s="2" t="inlineStr">
        <is>
          <t>25/06/2026</t>
        </is>
      </c>
      <c r="E250" s="2" t="inlineStr">
        <is>
          <t>PIX</t>
        </is>
      </c>
      <c r="F250" s="2" t="inlineStr">
        <is>
          <t>Boleto "54846" do cliente "ANA ELIZE VILAS BOAS"</t>
        </is>
      </c>
      <c r="G250" s="2" t="inlineStr">
        <is>
          <t>system</t>
        </is>
      </c>
      <c r="H250" s="2" t="inlineStr">
        <is>
          <t>01.01.01 : Mensalidade</t>
        </is>
      </c>
      <c r="I250" s="3" t="n">
        <v>107.27</v>
      </c>
      <c r="J250" s="2" t="n"/>
      <c r="K250" s="2">
        <f>IF(H250="02.09 : Outras Saídas", IF(OR(ISNUMBER(SEARCH("CHEQUE COMPE SICREDI", F250)), ISNUMBER(SEARCH("aniversario", F250)), ISNUMBER(SEARCH("churrasco", F250)), ISNUMBER(SEARCH("bolo", F250)), ISNUMBER(SEARCH("SUPERMERCADO", F250))), "6.1 Despesas Administrativas (Pessoal)", IF(OR(ISNUMBER(SEARCH("DLKNET", F250)), ISNUMBER(SEARCH("TESTE", F250))), "6.1 Despesas Administrativas (Gerais)", IFERROR(VLOOKUP(H250, De_Para!A:B, 2, FALSE), "NÃO MAPEADO"))), IFERROR(VLOOKUP(H250, De_Para!A:B, 2, FALSE), "NÃO MAPEADO"))</f>
        <v/>
      </c>
    </row>
    <row r="251">
      <c r="A251" s="2" t="inlineStr">
        <is>
          <t>69448</t>
        </is>
      </c>
      <c r="B251" s="2" t="inlineStr">
        <is>
          <t>Sicredi SNI</t>
        </is>
      </c>
      <c r="C251" s="2" t="inlineStr">
        <is>
          <t>25/06/2026</t>
        </is>
      </c>
      <c r="D251" s="2" t="inlineStr">
        <is>
          <t>25/06/2026</t>
        </is>
      </c>
      <c r="E251" s="2" t="inlineStr">
        <is>
          <t>Dinheiro</t>
        </is>
      </c>
      <c r="F251" s="2" t="inlineStr">
        <is>
          <t>Boleto "57086" do cliente "CARLOS ROBERTO SALES BARRETO"</t>
        </is>
      </c>
      <c r="G251" s="2" t="inlineStr">
        <is>
          <t>system</t>
        </is>
      </c>
      <c r="H251" s="2" t="inlineStr">
        <is>
          <t>02.03.02.01 : Cobrança Bancaria</t>
        </is>
      </c>
      <c r="I251" s="2" t="n"/>
      <c r="J251" s="3" t="n">
        <v>-1.08</v>
      </c>
      <c r="K251" s="2">
        <f>IF(H251="02.09 : Outras Saídas", IF(OR(ISNUMBER(SEARCH("CHEQUE COMPE SICREDI", F251)), ISNUMBER(SEARCH("aniversario", F251)), ISNUMBER(SEARCH("churrasco", F251)), ISNUMBER(SEARCH("bolo", F251)), ISNUMBER(SEARCH("SUPERMERCADO", F251))), "6.1 Despesas Administrativas (Pessoal)", IF(OR(ISNUMBER(SEARCH("DLKNET", F251)), ISNUMBER(SEARCH("TESTE", F251))), "6.1 Despesas Administrativas (Gerais)", IFERROR(VLOOKUP(H251, De_Para!A:B, 2, FALSE), "NÃO MAPEADO"))), IFERROR(VLOOKUP(H251, De_Para!A:B, 2, FALSE), "NÃO MAPEADO"))</f>
        <v/>
      </c>
    </row>
    <row r="252">
      <c r="A252" s="2" t="inlineStr">
        <is>
          <t>69447</t>
        </is>
      </c>
      <c r="B252" s="2" t="inlineStr">
        <is>
          <t>Sicredi SNI</t>
        </is>
      </c>
      <c r="C252" s="2" t="inlineStr">
        <is>
          <t>25/06/2026</t>
        </is>
      </c>
      <c r="D252" s="2" t="inlineStr">
        <is>
          <t>25/06/2026</t>
        </is>
      </c>
      <c r="E252" s="2" t="inlineStr">
        <is>
          <t>Dinheiro</t>
        </is>
      </c>
      <c r="F252" s="2" t="inlineStr">
        <is>
          <t>Boleto "57086" do cliente "CARLOS ROBERTO SALES BARRETO"</t>
        </is>
      </c>
      <c r="G252" s="2" t="inlineStr">
        <is>
          <t>system</t>
        </is>
      </c>
      <c r="H252" s="2" t="inlineStr">
        <is>
          <t>01.01.01 : Mensalidade</t>
        </is>
      </c>
      <c r="I252" s="3" t="n">
        <v>105</v>
      </c>
      <c r="J252" s="2" t="n"/>
      <c r="K252" s="2">
        <f>IF(H252="02.09 : Outras Saídas", IF(OR(ISNUMBER(SEARCH("CHEQUE COMPE SICREDI", F252)), ISNUMBER(SEARCH("aniversario", F252)), ISNUMBER(SEARCH("churrasco", F252)), ISNUMBER(SEARCH("bolo", F252)), ISNUMBER(SEARCH("SUPERMERCADO", F252))), "6.1 Despesas Administrativas (Pessoal)", IF(OR(ISNUMBER(SEARCH("DLKNET", F252)), ISNUMBER(SEARCH("TESTE", F252))), "6.1 Despesas Administrativas (Gerais)", IFERROR(VLOOKUP(H252, De_Para!A:B, 2, FALSE), "NÃO MAPEADO"))), IFERROR(VLOOKUP(H252, De_Para!A:B, 2, FALSE), "NÃO MAPEADO"))</f>
        <v/>
      </c>
    </row>
    <row r="253">
      <c r="A253" s="2" t="inlineStr">
        <is>
          <t>69446</t>
        </is>
      </c>
      <c r="B253" s="2" t="inlineStr">
        <is>
          <t>Sicoob</t>
        </is>
      </c>
      <c r="C253" s="2" t="inlineStr">
        <is>
          <t>25/06/2026</t>
        </is>
      </c>
      <c r="D253" s="2" t="inlineStr">
        <is>
          <t>25/06/2026</t>
        </is>
      </c>
      <c r="E253" s="2" t="inlineStr">
        <is>
          <t>Dinheiro</t>
        </is>
      </c>
      <c r="F253" s="2" t="inlineStr">
        <is>
          <t>Boleto "69587" do cliente "FRANCISCO XAVIER DE BRITO"</t>
        </is>
      </c>
      <c r="G253" s="2" t="inlineStr">
        <is>
          <t>system</t>
        </is>
      </c>
      <c r="H253" s="2" t="inlineStr">
        <is>
          <t>02.03.02.01 : Cobrança Bancaria</t>
        </is>
      </c>
      <c r="I253" s="2" t="n"/>
      <c r="J253" s="3" t="n">
        <v>-0.88</v>
      </c>
      <c r="K253" s="2">
        <f>IF(H253="02.09 : Outras Saídas", IF(OR(ISNUMBER(SEARCH("CHEQUE COMPE SICREDI", F253)), ISNUMBER(SEARCH("aniversario", F253)), ISNUMBER(SEARCH("churrasco", F253)), ISNUMBER(SEARCH("bolo", F253)), ISNUMBER(SEARCH("SUPERMERCADO", F253))), "6.1 Despesas Administrativas (Pessoal)", IF(OR(ISNUMBER(SEARCH("DLKNET", F253)), ISNUMBER(SEARCH("TESTE", F253))), "6.1 Despesas Administrativas (Gerais)", IFERROR(VLOOKUP(H253, De_Para!A:B, 2, FALSE), "NÃO MAPEADO"))), IFERROR(VLOOKUP(H253, De_Para!A:B, 2, FALSE), "NÃO MAPEADO"))</f>
        <v/>
      </c>
    </row>
    <row r="254">
      <c r="A254" s="2" t="inlineStr">
        <is>
          <t>69445</t>
        </is>
      </c>
      <c r="B254" s="2" t="inlineStr">
        <is>
          <t>Sicoob</t>
        </is>
      </c>
      <c r="C254" s="2" t="inlineStr">
        <is>
          <t>25/06/2026</t>
        </is>
      </c>
      <c r="D254" s="2" t="inlineStr">
        <is>
          <t>25/06/2026</t>
        </is>
      </c>
      <c r="E254" s="2" t="inlineStr">
        <is>
          <t>Dinheiro</t>
        </is>
      </c>
      <c r="F254" s="2" t="inlineStr">
        <is>
          <t>Boleto "69587" do cliente "FRANCISCO XAVIER DE BRITO"</t>
        </is>
      </c>
      <c r="G254" s="2" t="inlineStr">
        <is>
          <t>system</t>
        </is>
      </c>
      <c r="H254" s="2" t="inlineStr">
        <is>
          <t>01.01.01 : Mensalidade</t>
        </is>
      </c>
      <c r="I254" s="3" t="n">
        <v>80</v>
      </c>
      <c r="J254" s="2" t="n"/>
      <c r="K254" s="2">
        <f>IF(H254="02.09 : Outras Saídas", IF(OR(ISNUMBER(SEARCH("CHEQUE COMPE SICREDI", F254)), ISNUMBER(SEARCH("aniversario", F254)), ISNUMBER(SEARCH("churrasco", F254)), ISNUMBER(SEARCH("bolo", F254)), ISNUMBER(SEARCH("SUPERMERCADO", F254))), "6.1 Despesas Administrativas (Pessoal)", IF(OR(ISNUMBER(SEARCH("DLKNET", F254)), ISNUMBER(SEARCH("TESTE", F254))), "6.1 Despesas Administrativas (Gerais)", IFERROR(VLOOKUP(H254, De_Para!A:B, 2, FALSE), "NÃO MAPEADO"))), IFERROR(VLOOKUP(H254, De_Para!A:B, 2, FALSE), "NÃO MAPEADO"))</f>
        <v/>
      </c>
    </row>
    <row r="255">
      <c r="A255" s="2" t="inlineStr">
        <is>
          <t>69444</t>
        </is>
      </c>
      <c r="B255" s="2" t="inlineStr">
        <is>
          <t>Sicoob</t>
        </is>
      </c>
      <c r="C255" s="2" t="inlineStr">
        <is>
          <t>25/06/2026</t>
        </is>
      </c>
      <c r="D255" s="2" t="inlineStr">
        <is>
          <t>25/06/2026</t>
        </is>
      </c>
      <c r="E255" s="2" t="inlineStr">
        <is>
          <t>Dinheiro</t>
        </is>
      </c>
      <c r="F255" s="2" t="inlineStr">
        <is>
          <t>Boleto "67281" do cliente "ANDERSON DE CASTRO LIMA"</t>
        </is>
      </c>
      <c r="G255" s="2" t="inlineStr">
        <is>
          <t>system</t>
        </is>
      </c>
      <c r="H255" s="2" t="inlineStr">
        <is>
          <t>02.03.02.01 : Cobrança Bancaria</t>
        </is>
      </c>
      <c r="I255" s="2" t="n"/>
      <c r="J255" s="3" t="n">
        <v>-0.88</v>
      </c>
      <c r="K255" s="2">
        <f>IF(H255="02.09 : Outras Saídas", IF(OR(ISNUMBER(SEARCH("CHEQUE COMPE SICREDI", F255)), ISNUMBER(SEARCH("aniversario", F255)), ISNUMBER(SEARCH("churrasco", F255)), ISNUMBER(SEARCH("bolo", F255)), ISNUMBER(SEARCH("SUPERMERCADO", F255))), "6.1 Despesas Administrativas (Pessoal)", IF(OR(ISNUMBER(SEARCH("DLKNET", F255)), ISNUMBER(SEARCH("TESTE", F255))), "6.1 Despesas Administrativas (Gerais)", IFERROR(VLOOKUP(H255, De_Para!A:B, 2, FALSE), "NÃO MAPEADO"))), IFERROR(VLOOKUP(H255, De_Para!A:B, 2, FALSE), "NÃO MAPEADO"))</f>
        <v/>
      </c>
    </row>
    <row r="256">
      <c r="A256" s="2" t="inlineStr">
        <is>
          <t>69443</t>
        </is>
      </c>
      <c r="B256" s="2" t="inlineStr">
        <is>
          <t>Sicoob</t>
        </is>
      </c>
      <c r="C256" s="2" t="inlineStr">
        <is>
          <t>25/06/2026</t>
        </is>
      </c>
      <c r="D256" s="2" t="inlineStr">
        <is>
          <t>25/06/2026</t>
        </is>
      </c>
      <c r="E256" s="2" t="inlineStr">
        <is>
          <t>Dinheiro</t>
        </is>
      </c>
      <c r="F256" s="2" t="inlineStr">
        <is>
          <t>Boleto "67281" do cliente "ANDERSON DE CASTRO LIMA"</t>
        </is>
      </c>
      <c r="G256" s="2" t="inlineStr">
        <is>
          <t>system</t>
        </is>
      </c>
      <c r="H256" s="2" t="inlineStr">
        <is>
          <t>01.03.01 : Mensalidade</t>
        </is>
      </c>
      <c r="I256" s="3" t="n">
        <v>107.27</v>
      </c>
      <c r="J256" s="2" t="n"/>
      <c r="K256" s="2">
        <f>IF(H256="02.09 : Outras Saídas", IF(OR(ISNUMBER(SEARCH("CHEQUE COMPE SICREDI", F256)), ISNUMBER(SEARCH("aniversario", F256)), ISNUMBER(SEARCH("churrasco", F256)), ISNUMBER(SEARCH("bolo", F256)), ISNUMBER(SEARCH("SUPERMERCADO", F256))), "6.1 Despesas Administrativas (Pessoal)", IF(OR(ISNUMBER(SEARCH("DLKNET", F256)), ISNUMBER(SEARCH("TESTE", F256))), "6.1 Despesas Administrativas (Gerais)", IFERROR(VLOOKUP(H256, De_Para!A:B, 2, FALSE), "NÃO MAPEADO"))), IFERROR(VLOOKUP(H256, De_Para!A:B, 2, FALSE), "NÃO MAPEADO"))</f>
        <v/>
      </c>
    </row>
    <row r="257">
      <c r="A257" s="2" t="inlineStr">
        <is>
          <t>69442</t>
        </is>
      </c>
      <c r="B257" s="2" t="inlineStr">
        <is>
          <t>Sicredi SNI</t>
        </is>
      </c>
      <c r="C257" s="2" t="inlineStr">
        <is>
          <t>25/06/2026</t>
        </is>
      </c>
      <c r="D257" s="2" t="inlineStr">
        <is>
          <t>25/06/2026</t>
        </is>
      </c>
      <c r="E257" s="2" t="inlineStr">
        <is>
          <t>PIX</t>
        </is>
      </c>
      <c r="F257" s="2" t="inlineStr">
        <is>
          <t>Boleto "65399" do cliente "TEREZA ALVES PIRES"</t>
        </is>
      </c>
      <c r="G257" s="2" t="inlineStr">
        <is>
          <t>system</t>
        </is>
      </c>
      <c r="H257" s="2" t="inlineStr">
        <is>
          <t>02.03.02.01 : Cobrança Bancaria</t>
        </is>
      </c>
      <c r="I257" s="2" t="n"/>
      <c r="J257" s="3" t="n">
        <v>-0.49</v>
      </c>
      <c r="K257" s="2">
        <f>IF(H257="02.09 : Outras Saídas", IF(OR(ISNUMBER(SEARCH("CHEQUE COMPE SICREDI", F257)), ISNUMBER(SEARCH("aniversario", F257)), ISNUMBER(SEARCH("churrasco", F257)), ISNUMBER(SEARCH("bolo", F257)), ISNUMBER(SEARCH("SUPERMERCADO", F257))), "6.1 Despesas Administrativas (Pessoal)", IF(OR(ISNUMBER(SEARCH("DLKNET", F257)), ISNUMBER(SEARCH("TESTE", F257))), "6.1 Despesas Administrativas (Gerais)", IFERROR(VLOOKUP(H257, De_Para!A:B, 2, FALSE), "NÃO MAPEADO"))), IFERROR(VLOOKUP(H257, De_Para!A:B, 2, FALSE), "NÃO MAPEADO"))</f>
        <v/>
      </c>
    </row>
    <row r="258">
      <c r="A258" s="2" t="inlineStr">
        <is>
          <t>69441</t>
        </is>
      </c>
      <c r="B258" s="2" t="inlineStr">
        <is>
          <t>Sicredi SNI</t>
        </is>
      </c>
      <c r="C258" s="2" t="inlineStr">
        <is>
          <t>25/06/2026</t>
        </is>
      </c>
      <c r="D258" s="2" t="inlineStr">
        <is>
          <t>25/06/2026</t>
        </is>
      </c>
      <c r="E258" s="2" t="inlineStr">
        <is>
          <t>PIX</t>
        </is>
      </c>
      <c r="F258" s="2" t="inlineStr">
        <is>
          <t>Boleto "65399" do cliente "TEREZA ALVES PIRES"</t>
        </is>
      </c>
      <c r="G258" s="2" t="inlineStr">
        <is>
          <t>system</t>
        </is>
      </c>
      <c r="H258" s="2" t="inlineStr">
        <is>
          <t>01.01.01 : Mensalidade</t>
        </is>
      </c>
      <c r="I258" s="3" t="n">
        <v>102.07</v>
      </c>
      <c r="J258" s="2" t="n"/>
      <c r="K258" s="2">
        <f>IF(H258="02.09 : Outras Saídas", IF(OR(ISNUMBER(SEARCH("CHEQUE COMPE SICREDI", F258)), ISNUMBER(SEARCH("aniversario", F258)), ISNUMBER(SEARCH("churrasco", F258)), ISNUMBER(SEARCH("bolo", F258)), ISNUMBER(SEARCH("SUPERMERCADO", F258))), "6.1 Despesas Administrativas (Pessoal)", IF(OR(ISNUMBER(SEARCH("DLKNET", F258)), ISNUMBER(SEARCH("TESTE", F258))), "6.1 Despesas Administrativas (Gerais)", IFERROR(VLOOKUP(H258, De_Para!A:B, 2, FALSE), "NÃO MAPEADO"))), IFERROR(VLOOKUP(H258, De_Para!A:B, 2, FALSE), "NÃO MAPEADO"))</f>
        <v/>
      </c>
    </row>
    <row r="259">
      <c r="A259" s="2" t="inlineStr">
        <is>
          <t>69440</t>
        </is>
      </c>
      <c r="B259" s="2" t="inlineStr">
        <is>
          <t>Sicredi SNI</t>
        </is>
      </c>
      <c r="C259" s="2" t="inlineStr">
        <is>
          <t>25/06/2026</t>
        </is>
      </c>
      <c r="D259" s="2" t="inlineStr">
        <is>
          <t>25/06/2026</t>
        </is>
      </c>
      <c r="E259" s="2" t="inlineStr">
        <is>
          <t>PIX</t>
        </is>
      </c>
      <c r="F259" s="2" t="inlineStr">
        <is>
          <t>Boleto "63917" do cliente "ADRIANO DA SILVA"</t>
        </is>
      </c>
      <c r="G259" s="2" t="inlineStr">
        <is>
          <t>system</t>
        </is>
      </c>
      <c r="H259" s="2" t="inlineStr">
        <is>
          <t>02.03.02.01 : Cobrança Bancaria</t>
        </is>
      </c>
      <c r="I259" s="2" t="n"/>
      <c r="J259" s="3" t="n">
        <v>-0.49</v>
      </c>
      <c r="K259" s="2">
        <f>IF(H259="02.09 : Outras Saídas", IF(OR(ISNUMBER(SEARCH("CHEQUE COMPE SICREDI", F259)), ISNUMBER(SEARCH("aniversario", F259)), ISNUMBER(SEARCH("churrasco", F259)), ISNUMBER(SEARCH("bolo", F259)), ISNUMBER(SEARCH("SUPERMERCADO", F259))), "6.1 Despesas Administrativas (Pessoal)", IF(OR(ISNUMBER(SEARCH("DLKNET", F259)), ISNUMBER(SEARCH("TESTE", F259))), "6.1 Despesas Administrativas (Gerais)", IFERROR(VLOOKUP(H259, De_Para!A:B, 2, FALSE), "NÃO MAPEADO"))), IFERROR(VLOOKUP(H259, De_Para!A:B, 2, FALSE), "NÃO MAPEADO"))</f>
        <v/>
      </c>
    </row>
    <row r="260">
      <c r="A260" s="2" t="inlineStr">
        <is>
          <t>69439</t>
        </is>
      </c>
      <c r="B260" s="2" t="inlineStr">
        <is>
          <t>Sicredi SNI</t>
        </is>
      </c>
      <c r="C260" s="2" t="inlineStr">
        <is>
          <t>25/06/2026</t>
        </is>
      </c>
      <c r="D260" s="2" t="inlineStr">
        <is>
          <t>25/06/2026</t>
        </is>
      </c>
      <c r="E260" s="2" t="inlineStr">
        <is>
          <t>PIX</t>
        </is>
      </c>
      <c r="F260" s="2" t="inlineStr">
        <is>
          <t>Boleto "63917" do cliente "ADRIANO DA SILVA"</t>
        </is>
      </c>
      <c r="G260" s="2" t="inlineStr">
        <is>
          <t>system</t>
        </is>
      </c>
      <c r="H260" s="2" t="inlineStr">
        <is>
          <t>01.01.01 : Mensalidade</t>
        </is>
      </c>
      <c r="I260" s="3" t="n">
        <v>107.17</v>
      </c>
      <c r="J260" s="2" t="n"/>
      <c r="K260" s="2">
        <f>IF(H260="02.09 : Outras Saídas", IF(OR(ISNUMBER(SEARCH("CHEQUE COMPE SICREDI", F260)), ISNUMBER(SEARCH("aniversario", F260)), ISNUMBER(SEARCH("churrasco", F260)), ISNUMBER(SEARCH("bolo", F260)), ISNUMBER(SEARCH("SUPERMERCADO", F260))), "6.1 Despesas Administrativas (Pessoal)", IF(OR(ISNUMBER(SEARCH("DLKNET", F260)), ISNUMBER(SEARCH("TESTE", F260))), "6.1 Despesas Administrativas (Gerais)", IFERROR(VLOOKUP(H260, De_Para!A:B, 2, FALSE), "NÃO MAPEADO"))), IFERROR(VLOOKUP(H260, De_Para!A:B, 2, FALSE), "NÃO MAPEADO"))</f>
        <v/>
      </c>
    </row>
    <row r="261">
      <c r="A261" s="2" t="inlineStr">
        <is>
          <t>69438</t>
        </is>
      </c>
      <c r="B261" s="2" t="inlineStr">
        <is>
          <t>Sicredi SNI</t>
        </is>
      </c>
      <c r="C261" s="2" t="inlineStr">
        <is>
          <t>25/06/2026</t>
        </is>
      </c>
      <c r="D261" s="2" t="inlineStr">
        <is>
          <t>25/06/2026</t>
        </is>
      </c>
      <c r="E261" s="2" t="inlineStr">
        <is>
          <t>Dinheiro</t>
        </is>
      </c>
      <c r="F261" s="2" t="inlineStr">
        <is>
          <t>Boleto "67399" do cliente "ALYSSON DE CARVALHO"</t>
        </is>
      </c>
      <c r="G261" s="2" t="inlineStr">
        <is>
          <t>system</t>
        </is>
      </c>
      <c r="H261" s="2" t="inlineStr">
        <is>
          <t>02.03.02.01 : Cobrança Bancaria</t>
        </is>
      </c>
      <c r="I261" s="2" t="n"/>
      <c r="J261" s="3" t="n">
        <v>-1.08</v>
      </c>
      <c r="K261" s="2">
        <f>IF(H261="02.09 : Outras Saídas", IF(OR(ISNUMBER(SEARCH("CHEQUE COMPE SICREDI", F261)), ISNUMBER(SEARCH("aniversario", F261)), ISNUMBER(SEARCH("churrasco", F261)), ISNUMBER(SEARCH("bolo", F261)), ISNUMBER(SEARCH("SUPERMERCADO", F261))), "6.1 Despesas Administrativas (Pessoal)", IF(OR(ISNUMBER(SEARCH("DLKNET", F261)), ISNUMBER(SEARCH("TESTE", F261))), "6.1 Despesas Administrativas (Gerais)", IFERROR(VLOOKUP(H261, De_Para!A:B, 2, FALSE), "NÃO MAPEADO"))), IFERROR(VLOOKUP(H261, De_Para!A:B, 2, FALSE), "NÃO MAPEADO"))</f>
        <v/>
      </c>
    </row>
    <row r="262">
      <c r="A262" s="2" t="inlineStr">
        <is>
          <t>69437</t>
        </is>
      </c>
      <c r="B262" s="2" t="inlineStr">
        <is>
          <t>Sicredi SNI</t>
        </is>
      </c>
      <c r="C262" s="2" t="inlineStr">
        <is>
          <t>25/06/2026</t>
        </is>
      </c>
      <c r="D262" s="2" t="inlineStr">
        <is>
          <t>25/06/2026</t>
        </is>
      </c>
      <c r="E262" s="2" t="inlineStr">
        <is>
          <t>Dinheiro</t>
        </is>
      </c>
      <c r="F262" s="2" t="inlineStr">
        <is>
          <t>Boleto "67399" do cliente "ALYSSON DE CARVALHO"</t>
        </is>
      </c>
      <c r="G262" s="2" t="inlineStr">
        <is>
          <t>system</t>
        </is>
      </c>
      <c r="H262" s="2" t="inlineStr">
        <is>
          <t>01.01.01 : Mensalidade</t>
        </is>
      </c>
      <c r="I262" s="3" t="n">
        <v>104.9</v>
      </c>
      <c r="J262" s="2" t="n"/>
      <c r="K262" s="2">
        <f>IF(H262="02.09 : Outras Saídas", IF(OR(ISNUMBER(SEARCH("CHEQUE COMPE SICREDI", F262)), ISNUMBER(SEARCH("aniversario", F262)), ISNUMBER(SEARCH("churrasco", F262)), ISNUMBER(SEARCH("bolo", F262)), ISNUMBER(SEARCH("SUPERMERCADO", F262))), "6.1 Despesas Administrativas (Pessoal)", IF(OR(ISNUMBER(SEARCH("DLKNET", F262)), ISNUMBER(SEARCH("TESTE", F262))), "6.1 Despesas Administrativas (Gerais)", IFERROR(VLOOKUP(H262, De_Para!A:B, 2, FALSE), "NÃO MAPEADO"))), IFERROR(VLOOKUP(H262, De_Para!A:B, 2, FALSE), "NÃO MAPEADO"))</f>
        <v/>
      </c>
    </row>
    <row r="263">
      <c r="A263" s="2" t="inlineStr">
        <is>
          <t>69436</t>
        </is>
      </c>
      <c r="B263" s="2" t="inlineStr">
        <is>
          <t>Sicoob</t>
        </is>
      </c>
      <c r="C263" s="2" t="inlineStr">
        <is>
          <t>25/06/2026</t>
        </is>
      </c>
      <c r="D263" s="2" t="inlineStr">
        <is>
          <t>24/06/2026</t>
        </is>
      </c>
      <c r="E263" s="2" t="inlineStr">
        <is>
          <t>Dinheiro</t>
        </is>
      </c>
      <c r="F263" s="2" t="inlineStr">
        <is>
          <t>Boleto "54747" do cliente "LEANDRO JOSE DA CUNHA"</t>
        </is>
      </c>
      <c r="G263" s="2" t="inlineStr">
        <is>
          <t>system</t>
        </is>
      </c>
      <c r="H263" s="2" t="inlineStr">
        <is>
          <t>02.03.02.01 : Cobrança Bancaria</t>
        </is>
      </c>
      <c r="I263" s="2" t="n"/>
      <c r="J263" s="3" t="n">
        <v>-0.3</v>
      </c>
      <c r="K263" s="2">
        <f>IF(H263="02.09 : Outras Saídas", IF(OR(ISNUMBER(SEARCH("CHEQUE COMPE SICREDI", F263)), ISNUMBER(SEARCH("aniversario", F263)), ISNUMBER(SEARCH("churrasco", F263)), ISNUMBER(SEARCH("bolo", F263)), ISNUMBER(SEARCH("SUPERMERCADO", F263))), "6.1 Despesas Administrativas (Pessoal)", IF(OR(ISNUMBER(SEARCH("DLKNET", F263)), ISNUMBER(SEARCH("TESTE", F263))), "6.1 Despesas Administrativas (Gerais)", IFERROR(VLOOKUP(H263, De_Para!A:B, 2, FALSE), "NÃO MAPEADO"))), IFERROR(VLOOKUP(H263, De_Para!A:B, 2, FALSE), "NÃO MAPEADO"))</f>
        <v/>
      </c>
    </row>
    <row r="264">
      <c r="A264" s="2" t="inlineStr">
        <is>
          <t>69435</t>
        </is>
      </c>
      <c r="B264" s="2" t="inlineStr">
        <is>
          <t>Sicoob</t>
        </is>
      </c>
      <c r="C264" s="2" t="inlineStr">
        <is>
          <t>25/06/2026</t>
        </is>
      </c>
      <c r="D264" s="2" t="inlineStr">
        <is>
          <t>24/06/2026</t>
        </is>
      </c>
      <c r="E264" s="2" t="inlineStr">
        <is>
          <t>Dinheiro</t>
        </is>
      </c>
      <c r="F264" s="2" t="inlineStr">
        <is>
          <t>Boleto "54747" do cliente "LEANDRO JOSE DA CUNHA"</t>
        </is>
      </c>
      <c r="G264" s="2" t="inlineStr">
        <is>
          <t>system</t>
        </is>
      </c>
      <c r="H264" s="2" t="inlineStr">
        <is>
          <t>01.01.01 : Mensalidade</t>
        </is>
      </c>
      <c r="I264" s="3" t="n">
        <v>105</v>
      </c>
      <c r="J264" s="2" t="n"/>
      <c r="K264" s="2">
        <f>IF(H264="02.09 : Outras Saídas", IF(OR(ISNUMBER(SEARCH("CHEQUE COMPE SICREDI", F264)), ISNUMBER(SEARCH("aniversario", F264)), ISNUMBER(SEARCH("churrasco", F264)), ISNUMBER(SEARCH("bolo", F264)), ISNUMBER(SEARCH("SUPERMERCADO", F264))), "6.1 Despesas Administrativas (Pessoal)", IF(OR(ISNUMBER(SEARCH("DLKNET", F264)), ISNUMBER(SEARCH("TESTE", F264))), "6.1 Despesas Administrativas (Gerais)", IFERROR(VLOOKUP(H264, De_Para!A:B, 2, FALSE), "NÃO MAPEADO"))), IFERROR(VLOOKUP(H264, De_Para!A:B, 2, FALSE), "NÃO MAPEADO"))</f>
        <v/>
      </c>
    </row>
    <row r="265">
      <c r="A265" s="2" t="inlineStr">
        <is>
          <t>69434</t>
        </is>
      </c>
      <c r="B265" s="2" t="inlineStr">
        <is>
          <t>Sicoob</t>
        </is>
      </c>
      <c r="C265" s="2" t="inlineStr">
        <is>
          <t>25/06/2026</t>
        </is>
      </c>
      <c r="D265" s="2" t="inlineStr">
        <is>
          <t>24/06/2026</t>
        </is>
      </c>
      <c r="E265" s="2" t="inlineStr">
        <is>
          <t>Dinheiro</t>
        </is>
      </c>
      <c r="F265" s="2" t="inlineStr">
        <is>
          <t>Boleto "54441" do cliente "GILMAR MARCIANO DE FREITAS"</t>
        </is>
      </c>
      <c r="G265" s="2" t="inlineStr">
        <is>
          <t>system</t>
        </is>
      </c>
      <c r="H265" s="2" t="inlineStr">
        <is>
          <t>02.03.02.01 : Cobrança Bancaria</t>
        </is>
      </c>
      <c r="I265" s="2" t="n"/>
      <c r="J265" s="3" t="n">
        <v>-0.3</v>
      </c>
      <c r="K265" s="2">
        <f>IF(H265="02.09 : Outras Saídas", IF(OR(ISNUMBER(SEARCH("CHEQUE COMPE SICREDI", F265)), ISNUMBER(SEARCH("aniversario", F265)), ISNUMBER(SEARCH("churrasco", F265)), ISNUMBER(SEARCH("bolo", F265)), ISNUMBER(SEARCH("SUPERMERCADO", F265))), "6.1 Despesas Administrativas (Pessoal)", IF(OR(ISNUMBER(SEARCH("DLKNET", F265)), ISNUMBER(SEARCH("TESTE", F265))), "6.1 Despesas Administrativas (Gerais)", IFERROR(VLOOKUP(H265, De_Para!A:B, 2, FALSE), "NÃO MAPEADO"))), IFERROR(VLOOKUP(H265, De_Para!A:B, 2, FALSE), "NÃO MAPEADO"))</f>
        <v/>
      </c>
    </row>
    <row r="266">
      <c r="A266" s="2" t="inlineStr">
        <is>
          <t>69433</t>
        </is>
      </c>
      <c r="B266" s="2" t="inlineStr">
        <is>
          <t>Sicoob</t>
        </is>
      </c>
      <c r="C266" s="2" t="inlineStr">
        <is>
          <t>25/06/2026</t>
        </is>
      </c>
      <c r="D266" s="2" t="inlineStr">
        <is>
          <t>24/06/2026</t>
        </is>
      </c>
      <c r="E266" s="2" t="inlineStr">
        <is>
          <t>Dinheiro</t>
        </is>
      </c>
      <c r="F266" s="2" t="inlineStr">
        <is>
          <t>Boleto "54441" do cliente "GILMAR MARCIANO DE FREITAS"</t>
        </is>
      </c>
      <c r="G266" s="2" t="inlineStr">
        <is>
          <t>system</t>
        </is>
      </c>
      <c r="H266" s="2" t="inlineStr">
        <is>
          <t>01.01.01 : Mensalidade</t>
        </is>
      </c>
      <c r="I266" s="3" t="n">
        <v>112.34</v>
      </c>
      <c r="J266" s="2" t="n"/>
      <c r="K266" s="2">
        <f>IF(H266="02.09 : Outras Saídas", IF(OR(ISNUMBER(SEARCH("CHEQUE COMPE SICREDI", F266)), ISNUMBER(SEARCH("aniversario", F266)), ISNUMBER(SEARCH("churrasco", F266)), ISNUMBER(SEARCH("bolo", F266)), ISNUMBER(SEARCH("SUPERMERCADO", F266))), "6.1 Despesas Administrativas (Pessoal)", IF(OR(ISNUMBER(SEARCH("DLKNET", F266)), ISNUMBER(SEARCH("TESTE", F266))), "6.1 Despesas Administrativas (Gerais)", IFERROR(VLOOKUP(H266, De_Para!A:B, 2, FALSE), "NÃO MAPEADO"))), IFERROR(VLOOKUP(H266, De_Para!A:B, 2, FALSE), "NÃO MAPEADO"))</f>
        <v/>
      </c>
    </row>
    <row r="267">
      <c r="A267" s="2" t="inlineStr">
        <is>
          <t>69432</t>
        </is>
      </c>
      <c r="B267" s="2" t="inlineStr">
        <is>
          <t>Sicredi SNI</t>
        </is>
      </c>
      <c r="C267" s="2" t="inlineStr">
        <is>
          <t>25/06/2026</t>
        </is>
      </c>
      <c r="D267" s="2" t="inlineStr">
        <is>
          <t>24/06/2026</t>
        </is>
      </c>
      <c r="E267" s="2" t="inlineStr">
        <is>
          <t>PIX</t>
        </is>
      </c>
      <c r="F267" s="2" t="inlineStr">
        <is>
          <t>Boleto "63570" do cliente "SUELI TOLEDO PIZA"</t>
        </is>
      </c>
      <c r="G267" s="2" t="inlineStr">
        <is>
          <t>system</t>
        </is>
      </c>
      <c r="H267" s="2" t="inlineStr">
        <is>
          <t>02.03.02.01 : Cobrança Bancaria</t>
        </is>
      </c>
      <c r="I267" s="2" t="n"/>
      <c r="J267" s="3" t="n">
        <v>-0.49</v>
      </c>
      <c r="K267" s="2">
        <f>IF(H267="02.09 : Outras Saídas", IF(OR(ISNUMBER(SEARCH("CHEQUE COMPE SICREDI", F267)), ISNUMBER(SEARCH("aniversario", F267)), ISNUMBER(SEARCH("churrasco", F267)), ISNUMBER(SEARCH("bolo", F267)), ISNUMBER(SEARCH("SUPERMERCADO", F267))), "6.1 Despesas Administrativas (Pessoal)", IF(OR(ISNUMBER(SEARCH("DLKNET", F267)), ISNUMBER(SEARCH("TESTE", F267))), "6.1 Despesas Administrativas (Gerais)", IFERROR(VLOOKUP(H267, De_Para!A:B, 2, FALSE), "NÃO MAPEADO"))), IFERROR(VLOOKUP(H267, De_Para!A:B, 2, FALSE), "NÃO MAPEADO"))</f>
        <v/>
      </c>
    </row>
    <row r="268">
      <c r="A268" s="2" t="inlineStr">
        <is>
          <t>69431</t>
        </is>
      </c>
      <c r="B268" s="2" t="inlineStr">
        <is>
          <t>Sicredi SNI</t>
        </is>
      </c>
      <c r="C268" s="2" t="inlineStr">
        <is>
          <t>25/06/2026</t>
        </is>
      </c>
      <c r="D268" s="2" t="inlineStr">
        <is>
          <t>24/06/2026</t>
        </is>
      </c>
      <c r="E268" s="2" t="inlineStr">
        <is>
          <t>PIX</t>
        </is>
      </c>
      <c r="F268" s="2" t="inlineStr">
        <is>
          <t>Boleto "63570" do cliente "SUELI TOLEDO PIZA"</t>
        </is>
      </c>
      <c r="G268" s="2" t="inlineStr">
        <is>
          <t>system</t>
        </is>
      </c>
      <c r="H268" s="2" t="inlineStr">
        <is>
          <t>01.01.01 : Mensalidade</t>
        </is>
      </c>
      <c r="I268" s="3" t="n">
        <v>104.9</v>
      </c>
      <c r="J268" s="2" t="n"/>
      <c r="K268" s="2">
        <f>IF(H268="02.09 : Outras Saídas", IF(OR(ISNUMBER(SEARCH("CHEQUE COMPE SICREDI", F268)), ISNUMBER(SEARCH("aniversario", F268)), ISNUMBER(SEARCH("churrasco", F268)), ISNUMBER(SEARCH("bolo", F268)), ISNUMBER(SEARCH("SUPERMERCADO", F268))), "6.1 Despesas Administrativas (Pessoal)", IF(OR(ISNUMBER(SEARCH("DLKNET", F268)), ISNUMBER(SEARCH("TESTE", F268))), "6.1 Despesas Administrativas (Gerais)", IFERROR(VLOOKUP(H268, De_Para!A:B, 2, FALSE), "NÃO MAPEADO"))), IFERROR(VLOOKUP(H268, De_Para!A:B, 2, FALSE), "NÃO MAPEADO"))</f>
        <v/>
      </c>
    </row>
    <row r="269">
      <c r="A269" s="2" t="inlineStr">
        <is>
          <t>69430</t>
        </is>
      </c>
      <c r="B269" s="2" t="inlineStr">
        <is>
          <t>Sicredi SNI</t>
        </is>
      </c>
      <c r="C269" s="2" t="inlineStr">
        <is>
          <t>24/06/2026</t>
        </is>
      </c>
      <c r="D269" s="2" t="inlineStr">
        <is>
          <t>24/06/2026</t>
        </is>
      </c>
      <c r="E269" s="2" t="inlineStr">
        <is>
          <t>PIX</t>
        </is>
      </c>
      <c r="F269" s="2" t="inlineStr">
        <is>
          <t>Boleto "54158" do cliente "REGIANA RODRIGUES DE SOUZA"</t>
        </is>
      </c>
      <c r="G269" s="2" t="inlineStr">
        <is>
          <t>system</t>
        </is>
      </c>
      <c r="H269" s="2" t="inlineStr">
        <is>
          <t>02.03.02.01 : Cobrança Bancaria</t>
        </is>
      </c>
      <c r="I269" s="2" t="n"/>
      <c r="J269" s="3" t="n">
        <v>-0.49</v>
      </c>
      <c r="K269" s="2">
        <f>IF(H269="02.09 : Outras Saídas", IF(OR(ISNUMBER(SEARCH("CHEQUE COMPE SICREDI", F269)), ISNUMBER(SEARCH("aniversario", F269)), ISNUMBER(SEARCH("churrasco", F269)), ISNUMBER(SEARCH("bolo", F269)), ISNUMBER(SEARCH("SUPERMERCADO", F269))), "6.1 Despesas Administrativas (Pessoal)", IF(OR(ISNUMBER(SEARCH("DLKNET", F269)), ISNUMBER(SEARCH("TESTE", F269))), "6.1 Despesas Administrativas (Gerais)", IFERROR(VLOOKUP(H269, De_Para!A:B, 2, FALSE), "NÃO MAPEADO"))), IFERROR(VLOOKUP(H269, De_Para!A:B, 2, FALSE), "NÃO MAPEADO"))</f>
        <v/>
      </c>
    </row>
    <row r="270">
      <c r="A270" s="2" t="inlineStr">
        <is>
          <t>69429</t>
        </is>
      </c>
      <c r="B270" s="2" t="inlineStr">
        <is>
          <t>Sicredi SNI</t>
        </is>
      </c>
      <c r="C270" s="2" t="inlineStr">
        <is>
          <t>24/06/2026</t>
        </is>
      </c>
      <c r="D270" s="2" t="inlineStr">
        <is>
          <t>24/06/2026</t>
        </is>
      </c>
      <c r="E270" s="2" t="inlineStr">
        <is>
          <t>PIX</t>
        </is>
      </c>
      <c r="F270" s="2" t="inlineStr">
        <is>
          <t>Boleto "54158" do cliente "REGIANA RODRIGUES DE SOUZA"</t>
        </is>
      </c>
      <c r="G270" s="2" t="inlineStr">
        <is>
          <t>system</t>
        </is>
      </c>
      <c r="H270" s="2" t="inlineStr">
        <is>
          <t>01.01.01 : Mensalidade</t>
        </is>
      </c>
      <c r="I270" s="3" t="n">
        <v>107.24</v>
      </c>
      <c r="J270" s="2" t="n"/>
      <c r="K270" s="2">
        <f>IF(H270="02.09 : Outras Saídas", IF(OR(ISNUMBER(SEARCH("CHEQUE COMPE SICREDI", F270)), ISNUMBER(SEARCH("aniversario", F270)), ISNUMBER(SEARCH("churrasco", F270)), ISNUMBER(SEARCH("bolo", F270)), ISNUMBER(SEARCH("SUPERMERCADO", F270))), "6.1 Despesas Administrativas (Pessoal)", IF(OR(ISNUMBER(SEARCH("DLKNET", F270)), ISNUMBER(SEARCH("TESTE", F270))), "6.1 Despesas Administrativas (Gerais)", IFERROR(VLOOKUP(H270, De_Para!A:B, 2, FALSE), "NÃO MAPEADO"))), IFERROR(VLOOKUP(H270, De_Para!A:B, 2, FALSE), "NÃO MAPEADO"))</f>
        <v/>
      </c>
    </row>
    <row r="271">
      <c r="A271" s="2" t="inlineStr">
        <is>
          <t>69428</t>
        </is>
      </c>
      <c r="B271" s="2" t="inlineStr">
        <is>
          <t>Sicoob</t>
        </is>
      </c>
      <c r="C271" s="2" t="inlineStr">
        <is>
          <t>24/06/2026</t>
        </is>
      </c>
      <c r="D271" s="2" t="inlineStr">
        <is>
          <t>24/06/2026</t>
        </is>
      </c>
      <c r="E271" s="2" t="inlineStr">
        <is>
          <t>Dinheiro</t>
        </is>
      </c>
      <c r="F271" s="2" t="inlineStr">
        <is>
          <t>Boleto "65894" do cliente "JOSE CLARO DA LUZ"</t>
        </is>
      </c>
      <c r="G271" s="2" t="inlineStr">
        <is>
          <t>system</t>
        </is>
      </c>
      <c r="H271" s="2" t="inlineStr">
        <is>
          <t>02.03.02.01 : Cobrança Bancaria</t>
        </is>
      </c>
      <c r="I271" s="2" t="n"/>
      <c r="J271" s="3" t="n">
        <v>-0.88</v>
      </c>
      <c r="K271" s="2">
        <f>IF(H271="02.09 : Outras Saídas", IF(OR(ISNUMBER(SEARCH("CHEQUE COMPE SICREDI", F271)), ISNUMBER(SEARCH("aniversario", F271)), ISNUMBER(SEARCH("churrasco", F271)), ISNUMBER(SEARCH("bolo", F271)), ISNUMBER(SEARCH("SUPERMERCADO", F271))), "6.1 Despesas Administrativas (Pessoal)", IF(OR(ISNUMBER(SEARCH("DLKNET", F271)), ISNUMBER(SEARCH("TESTE", F271))), "6.1 Despesas Administrativas (Gerais)", IFERROR(VLOOKUP(H271, De_Para!A:B, 2, FALSE), "NÃO MAPEADO"))), IFERROR(VLOOKUP(H271, De_Para!A:B, 2, FALSE), "NÃO MAPEADO"))</f>
        <v/>
      </c>
    </row>
    <row r="272">
      <c r="A272" s="2" t="inlineStr">
        <is>
          <t>69427</t>
        </is>
      </c>
      <c r="B272" s="2" t="inlineStr">
        <is>
          <t>Sicoob</t>
        </is>
      </c>
      <c r="C272" s="2" t="inlineStr">
        <is>
          <t>24/06/2026</t>
        </is>
      </c>
      <c r="D272" s="2" t="inlineStr">
        <is>
          <t>24/06/2026</t>
        </is>
      </c>
      <c r="E272" s="2" t="inlineStr">
        <is>
          <t>Dinheiro</t>
        </is>
      </c>
      <c r="F272" s="2" t="inlineStr">
        <is>
          <t>Boleto "65894" do cliente "JOSE CLARO DA LUZ"</t>
        </is>
      </c>
      <c r="G272" s="2" t="inlineStr">
        <is>
          <t>system</t>
        </is>
      </c>
      <c r="H272" s="2" t="inlineStr">
        <is>
          <t>01.01.01 : Mensalidade</t>
        </is>
      </c>
      <c r="I272" s="3" t="n">
        <v>107.3</v>
      </c>
      <c r="J272" s="2" t="n"/>
      <c r="K272" s="2">
        <f>IF(H272="02.09 : Outras Saídas", IF(OR(ISNUMBER(SEARCH("CHEQUE COMPE SICREDI", F272)), ISNUMBER(SEARCH("aniversario", F272)), ISNUMBER(SEARCH("churrasco", F272)), ISNUMBER(SEARCH("bolo", F272)), ISNUMBER(SEARCH("SUPERMERCADO", F272))), "6.1 Despesas Administrativas (Pessoal)", IF(OR(ISNUMBER(SEARCH("DLKNET", F272)), ISNUMBER(SEARCH("TESTE", F272))), "6.1 Despesas Administrativas (Gerais)", IFERROR(VLOOKUP(H272, De_Para!A:B, 2, FALSE), "NÃO MAPEADO"))), IFERROR(VLOOKUP(H272, De_Para!A:B, 2, FALSE), "NÃO MAPEADO"))</f>
        <v/>
      </c>
    </row>
    <row r="273">
      <c r="A273" s="2" t="inlineStr">
        <is>
          <t>69426</t>
        </is>
      </c>
      <c r="B273" s="2" t="inlineStr">
        <is>
          <t>Sicoob</t>
        </is>
      </c>
      <c r="C273" s="2" t="inlineStr">
        <is>
          <t>24/06/2026</t>
        </is>
      </c>
      <c r="D273" s="2" t="inlineStr">
        <is>
          <t>24/06/2026</t>
        </is>
      </c>
      <c r="E273" s="2" t="inlineStr">
        <is>
          <t>Dinheiro</t>
        </is>
      </c>
      <c r="F273" s="2" t="inlineStr">
        <is>
          <t>Boleto "58733" do cliente "AILSON LIMA ROCHA"</t>
        </is>
      </c>
      <c r="G273" s="2" t="inlineStr">
        <is>
          <t>system</t>
        </is>
      </c>
      <c r="H273" s="2" t="inlineStr">
        <is>
          <t>02.03.02.01 : Cobrança Bancaria</t>
        </is>
      </c>
      <c r="I273" s="2" t="n"/>
      <c r="J273" s="3" t="n">
        <v>-0.88</v>
      </c>
      <c r="K273" s="2">
        <f>IF(H273="02.09 : Outras Saídas", IF(OR(ISNUMBER(SEARCH("CHEQUE COMPE SICREDI", F273)), ISNUMBER(SEARCH("aniversario", F273)), ISNUMBER(SEARCH("churrasco", F273)), ISNUMBER(SEARCH("bolo", F273)), ISNUMBER(SEARCH("SUPERMERCADO", F273))), "6.1 Despesas Administrativas (Pessoal)", IF(OR(ISNUMBER(SEARCH("DLKNET", F273)), ISNUMBER(SEARCH("TESTE", F273))), "6.1 Despesas Administrativas (Gerais)", IFERROR(VLOOKUP(H273, De_Para!A:B, 2, FALSE), "NÃO MAPEADO"))), IFERROR(VLOOKUP(H273, De_Para!A:B, 2, FALSE), "NÃO MAPEADO"))</f>
        <v/>
      </c>
    </row>
    <row r="274">
      <c r="A274" s="2" t="inlineStr">
        <is>
          <t>69425</t>
        </is>
      </c>
      <c r="B274" s="2" t="inlineStr">
        <is>
          <t>Sicoob</t>
        </is>
      </c>
      <c r="C274" s="2" t="inlineStr">
        <is>
          <t>24/06/2026</t>
        </is>
      </c>
      <c r="D274" s="2" t="inlineStr">
        <is>
          <t>24/06/2026</t>
        </is>
      </c>
      <c r="E274" s="2" t="inlineStr">
        <is>
          <t>Dinheiro</t>
        </is>
      </c>
      <c r="F274" s="2" t="inlineStr">
        <is>
          <t>Boleto "58733" do cliente "AILSON LIMA ROCHA"</t>
        </is>
      </c>
      <c r="G274" s="2" t="inlineStr">
        <is>
          <t>system</t>
        </is>
      </c>
      <c r="H274" s="2" t="inlineStr">
        <is>
          <t>01.01.01 : Mensalidade</t>
        </is>
      </c>
      <c r="I274" s="3" t="n">
        <v>107.41</v>
      </c>
      <c r="J274" s="2" t="n"/>
      <c r="K274" s="2">
        <f>IF(H274="02.09 : Outras Saídas", IF(OR(ISNUMBER(SEARCH("CHEQUE COMPE SICREDI", F274)), ISNUMBER(SEARCH("aniversario", F274)), ISNUMBER(SEARCH("churrasco", F274)), ISNUMBER(SEARCH("bolo", F274)), ISNUMBER(SEARCH("SUPERMERCADO", F274))), "6.1 Despesas Administrativas (Pessoal)", IF(OR(ISNUMBER(SEARCH("DLKNET", F274)), ISNUMBER(SEARCH("TESTE", F274))), "6.1 Despesas Administrativas (Gerais)", IFERROR(VLOOKUP(H274, De_Para!A:B, 2, FALSE), "NÃO MAPEADO"))), IFERROR(VLOOKUP(H274, De_Para!A:B, 2, FALSE), "NÃO MAPEADO"))</f>
        <v/>
      </c>
    </row>
    <row r="275">
      <c r="A275" s="2" t="inlineStr">
        <is>
          <t>69424</t>
        </is>
      </c>
      <c r="B275" s="2" t="inlineStr">
        <is>
          <t>Sicoob</t>
        </is>
      </c>
      <c r="C275" s="2" t="inlineStr">
        <is>
          <t>24/06/2026</t>
        </is>
      </c>
      <c r="D275" s="2" t="inlineStr">
        <is>
          <t>24/06/2026</t>
        </is>
      </c>
      <c r="E275" s="2" t="inlineStr">
        <is>
          <t>Dinheiro</t>
        </is>
      </c>
      <c r="F275" s="2" t="inlineStr">
        <is>
          <t>Boleto "55571" do cliente "JANAINA PAULINO"</t>
        </is>
      </c>
      <c r="G275" s="2" t="inlineStr">
        <is>
          <t>system</t>
        </is>
      </c>
      <c r="H275" s="2" t="inlineStr">
        <is>
          <t>02.03.02.01 : Cobrança Bancaria</t>
        </is>
      </c>
      <c r="I275" s="2" t="n"/>
      <c r="J275" s="3" t="n">
        <v>-0.88</v>
      </c>
      <c r="K275" s="2">
        <f>IF(H275="02.09 : Outras Saídas", IF(OR(ISNUMBER(SEARCH("CHEQUE COMPE SICREDI", F275)), ISNUMBER(SEARCH("aniversario", F275)), ISNUMBER(SEARCH("churrasco", F275)), ISNUMBER(SEARCH("bolo", F275)), ISNUMBER(SEARCH("SUPERMERCADO", F275))), "6.1 Despesas Administrativas (Pessoal)", IF(OR(ISNUMBER(SEARCH("DLKNET", F275)), ISNUMBER(SEARCH("TESTE", F275))), "6.1 Despesas Administrativas (Gerais)", IFERROR(VLOOKUP(H275, De_Para!A:B, 2, FALSE), "NÃO MAPEADO"))), IFERROR(VLOOKUP(H275, De_Para!A:B, 2, FALSE), "NÃO MAPEADO"))</f>
        <v/>
      </c>
    </row>
    <row r="276">
      <c r="A276" s="2" t="inlineStr">
        <is>
          <t>69423</t>
        </is>
      </c>
      <c r="B276" s="2" t="inlineStr">
        <is>
          <t>Sicoob</t>
        </is>
      </c>
      <c r="C276" s="2" t="inlineStr">
        <is>
          <t>24/06/2026</t>
        </is>
      </c>
      <c r="D276" s="2" t="inlineStr">
        <is>
          <t>24/06/2026</t>
        </is>
      </c>
      <c r="E276" s="2" t="inlineStr">
        <is>
          <t>Dinheiro</t>
        </is>
      </c>
      <c r="F276" s="2" t="inlineStr">
        <is>
          <t>Boleto "55571" do cliente "JANAINA PAULINO"</t>
        </is>
      </c>
      <c r="G276" s="2" t="inlineStr">
        <is>
          <t>system</t>
        </is>
      </c>
      <c r="H276" s="2" t="inlineStr">
        <is>
          <t>01.01.01 : Mensalidade</t>
        </is>
      </c>
      <c r="I276" s="3" t="n">
        <v>100</v>
      </c>
      <c r="J276" s="2" t="n"/>
      <c r="K276" s="2">
        <f>IF(H276="02.09 : Outras Saídas", IF(OR(ISNUMBER(SEARCH("CHEQUE COMPE SICREDI", F276)), ISNUMBER(SEARCH("aniversario", F276)), ISNUMBER(SEARCH("churrasco", F276)), ISNUMBER(SEARCH("bolo", F276)), ISNUMBER(SEARCH("SUPERMERCADO", F276))), "6.1 Despesas Administrativas (Pessoal)", IF(OR(ISNUMBER(SEARCH("DLKNET", F276)), ISNUMBER(SEARCH("TESTE", F276))), "6.1 Despesas Administrativas (Gerais)", IFERROR(VLOOKUP(H276, De_Para!A:B, 2, FALSE), "NÃO MAPEADO"))), IFERROR(VLOOKUP(H276, De_Para!A:B, 2, FALSE), "NÃO MAPEADO"))</f>
        <v/>
      </c>
    </row>
    <row r="277">
      <c r="A277" s="2" t="inlineStr">
        <is>
          <t>69422</t>
        </is>
      </c>
      <c r="B277" s="2" t="inlineStr">
        <is>
          <t>Sicoob</t>
        </is>
      </c>
      <c r="C277" s="2" t="inlineStr">
        <is>
          <t>24/06/2026</t>
        </is>
      </c>
      <c r="D277" s="2" t="inlineStr">
        <is>
          <t>24/06/2026</t>
        </is>
      </c>
      <c r="E277" s="2" t="inlineStr">
        <is>
          <t>Dinheiro</t>
        </is>
      </c>
      <c r="F277" s="2" t="inlineStr">
        <is>
          <t>Boleto "62579" do cliente "JAIR DOMICIANO CONSTANTINO"</t>
        </is>
      </c>
      <c r="G277" s="2" t="inlineStr">
        <is>
          <t>system</t>
        </is>
      </c>
      <c r="H277" s="2" t="inlineStr">
        <is>
          <t>02.03.02.01 : Cobrança Bancaria</t>
        </is>
      </c>
      <c r="I277" s="2" t="n"/>
      <c r="J277" s="3" t="n">
        <v>-0.88</v>
      </c>
      <c r="K277" s="2">
        <f>IF(H277="02.09 : Outras Saídas", IF(OR(ISNUMBER(SEARCH("CHEQUE COMPE SICREDI", F277)), ISNUMBER(SEARCH("aniversario", F277)), ISNUMBER(SEARCH("churrasco", F277)), ISNUMBER(SEARCH("bolo", F277)), ISNUMBER(SEARCH("SUPERMERCADO", F277))), "6.1 Despesas Administrativas (Pessoal)", IF(OR(ISNUMBER(SEARCH("DLKNET", F277)), ISNUMBER(SEARCH("TESTE", F277))), "6.1 Despesas Administrativas (Gerais)", IFERROR(VLOOKUP(H277, De_Para!A:B, 2, FALSE), "NÃO MAPEADO"))), IFERROR(VLOOKUP(H277, De_Para!A:B, 2, FALSE), "NÃO MAPEADO"))</f>
        <v/>
      </c>
    </row>
    <row r="278">
      <c r="A278" s="2" t="inlineStr">
        <is>
          <t>69421</t>
        </is>
      </c>
      <c r="B278" s="2" t="inlineStr">
        <is>
          <t>Sicoob</t>
        </is>
      </c>
      <c r="C278" s="2" t="inlineStr">
        <is>
          <t>24/06/2026</t>
        </is>
      </c>
      <c r="D278" s="2" t="inlineStr">
        <is>
          <t>24/06/2026</t>
        </is>
      </c>
      <c r="E278" s="2" t="inlineStr">
        <is>
          <t>Dinheiro</t>
        </is>
      </c>
      <c r="F278" s="2" t="inlineStr">
        <is>
          <t>Boleto "62579" do cliente "JAIR DOMICIANO CONSTANTINO"</t>
        </is>
      </c>
      <c r="G278" s="2" t="inlineStr">
        <is>
          <t>system</t>
        </is>
      </c>
      <c r="H278" s="2" t="inlineStr">
        <is>
          <t>01.01.01 : Mensalidade</t>
        </is>
      </c>
      <c r="I278" s="3" t="n">
        <v>104.9</v>
      </c>
      <c r="J278" s="2" t="n"/>
      <c r="K278" s="2">
        <f>IF(H278="02.09 : Outras Saídas", IF(OR(ISNUMBER(SEARCH("CHEQUE COMPE SICREDI", F278)), ISNUMBER(SEARCH("aniversario", F278)), ISNUMBER(SEARCH("churrasco", F278)), ISNUMBER(SEARCH("bolo", F278)), ISNUMBER(SEARCH("SUPERMERCADO", F278))), "6.1 Despesas Administrativas (Pessoal)", IF(OR(ISNUMBER(SEARCH("DLKNET", F278)), ISNUMBER(SEARCH("TESTE", F278))), "6.1 Despesas Administrativas (Gerais)", IFERROR(VLOOKUP(H278, De_Para!A:B, 2, FALSE), "NÃO MAPEADO"))), IFERROR(VLOOKUP(H278, De_Para!A:B, 2, FALSE), "NÃO MAPEADO"))</f>
        <v/>
      </c>
    </row>
    <row r="279">
      <c r="A279" s="2" t="inlineStr">
        <is>
          <t>69420</t>
        </is>
      </c>
      <c r="B279" s="2" t="inlineStr">
        <is>
          <t>Sicoob</t>
        </is>
      </c>
      <c r="C279" s="2" t="inlineStr">
        <is>
          <t>24/06/2026</t>
        </is>
      </c>
      <c r="D279" s="2" t="inlineStr">
        <is>
          <t>24/06/2026</t>
        </is>
      </c>
      <c r="E279" s="2" t="inlineStr">
        <is>
          <t>Dinheiro</t>
        </is>
      </c>
      <c r="F279" s="2" t="inlineStr">
        <is>
          <t>Boleto "59037" do cliente "RONALDO INOCENCIO DA SILVA"</t>
        </is>
      </c>
      <c r="G279" s="2" t="inlineStr">
        <is>
          <t>system</t>
        </is>
      </c>
      <c r="H279" s="2" t="inlineStr">
        <is>
          <t>02.03.02.01 : Cobrança Bancaria</t>
        </is>
      </c>
      <c r="I279" s="2" t="n"/>
      <c r="J279" s="3" t="n">
        <v>-0.88</v>
      </c>
      <c r="K279" s="2">
        <f>IF(H279="02.09 : Outras Saídas", IF(OR(ISNUMBER(SEARCH("CHEQUE COMPE SICREDI", F279)), ISNUMBER(SEARCH("aniversario", F279)), ISNUMBER(SEARCH("churrasco", F279)), ISNUMBER(SEARCH("bolo", F279)), ISNUMBER(SEARCH("SUPERMERCADO", F279))), "6.1 Despesas Administrativas (Pessoal)", IF(OR(ISNUMBER(SEARCH("DLKNET", F279)), ISNUMBER(SEARCH("TESTE", F279))), "6.1 Despesas Administrativas (Gerais)", IFERROR(VLOOKUP(H279, De_Para!A:B, 2, FALSE), "NÃO MAPEADO"))), IFERROR(VLOOKUP(H279, De_Para!A:B, 2, FALSE), "NÃO MAPEADO"))</f>
        <v/>
      </c>
    </row>
    <row r="280">
      <c r="A280" s="2" t="inlineStr">
        <is>
          <t>69419</t>
        </is>
      </c>
      <c r="B280" s="2" t="inlineStr">
        <is>
          <t>Sicoob</t>
        </is>
      </c>
      <c r="C280" s="2" t="inlineStr">
        <is>
          <t>24/06/2026</t>
        </is>
      </c>
      <c r="D280" s="2" t="inlineStr">
        <is>
          <t>24/06/2026</t>
        </is>
      </c>
      <c r="E280" s="2" t="inlineStr">
        <is>
          <t>Dinheiro</t>
        </is>
      </c>
      <c r="F280" s="2" t="inlineStr">
        <is>
          <t>Boleto "59037" do cliente "RONALDO INOCENCIO DA SILVA"</t>
        </is>
      </c>
      <c r="G280" s="2" t="inlineStr">
        <is>
          <t>system</t>
        </is>
      </c>
      <c r="H280" s="2" t="inlineStr">
        <is>
          <t>01.01.01 : Mensalidade</t>
        </is>
      </c>
      <c r="I280" s="3" t="n">
        <v>81.97</v>
      </c>
      <c r="J280" s="2" t="n"/>
      <c r="K280" s="2">
        <f>IF(H280="02.09 : Outras Saídas", IF(OR(ISNUMBER(SEARCH("CHEQUE COMPE SICREDI", F280)), ISNUMBER(SEARCH("aniversario", F280)), ISNUMBER(SEARCH("churrasco", F280)), ISNUMBER(SEARCH("bolo", F280)), ISNUMBER(SEARCH("SUPERMERCADO", F280))), "6.1 Despesas Administrativas (Pessoal)", IF(OR(ISNUMBER(SEARCH("DLKNET", F280)), ISNUMBER(SEARCH("TESTE", F280))), "6.1 Despesas Administrativas (Gerais)", IFERROR(VLOOKUP(H280, De_Para!A:B, 2, FALSE), "NÃO MAPEADO"))), IFERROR(VLOOKUP(H280, De_Para!A:B, 2, FALSE), "NÃO MAPEADO"))</f>
        <v/>
      </c>
    </row>
    <row r="281">
      <c r="A281" s="2" t="inlineStr">
        <is>
          <t>69418</t>
        </is>
      </c>
      <c r="B281" s="2" t="inlineStr">
        <is>
          <t>Sicoob</t>
        </is>
      </c>
      <c r="C281" s="2" t="inlineStr">
        <is>
          <t>24/06/2026</t>
        </is>
      </c>
      <c r="D281" s="2" t="inlineStr">
        <is>
          <t>23/06/2026</t>
        </is>
      </c>
      <c r="E281" s="2" t="inlineStr">
        <is>
          <t>Débito em Conta</t>
        </is>
      </c>
      <c r="F281" s="2" t="inlineStr">
        <is>
          <t>TARIFA COBRANÇA</t>
        </is>
      </c>
      <c r="G281" s="2" t="inlineStr">
        <is>
          <t>clau</t>
        </is>
      </c>
      <c r="H281" s="2" t="inlineStr">
        <is>
          <t>02.03.03.01 : Tarifas Bancarias</t>
        </is>
      </c>
      <c r="I281" s="2" t="n"/>
      <c r="J281" s="3" t="n">
        <v>-9.140000000000001</v>
      </c>
      <c r="K281" s="2">
        <f>IF(H281="02.09 : Outras Saídas", IF(OR(ISNUMBER(SEARCH("CHEQUE COMPE SICREDI", F281)), ISNUMBER(SEARCH("aniversario", F281)), ISNUMBER(SEARCH("churrasco", F281)), ISNUMBER(SEARCH("bolo", F281)), ISNUMBER(SEARCH("SUPERMERCADO", F281))), "6.1 Despesas Administrativas (Pessoal)", IF(OR(ISNUMBER(SEARCH("DLKNET", F281)), ISNUMBER(SEARCH("TESTE", F281))), "6.1 Despesas Administrativas (Gerais)", IFERROR(VLOOKUP(H281, De_Para!A:B, 2, FALSE), "NÃO MAPEADO"))), IFERROR(VLOOKUP(H281, De_Para!A:B, 2, FALSE), "NÃO MAPEADO"))</f>
        <v/>
      </c>
    </row>
    <row r="282">
      <c r="A282" s="2" t="inlineStr">
        <is>
          <t>69417</t>
        </is>
      </c>
      <c r="B282" s="2" t="inlineStr">
        <is>
          <t>Sicredi SNI</t>
        </is>
      </c>
      <c r="C282" s="2" t="inlineStr">
        <is>
          <t>24/06/2026</t>
        </is>
      </c>
      <c r="D282" s="2" t="inlineStr">
        <is>
          <t>24/06/2026</t>
        </is>
      </c>
      <c r="E282" s="2" t="inlineStr">
        <is>
          <t>PIX</t>
        </is>
      </c>
      <c r="F282" s="2" t="inlineStr">
        <is>
          <t>PAGAMENTO PIX 76484013000145 SANEPAR</t>
        </is>
      </c>
      <c r="G282" s="2" t="inlineStr">
        <is>
          <t>clau</t>
        </is>
      </c>
      <c r="H282" s="2" t="inlineStr">
        <is>
          <t>02.03.02.27 : Água/esgoto</t>
        </is>
      </c>
      <c r="I282" s="2" t="n"/>
      <c r="J282" s="3" t="n">
        <v>-96.73</v>
      </c>
      <c r="K282" s="2">
        <f>IF(H282="02.09 : Outras Saídas", IF(OR(ISNUMBER(SEARCH("CHEQUE COMPE SICREDI", F282)), ISNUMBER(SEARCH("aniversario", F282)), ISNUMBER(SEARCH("churrasco", F282)), ISNUMBER(SEARCH("bolo", F282)), ISNUMBER(SEARCH("SUPERMERCADO", F282))), "6.1 Despesas Administrativas (Pessoal)", IF(OR(ISNUMBER(SEARCH("DLKNET", F282)), ISNUMBER(SEARCH("TESTE", F282))), "6.1 Despesas Administrativas (Gerais)", IFERROR(VLOOKUP(H282, De_Para!A:B, 2, FALSE), "NÃO MAPEADO"))), IFERROR(VLOOKUP(H282, De_Para!A:B, 2, FALSE), "NÃO MAPEADO"))</f>
        <v/>
      </c>
    </row>
    <row r="283">
      <c r="A283" s="2" t="inlineStr">
        <is>
          <t>69416</t>
        </is>
      </c>
      <c r="B283" s="2" t="inlineStr">
        <is>
          <t>Sicredi SNI</t>
        </is>
      </c>
      <c r="C283" s="2" t="inlineStr">
        <is>
          <t>24/06/2026</t>
        </is>
      </c>
      <c r="D283" s="2" t="inlineStr">
        <is>
          <t>24/06/2026</t>
        </is>
      </c>
      <c r="E283" s="2" t="inlineStr">
        <is>
          <t>PIX</t>
        </is>
      </c>
      <c r="F283" s="2" t="inlineStr">
        <is>
          <t>PAGAMENTO PIX 02690815931 BRIGIDA APARECIDA DOS</t>
        </is>
      </c>
      <c r="G283" s="2" t="inlineStr">
        <is>
          <t>clau</t>
        </is>
      </c>
      <c r="H283" s="2" t="inlineStr">
        <is>
          <t>02.03.02.26 : Diarista</t>
        </is>
      </c>
      <c r="I283" s="2" t="n"/>
      <c r="J283" s="3" t="n">
        <v>-140</v>
      </c>
      <c r="K283" s="2">
        <f>IF(H283="02.09 : Outras Saídas", IF(OR(ISNUMBER(SEARCH("CHEQUE COMPE SICREDI", F283)), ISNUMBER(SEARCH("aniversario", F283)), ISNUMBER(SEARCH("churrasco", F283)), ISNUMBER(SEARCH("bolo", F283)), ISNUMBER(SEARCH("SUPERMERCADO", F283))), "6.1 Despesas Administrativas (Pessoal)", IF(OR(ISNUMBER(SEARCH("DLKNET", F283)), ISNUMBER(SEARCH("TESTE", F283))), "6.1 Despesas Administrativas (Gerais)", IFERROR(VLOOKUP(H283, De_Para!A:B, 2, FALSE), "NÃO MAPEADO"))), IFERROR(VLOOKUP(H283, De_Para!A:B, 2, FALSE), "NÃO MAPEADO"))</f>
        <v/>
      </c>
    </row>
    <row r="284">
      <c r="A284" s="2" t="inlineStr">
        <is>
          <t>69415</t>
        </is>
      </c>
      <c r="B284" s="2" t="inlineStr">
        <is>
          <t>Sicredi SNI</t>
        </is>
      </c>
      <c r="C284" s="2" t="inlineStr">
        <is>
          <t>24/06/2026</t>
        </is>
      </c>
      <c r="D284" s="2" t="inlineStr">
        <is>
          <t>24/06/2026</t>
        </is>
      </c>
      <c r="E284" s="2" t="inlineStr">
        <is>
          <t>Boleto</t>
        </is>
      </c>
      <c r="F284" s="2" t="inlineStr">
        <is>
          <t>LIQUIDACAO BOLETO 10414182000109 UNIMED SAUDE E</t>
        </is>
      </c>
      <c r="G284" s="2" t="inlineStr">
        <is>
          <t>clau</t>
        </is>
      </c>
      <c r="H284" s="2" t="inlineStr">
        <is>
          <t>02.01.02.07 : Plano de Saúde</t>
        </is>
      </c>
      <c r="I284" s="2" t="n"/>
      <c r="J284" s="3" t="n">
        <v>-296.2</v>
      </c>
      <c r="K284" s="2">
        <f>IF(H284="02.09 : Outras Saídas", IF(OR(ISNUMBER(SEARCH("CHEQUE COMPE SICREDI", F284)), ISNUMBER(SEARCH("aniversario", F284)), ISNUMBER(SEARCH("churrasco", F284)), ISNUMBER(SEARCH("bolo", F284)), ISNUMBER(SEARCH("SUPERMERCADO", F284))), "6.1 Despesas Administrativas (Pessoal)", IF(OR(ISNUMBER(SEARCH("DLKNET", F284)), ISNUMBER(SEARCH("TESTE", F284))), "6.1 Despesas Administrativas (Gerais)", IFERROR(VLOOKUP(H284, De_Para!A:B, 2, FALSE), "NÃO MAPEADO"))), IFERROR(VLOOKUP(H284, De_Para!A:B, 2, FALSE), "NÃO MAPEADO"))</f>
        <v/>
      </c>
    </row>
    <row r="285">
      <c r="A285" s="2" t="inlineStr">
        <is>
          <t>69414</t>
        </is>
      </c>
      <c r="B285" s="2" t="inlineStr">
        <is>
          <t>Sicredi SNI</t>
        </is>
      </c>
      <c r="C285" s="2" t="inlineStr">
        <is>
          <t>24/06/2026</t>
        </is>
      </c>
      <c r="D285" s="2" t="inlineStr">
        <is>
          <t>24/06/2026</t>
        </is>
      </c>
      <c r="E285" s="2" t="inlineStr">
        <is>
          <t>PIX</t>
        </is>
      </c>
      <c r="F285" s="2" t="inlineStr">
        <is>
          <t>PAGAMENTO PIX 76484013000145 SANEPAR</t>
        </is>
      </c>
      <c r="G285" s="2" t="inlineStr">
        <is>
          <t>clau</t>
        </is>
      </c>
      <c r="H285" s="2" t="inlineStr">
        <is>
          <t>02.03.02.27 : Água/esgoto</t>
        </is>
      </c>
      <c r="I285" s="2" t="n"/>
      <c r="J285" s="3" t="n">
        <v>-99.11</v>
      </c>
      <c r="K285" s="2">
        <f>IF(H285="02.09 : Outras Saídas", IF(OR(ISNUMBER(SEARCH("CHEQUE COMPE SICREDI", F285)), ISNUMBER(SEARCH("aniversario", F285)), ISNUMBER(SEARCH("churrasco", F285)), ISNUMBER(SEARCH("bolo", F285)), ISNUMBER(SEARCH("SUPERMERCADO", F285))), "6.1 Despesas Administrativas (Pessoal)", IF(OR(ISNUMBER(SEARCH("DLKNET", F285)), ISNUMBER(SEARCH("TESTE", F285))), "6.1 Despesas Administrativas (Gerais)", IFERROR(VLOOKUP(H285, De_Para!A:B, 2, FALSE), "NÃO MAPEADO"))), IFERROR(VLOOKUP(H285, De_Para!A:B, 2, FALSE), "NÃO MAPEADO"))</f>
        <v/>
      </c>
    </row>
    <row r="286">
      <c r="A286" s="2" t="inlineStr">
        <is>
          <t>69413</t>
        </is>
      </c>
      <c r="B286" s="2" t="inlineStr">
        <is>
          <t>Sicredi SNI</t>
        </is>
      </c>
      <c r="C286" s="2" t="inlineStr">
        <is>
          <t>24/06/2026</t>
        </is>
      </c>
      <c r="D286" s="2" t="inlineStr">
        <is>
          <t>24/06/2026</t>
        </is>
      </c>
      <c r="E286" s="2" t="inlineStr">
        <is>
          <t>Boleto</t>
        </is>
      </c>
      <c r="F286" s="2" t="inlineStr">
        <is>
          <t>LIQUIDACAO BOLETO 65590659000190 INTELLECT DESEN TELIA</t>
        </is>
      </c>
      <c r="G286" s="2" t="inlineStr">
        <is>
          <t>clau</t>
        </is>
      </c>
      <c r="H286" s="2" t="inlineStr">
        <is>
          <t>02.01.02.05 : Consultoria Técnica</t>
        </is>
      </c>
      <c r="I286" s="2" t="n"/>
      <c r="J286" s="3" t="n">
        <v>-370</v>
      </c>
      <c r="K286" s="2">
        <f>IF(H286="02.09 : Outras Saídas", IF(OR(ISNUMBER(SEARCH("CHEQUE COMPE SICREDI", F286)), ISNUMBER(SEARCH("aniversario", F286)), ISNUMBER(SEARCH("churrasco", F286)), ISNUMBER(SEARCH("bolo", F286)), ISNUMBER(SEARCH("SUPERMERCADO", F286))), "6.1 Despesas Administrativas (Pessoal)", IF(OR(ISNUMBER(SEARCH("DLKNET", F286)), ISNUMBER(SEARCH("TESTE", F286))), "6.1 Despesas Administrativas (Gerais)", IFERROR(VLOOKUP(H286, De_Para!A:B, 2, FALSE), "NÃO MAPEADO"))), IFERROR(VLOOKUP(H286, De_Para!A:B, 2, FALSE), "NÃO MAPEADO"))</f>
        <v/>
      </c>
    </row>
    <row r="287">
      <c r="A287" s="2" t="inlineStr">
        <is>
          <t>69412</t>
        </is>
      </c>
      <c r="B287" s="2" t="inlineStr">
        <is>
          <t>Sicredi SNI</t>
        </is>
      </c>
      <c r="C287" s="2" t="inlineStr">
        <is>
          <t>24/06/2026</t>
        </is>
      </c>
      <c r="D287" s="2" t="inlineStr">
        <is>
          <t>24/06/2026</t>
        </is>
      </c>
      <c r="E287" s="2" t="inlineStr">
        <is>
          <t>Cartão de Débito</t>
        </is>
      </c>
      <c r="F287" s="2" t="inlineStr">
        <is>
          <t>COMPRAS NACIONAIS DLKNET AC JOAQUIM TAV JOAQUIM</t>
        </is>
      </c>
      <c r="G287" s="2" t="inlineStr">
        <is>
          <t>clau</t>
        </is>
      </c>
      <c r="H287" s="2" t="inlineStr">
        <is>
          <t>02.09 : Outras Saídas</t>
        </is>
      </c>
      <c r="I287" s="2" t="n"/>
      <c r="J287" s="3" t="n">
        <v>-179.45</v>
      </c>
      <c r="K287" s="2">
        <f>IF(H287="02.09 : Outras Saídas", IF(OR(ISNUMBER(SEARCH("CHEQUE COMPE SICREDI", F287)), ISNUMBER(SEARCH("aniversario", F287)), ISNUMBER(SEARCH("churrasco", F287)), ISNUMBER(SEARCH("bolo", F287)), ISNUMBER(SEARCH("SUPERMERCADO", F287))), "6.1 Despesas Administrativas (Pessoal)", IF(OR(ISNUMBER(SEARCH("DLKNET", F287)), ISNUMBER(SEARCH("TESTE", F287))), "6.1 Despesas Administrativas (Gerais)", IFERROR(VLOOKUP(H287, De_Para!A:B, 2, FALSE), "NÃO MAPEADO"))), IFERROR(VLOOKUP(H287, De_Para!A:B, 2, FALSE), "NÃO MAPEADO"))</f>
        <v/>
      </c>
    </row>
    <row r="288">
      <c r="A288" s="2" t="inlineStr">
        <is>
          <t>69411</t>
        </is>
      </c>
      <c r="B288" s="2" t="inlineStr">
        <is>
          <t>Sicredi SNI</t>
        </is>
      </c>
      <c r="C288" s="2" t="inlineStr">
        <is>
          <t>24/06/2026</t>
        </is>
      </c>
      <c r="D288" s="2" t="inlineStr">
        <is>
          <t>24/06/2026</t>
        </is>
      </c>
      <c r="E288" s="2" t="inlineStr">
        <is>
          <t>Cartão de Débito</t>
        </is>
      </c>
      <c r="F288" s="2" t="inlineStr">
        <is>
          <t>COMPRAS NACIONAIS DLKNET AC CENTRAL DE BRASILIA</t>
        </is>
      </c>
      <c r="G288" s="2" t="inlineStr">
        <is>
          <t>clau</t>
        </is>
      </c>
      <c r="H288" s="2" t="inlineStr">
        <is>
          <t>02.09 : Outras Saídas</t>
        </is>
      </c>
      <c r="I288" s="2" t="n"/>
      <c r="J288" s="3" t="n">
        <v>-40.7</v>
      </c>
      <c r="K288" s="2">
        <f>IF(H288="02.09 : Outras Saídas", IF(OR(ISNUMBER(SEARCH("CHEQUE COMPE SICREDI", F288)), ISNUMBER(SEARCH("aniversario", F288)), ISNUMBER(SEARCH("churrasco", F288)), ISNUMBER(SEARCH("bolo", F288)), ISNUMBER(SEARCH("SUPERMERCADO", F288))), "6.1 Despesas Administrativas (Pessoal)", IF(OR(ISNUMBER(SEARCH("DLKNET", F288)), ISNUMBER(SEARCH("TESTE", F288))), "6.1 Despesas Administrativas (Gerais)", IFERROR(VLOOKUP(H288, De_Para!A:B, 2, FALSE), "NÃO MAPEADO"))), IFERROR(VLOOKUP(H288, De_Para!A:B, 2, FALSE), "NÃO MAPEADO"))</f>
        <v/>
      </c>
    </row>
    <row r="289">
      <c r="A289" s="2" t="inlineStr">
        <is>
          <t>69410</t>
        </is>
      </c>
      <c r="B289" s="2" t="inlineStr">
        <is>
          <t>Sicredi SNI</t>
        </is>
      </c>
      <c r="C289" s="2" t="inlineStr">
        <is>
          <t>24/06/2026</t>
        </is>
      </c>
      <c r="D289" s="2" t="inlineStr">
        <is>
          <t>24/06/2026</t>
        </is>
      </c>
      <c r="E289" s="2" t="inlineStr">
        <is>
          <t>PIX</t>
        </is>
      </c>
      <c r="F289" s="2" t="inlineStr">
        <is>
          <t>PAGAMENTO PIX 88191613972 RICARDO HEIL</t>
        </is>
      </c>
      <c r="G289" s="2" t="inlineStr">
        <is>
          <t>clau</t>
        </is>
      </c>
      <c r="H289" s="2" t="inlineStr">
        <is>
          <t>02.01.03.01 : Reposição de Ferramentas</t>
        </is>
      </c>
      <c r="I289" s="2" t="n"/>
      <c r="J289" s="3" t="n">
        <v>-535</v>
      </c>
      <c r="K289" s="2">
        <f>IF(H289="02.09 : Outras Saídas", IF(OR(ISNUMBER(SEARCH("CHEQUE COMPE SICREDI", F289)), ISNUMBER(SEARCH("aniversario", F289)), ISNUMBER(SEARCH("churrasco", F289)), ISNUMBER(SEARCH("bolo", F289)), ISNUMBER(SEARCH("SUPERMERCADO", F289))), "6.1 Despesas Administrativas (Pessoal)", IF(OR(ISNUMBER(SEARCH("DLKNET", F289)), ISNUMBER(SEARCH("TESTE", F289))), "6.1 Despesas Administrativas (Gerais)", IFERROR(VLOOKUP(H289, De_Para!A:B, 2, FALSE), "NÃO MAPEADO"))), IFERROR(VLOOKUP(H289, De_Para!A:B, 2, FALSE), "NÃO MAPEADO"))</f>
        <v/>
      </c>
    </row>
    <row r="290">
      <c r="A290" s="2" t="inlineStr">
        <is>
          <t>69409</t>
        </is>
      </c>
      <c r="B290" s="2" t="inlineStr">
        <is>
          <t>Sicredi SNI</t>
        </is>
      </c>
      <c r="C290" s="2" t="inlineStr">
        <is>
          <t>24/06/2026</t>
        </is>
      </c>
      <c r="D290" s="2" t="inlineStr">
        <is>
          <t>23/06/2026</t>
        </is>
      </c>
      <c r="E290" s="2" t="inlineStr">
        <is>
          <t>Débito em Conta</t>
        </is>
      </c>
      <c r="F290" s="2" t="inlineStr">
        <is>
          <t>TARIFA COM R LIQUIDACAO</t>
        </is>
      </c>
      <c r="G290" s="2" t="inlineStr">
        <is>
          <t>clau</t>
        </is>
      </c>
      <c r="H290" s="2" t="inlineStr">
        <is>
          <t>02.03.03.09 : TARIFA COM R LIQUIDACAO</t>
        </is>
      </c>
      <c r="I290" s="2" t="n"/>
      <c r="J290" s="3" t="n">
        <v>-0.85</v>
      </c>
      <c r="K290" s="2">
        <f>IF(H290="02.09 : Outras Saídas", IF(OR(ISNUMBER(SEARCH("CHEQUE COMPE SICREDI", F290)), ISNUMBER(SEARCH("aniversario", F290)), ISNUMBER(SEARCH("churrasco", F290)), ISNUMBER(SEARCH("bolo", F290)), ISNUMBER(SEARCH("SUPERMERCADO", F290))), "6.1 Despesas Administrativas (Pessoal)", IF(OR(ISNUMBER(SEARCH("DLKNET", F290)), ISNUMBER(SEARCH("TESTE", F290))), "6.1 Despesas Administrativas (Gerais)", IFERROR(VLOOKUP(H290, De_Para!A:B, 2, FALSE), "NÃO MAPEADO"))), IFERROR(VLOOKUP(H290, De_Para!A:B, 2, FALSE), "NÃO MAPEADO"))</f>
        <v/>
      </c>
    </row>
    <row r="291">
      <c r="A291" s="2" t="inlineStr">
        <is>
          <t>69408</t>
        </is>
      </c>
      <c r="B291" s="2" t="inlineStr">
        <is>
          <t>Sicredi SNI</t>
        </is>
      </c>
      <c r="C291" s="2" t="inlineStr">
        <is>
          <t>24/06/2026</t>
        </is>
      </c>
      <c r="D291" s="2" t="inlineStr">
        <is>
          <t>23/06/2026</t>
        </is>
      </c>
      <c r="E291" s="2" t="inlineStr">
        <is>
          <t>Boleto</t>
        </is>
      </c>
      <c r="F291" s="2" t="inlineStr">
        <is>
          <t>LIQUIDACAO BOLETO SICREDI 41541804000185 NBG SER</t>
        </is>
      </c>
      <c r="G291" s="2" t="inlineStr">
        <is>
          <t>clau</t>
        </is>
      </c>
      <c r="H291" s="2" t="inlineStr">
        <is>
          <t>02.01.02.05 : Consultoria Técnica</t>
        </is>
      </c>
      <c r="I291" s="2" t="n"/>
      <c r="J291" s="3" t="n">
        <v>-233.82</v>
      </c>
      <c r="K291" s="2">
        <f>IF(H291="02.09 : Outras Saídas", IF(OR(ISNUMBER(SEARCH("CHEQUE COMPE SICREDI", F291)), ISNUMBER(SEARCH("aniversario", F291)), ISNUMBER(SEARCH("churrasco", F291)), ISNUMBER(SEARCH("bolo", F291)), ISNUMBER(SEARCH("SUPERMERCADO", F291))), "6.1 Despesas Administrativas (Pessoal)", IF(OR(ISNUMBER(SEARCH("DLKNET", F291)), ISNUMBER(SEARCH("TESTE", F291))), "6.1 Despesas Administrativas (Gerais)", IFERROR(VLOOKUP(H291, De_Para!A:B, 2, FALSE), "NÃO MAPEADO"))), IFERROR(VLOOKUP(H291, De_Para!A:B, 2, FALSE), "NÃO MAPEADO"))</f>
        <v/>
      </c>
    </row>
    <row r="292">
      <c r="A292" s="2" t="inlineStr">
        <is>
          <t>69407</t>
        </is>
      </c>
      <c r="B292" s="2" t="inlineStr">
        <is>
          <t>Sicredi SNI</t>
        </is>
      </c>
      <c r="C292" s="2" t="inlineStr">
        <is>
          <t>24/06/2026</t>
        </is>
      </c>
      <c r="D292" s="2" t="inlineStr">
        <is>
          <t>23/06/2026</t>
        </is>
      </c>
      <c r="E292" s="2" t="inlineStr">
        <is>
          <t>Cartão de Débito</t>
        </is>
      </c>
      <c r="F292" s="2" t="inlineStr">
        <is>
          <t>COMPRAS NACIONAIS SUPERMERCADO CARREIRO JOAQUIM</t>
        </is>
      </c>
      <c r="G292" s="2" t="inlineStr">
        <is>
          <t>clau</t>
        </is>
      </c>
      <c r="H292" s="2" t="inlineStr">
        <is>
          <t>02.09 : Outras Saídas</t>
        </is>
      </c>
      <c r="I292" s="2" t="n"/>
      <c r="J292" s="3" t="n">
        <v>-37.99</v>
      </c>
      <c r="K292" s="2">
        <f>IF(H292="02.09 : Outras Saídas", IF(OR(ISNUMBER(SEARCH("CHEQUE COMPE SICREDI", F292)), ISNUMBER(SEARCH("aniversario", F292)), ISNUMBER(SEARCH("churrasco", F292)), ISNUMBER(SEARCH("bolo", F292)), ISNUMBER(SEARCH("SUPERMERCADO", F292))), "6.1 Despesas Administrativas (Pessoal)", IF(OR(ISNUMBER(SEARCH("DLKNET", F292)), ISNUMBER(SEARCH("TESTE", F292))), "6.1 Despesas Administrativas (Gerais)", IFERROR(VLOOKUP(H292, De_Para!A:B, 2, FALSE), "NÃO MAPEADO"))), IFERROR(VLOOKUP(H292, De_Para!A:B, 2, FALSE), "NÃO MAPEADO"))</f>
        <v/>
      </c>
    </row>
    <row r="293">
      <c r="A293" s="2" t="inlineStr">
        <is>
          <t>69406</t>
        </is>
      </c>
      <c r="B293" s="2" t="inlineStr">
        <is>
          <t>Sicredi SNI</t>
        </is>
      </c>
      <c r="C293" s="2" t="inlineStr">
        <is>
          <t>24/06/2026</t>
        </is>
      </c>
      <c r="D293" s="2" t="inlineStr">
        <is>
          <t>24/06/2026</t>
        </is>
      </c>
      <c r="E293" s="2" t="inlineStr">
        <is>
          <t>Dinheiro</t>
        </is>
      </c>
      <c r="F293" s="2" t="inlineStr">
        <is>
          <t>Boleto "55321" do cliente "REINALDO RAMOS DE ALMEIDA"</t>
        </is>
      </c>
      <c r="G293" s="2" t="inlineStr">
        <is>
          <t>system</t>
        </is>
      </c>
      <c r="H293" s="2" t="inlineStr">
        <is>
          <t>02.03.02.01 : Cobrança Bancaria</t>
        </is>
      </c>
      <c r="I293" s="2" t="n"/>
      <c r="J293" s="3" t="n">
        <v>-1.08</v>
      </c>
      <c r="K293" s="2">
        <f>IF(H293="02.09 : Outras Saídas", IF(OR(ISNUMBER(SEARCH("CHEQUE COMPE SICREDI", F293)), ISNUMBER(SEARCH("aniversario", F293)), ISNUMBER(SEARCH("churrasco", F293)), ISNUMBER(SEARCH("bolo", F293)), ISNUMBER(SEARCH("SUPERMERCADO", F293))), "6.1 Despesas Administrativas (Pessoal)", IF(OR(ISNUMBER(SEARCH("DLKNET", F293)), ISNUMBER(SEARCH("TESTE", F293))), "6.1 Despesas Administrativas (Gerais)", IFERROR(VLOOKUP(H293, De_Para!A:B, 2, FALSE), "NÃO MAPEADO"))), IFERROR(VLOOKUP(H293, De_Para!A:B, 2, FALSE), "NÃO MAPEADO"))</f>
        <v/>
      </c>
    </row>
    <row r="294">
      <c r="A294" s="2" t="inlineStr">
        <is>
          <t>69405</t>
        </is>
      </c>
      <c r="B294" s="2" t="inlineStr">
        <is>
          <t>Sicredi SNI</t>
        </is>
      </c>
      <c r="C294" s="2" t="inlineStr">
        <is>
          <t>24/06/2026</t>
        </is>
      </c>
      <c r="D294" s="2" t="inlineStr">
        <is>
          <t>24/06/2026</t>
        </is>
      </c>
      <c r="E294" s="2" t="inlineStr">
        <is>
          <t>Dinheiro</t>
        </is>
      </c>
      <c r="F294" s="2" t="inlineStr">
        <is>
          <t>Boleto "55321" do cliente "REINALDO RAMOS DE ALMEIDA"</t>
        </is>
      </c>
      <c r="G294" s="2" t="inlineStr">
        <is>
          <t>system</t>
        </is>
      </c>
      <c r="H294" s="2" t="inlineStr">
        <is>
          <t>01.01.01 : Mensalidade</t>
        </is>
      </c>
      <c r="I294" s="3" t="n">
        <v>105</v>
      </c>
      <c r="J294" s="2" t="n"/>
      <c r="K294" s="2">
        <f>IF(H294="02.09 : Outras Saídas", IF(OR(ISNUMBER(SEARCH("CHEQUE COMPE SICREDI", F294)), ISNUMBER(SEARCH("aniversario", F294)), ISNUMBER(SEARCH("churrasco", F294)), ISNUMBER(SEARCH("bolo", F294)), ISNUMBER(SEARCH("SUPERMERCADO", F294))), "6.1 Despesas Administrativas (Pessoal)", IF(OR(ISNUMBER(SEARCH("DLKNET", F294)), ISNUMBER(SEARCH("TESTE", F294))), "6.1 Despesas Administrativas (Gerais)", IFERROR(VLOOKUP(H294, De_Para!A:B, 2, FALSE), "NÃO MAPEADO"))), IFERROR(VLOOKUP(H294, De_Para!A:B, 2, FALSE), "NÃO MAPEADO"))</f>
        <v/>
      </c>
    </row>
    <row r="295">
      <c r="A295" s="2" t="inlineStr">
        <is>
          <t>69404</t>
        </is>
      </c>
      <c r="B295" s="2" t="inlineStr">
        <is>
          <t>Sicoob</t>
        </is>
      </c>
      <c r="C295" s="2" t="inlineStr">
        <is>
          <t>24/06/2026</t>
        </is>
      </c>
      <c r="D295" s="2" t="inlineStr">
        <is>
          <t>24/06/2026</t>
        </is>
      </c>
      <c r="E295" s="2" t="inlineStr">
        <is>
          <t>Dinheiro</t>
        </is>
      </c>
      <c r="F295" s="2" t="inlineStr">
        <is>
          <t>Boleto "54791" do cliente "CARLOS JOAQUIM DE GOUVEIA"</t>
        </is>
      </c>
      <c r="G295" s="2" t="inlineStr">
        <is>
          <t>system</t>
        </is>
      </c>
      <c r="H295" s="2" t="inlineStr">
        <is>
          <t>02.03.02.01 : Cobrança Bancaria</t>
        </is>
      </c>
      <c r="I295" s="2" t="n"/>
      <c r="J295" s="3" t="n">
        <v>-0.88</v>
      </c>
      <c r="K295" s="2">
        <f>IF(H295="02.09 : Outras Saídas", IF(OR(ISNUMBER(SEARCH("CHEQUE COMPE SICREDI", F295)), ISNUMBER(SEARCH("aniversario", F295)), ISNUMBER(SEARCH("churrasco", F295)), ISNUMBER(SEARCH("bolo", F295)), ISNUMBER(SEARCH("SUPERMERCADO", F295))), "6.1 Despesas Administrativas (Pessoal)", IF(OR(ISNUMBER(SEARCH("DLKNET", F295)), ISNUMBER(SEARCH("TESTE", F295))), "6.1 Despesas Administrativas (Gerais)", IFERROR(VLOOKUP(H295, De_Para!A:B, 2, FALSE), "NÃO MAPEADO"))), IFERROR(VLOOKUP(H295, De_Para!A:B, 2, FALSE), "NÃO MAPEADO"))</f>
        <v/>
      </c>
    </row>
    <row r="296">
      <c r="A296" s="2" t="inlineStr">
        <is>
          <t>69403</t>
        </is>
      </c>
      <c r="B296" s="2" t="inlineStr">
        <is>
          <t>Sicoob</t>
        </is>
      </c>
      <c r="C296" s="2" t="inlineStr">
        <is>
          <t>24/06/2026</t>
        </is>
      </c>
      <c r="D296" s="2" t="inlineStr">
        <is>
          <t>24/06/2026</t>
        </is>
      </c>
      <c r="E296" s="2" t="inlineStr">
        <is>
          <t>Dinheiro</t>
        </is>
      </c>
      <c r="F296" s="2" t="inlineStr">
        <is>
          <t>Boleto "54791" do cliente "CARLOS JOAQUIM DE GOUVEIA"</t>
        </is>
      </c>
      <c r="G296" s="2" t="inlineStr">
        <is>
          <t>system</t>
        </is>
      </c>
      <c r="H296" s="2" t="inlineStr">
        <is>
          <t>01.01.01 : Mensalidade</t>
        </is>
      </c>
      <c r="I296" s="3" t="n">
        <v>105</v>
      </c>
      <c r="J296" s="2" t="n"/>
      <c r="K296" s="2">
        <f>IF(H296="02.09 : Outras Saídas", IF(OR(ISNUMBER(SEARCH("CHEQUE COMPE SICREDI", F296)), ISNUMBER(SEARCH("aniversario", F296)), ISNUMBER(SEARCH("churrasco", F296)), ISNUMBER(SEARCH("bolo", F296)), ISNUMBER(SEARCH("SUPERMERCADO", F296))), "6.1 Despesas Administrativas (Pessoal)", IF(OR(ISNUMBER(SEARCH("DLKNET", F296)), ISNUMBER(SEARCH("TESTE", F296))), "6.1 Despesas Administrativas (Gerais)", IFERROR(VLOOKUP(H296, De_Para!A:B, 2, FALSE), "NÃO MAPEADO"))), IFERROR(VLOOKUP(H296, De_Para!A:B, 2, FALSE), "NÃO MAPEADO"))</f>
        <v/>
      </c>
    </row>
    <row r="297">
      <c r="A297" s="2" t="inlineStr">
        <is>
          <t>69402</t>
        </is>
      </c>
      <c r="B297" s="2" t="inlineStr">
        <is>
          <t>Sicoob</t>
        </is>
      </c>
      <c r="C297" s="2" t="inlineStr">
        <is>
          <t>24/06/2026</t>
        </is>
      </c>
      <c r="D297" s="2" t="inlineStr">
        <is>
          <t>24/06/2026</t>
        </is>
      </c>
      <c r="E297" s="2" t="inlineStr">
        <is>
          <t>Dinheiro</t>
        </is>
      </c>
      <c r="F297" s="2" t="inlineStr">
        <is>
          <t>Boleto "66885" do cliente "LEVI DA ROCHA BACON"</t>
        </is>
      </c>
      <c r="G297" s="2" t="inlineStr">
        <is>
          <t>system</t>
        </is>
      </c>
      <c r="H297" s="2" t="inlineStr">
        <is>
          <t>02.03.02.01 : Cobrança Bancaria</t>
        </is>
      </c>
      <c r="I297" s="2" t="n"/>
      <c r="J297" s="3" t="n">
        <v>-0.88</v>
      </c>
      <c r="K297" s="2">
        <f>IF(H297="02.09 : Outras Saídas", IF(OR(ISNUMBER(SEARCH("CHEQUE COMPE SICREDI", F297)), ISNUMBER(SEARCH("aniversario", F297)), ISNUMBER(SEARCH("churrasco", F297)), ISNUMBER(SEARCH("bolo", F297)), ISNUMBER(SEARCH("SUPERMERCADO", F297))), "6.1 Despesas Administrativas (Pessoal)", IF(OR(ISNUMBER(SEARCH("DLKNET", F297)), ISNUMBER(SEARCH("TESTE", F297))), "6.1 Despesas Administrativas (Gerais)", IFERROR(VLOOKUP(H297, De_Para!A:B, 2, FALSE), "NÃO MAPEADO"))), IFERROR(VLOOKUP(H297, De_Para!A:B, 2, FALSE), "NÃO MAPEADO"))</f>
        <v/>
      </c>
    </row>
    <row r="298">
      <c r="A298" s="2" t="inlineStr">
        <is>
          <t>69401</t>
        </is>
      </c>
      <c r="B298" s="2" t="inlineStr">
        <is>
          <t>Sicoob</t>
        </is>
      </c>
      <c r="C298" s="2" t="inlineStr">
        <is>
          <t>24/06/2026</t>
        </is>
      </c>
      <c r="D298" s="2" t="inlineStr">
        <is>
          <t>24/06/2026</t>
        </is>
      </c>
      <c r="E298" s="2" t="inlineStr">
        <is>
          <t>Dinheiro</t>
        </is>
      </c>
      <c r="F298" s="2" t="inlineStr">
        <is>
          <t>Boleto "66885" do cliente "LEVI DA ROCHA BACON"</t>
        </is>
      </c>
      <c r="G298" s="2" t="inlineStr">
        <is>
          <t>system</t>
        </is>
      </c>
      <c r="H298" s="2" t="inlineStr">
        <is>
          <t>01.01.01 : Mensalidade</t>
        </is>
      </c>
      <c r="I298" s="3" t="n">
        <v>112.6</v>
      </c>
      <c r="J298" s="2" t="n"/>
      <c r="K298" s="2">
        <f>IF(H298="02.09 : Outras Saídas", IF(OR(ISNUMBER(SEARCH("CHEQUE COMPE SICREDI", F298)), ISNUMBER(SEARCH("aniversario", F298)), ISNUMBER(SEARCH("churrasco", F298)), ISNUMBER(SEARCH("bolo", F298)), ISNUMBER(SEARCH("SUPERMERCADO", F298))), "6.1 Despesas Administrativas (Pessoal)", IF(OR(ISNUMBER(SEARCH("DLKNET", F298)), ISNUMBER(SEARCH("TESTE", F298))), "6.1 Despesas Administrativas (Gerais)", IFERROR(VLOOKUP(H298, De_Para!A:B, 2, FALSE), "NÃO MAPEADO"))), IFERROR(VLOOKUP(H298, De_Para!A:B, 2, FALSE), "NÃO MAPEADO"))</f>
        <v/>
      </c>
    </row>
    <row r="299">
      <c r="A299" s="2" t="inlineStr">
        <is>
          <t>69400</t>
        </is>
      </c>
      <c r="B299" s="2" t="inlineStr">
        <is>
          <t>Sicoob</t>
        </is>
      </c>
      <c r="C299" s="2" t="inlineStr">
        <is>
          <t>24/06/2026</t>
        </is>
      </c>
      <c r="D299" s="2" t="inlineStr">
        <is>
          <t>24/06/2026</t>
        </is>
      </c>
      <c r="E299" s="2" t="inlineStr">
        <is>
          <t>Dinheiro</t>
        </is>
      </c>
      <c r="F299" s="2" t="inlineStr">
        <is>
          <t>Boleto "65286" do cliente "MARIA LEONOR BATISTA LEITE"</t>
        </is>
      </c>
      <c r="G299" s="2" t="inlineStr">
        <is>
          <t>system</t>
        </is>
      </c>
      <c r="H299" s="2" t="inlineStr">
        <is>
          <t>02.03.02.01 : Cobrança Bancaria</t>
        </is>
      </c>
      <c r="I299" s="2" t="n"/>
      <c r="J299" s="3" t="n">
        <v>-0.88</v>
      </c>
      <c r="K299" s="2">
        <f>IF(H299="02.09 : Outras Saídas", IF(OR(ISNUMBER(SEARCH("CHEQUE COMPE SICREDI", F299)), ISNUMBER(SEARCH("aniversario", F299)), ISNUMBER(SEARCH("churrasco", F299)), ISNUMBER(SEARCH("bolo", F299)), ISNUMBER(SEARCH("SUPERMERCADO", F299))), "6.1 Despesas Administrativas (Pessoal)", IF(OR(ISNUMBER(SEARCH("DLKNET", F299)), ISNUMBER(SEARCH("TESTE", F299))), "6.1 Despesas Administrativas (Gerais)", IFERROR(VLOOKUP(H299, De_Para!A:B, 2, FALSE), "NÃO MAPEADO"))), IFERROR(VLOOKUP(H299, De_Para!A:B, 2, FALSE), "NÃO MAPEADO"))</f>
        <v/>
      </c>
    </row>
    <row r="300">
      <c r="A300" s="2" t="inlineStr">
        <is>
          <t>69399</t>
        </is>
      </c>
      <c r="B300" s="2" t="inlineStr">
        <is>
          <t>Sicoob</t>
        </is>
      </c>
      <c r="C300" s="2" t="inlineStr">
        <is>
          <t>24/06/2026</t>
        </is>
      </c>
      <c r="D300" s="2" t="inlineStr">
        <is>
          <t>24/06/2026</t>
        </is>
      </c>
      <c r="E300" s="2" t="inlineStr">
        <is>
          <t>Dinheiro</t>
        </is>
      </c>
      <c r="F300" s="2" t="inlineStr">
        <is>
          <t>Boleto "65286" do cliente "MARIA LEONOR BATISTA LEITE"</t>
        </is>
      </c>
      <c r="G300" s="2" t="inlineStr">
        <is>
          <t>system</t>
        </is>
      </c>
      <c r="H300" s="2" t="inlineStr">
        <is>
          <t>01.01.01 : Mensalidade</t>
        </is>
      </c>
      <c r="I300" s="3" t="n">
        <v>104.9</v>
      </c>
      <c r="J300" s="2" t="n"/>
      <c r="K300" s="2">
        <f>IF(H300="02.09 : Outras Saídas", IF(OR(ISNUMBER(SEARCH("CHEQUE COMPE SICREDI", F300)), ISNUMBER(SEARCH("aniversario", F300)), ISNUMBER(SEARCH("churrasco", F300)), ISNUMBER(SEARCH("bolo", F300)), ISNUMBER(SEARCH("SUPERMERCADO", F300))), "6.1 Despesas Administrativas (Pessoal)", IF(OR(ISNUMBER(SEARCH("DLKNET", F300)), ISNUMBER(SEARCH("TESTE", F300))), "6.1 Despesas Administrativas (Gerais)", IFERROR(VLOOKUP(H300, De_Para!A:B, 2, FALSE), "NÃO MAPEADO"))), IFERROR(VLOOKUP(H300, De_Para!A:B, 2, FALSE), "NÃO MAPEADO"))</f>
        <v/>
      </c>
    </row>
    <row r="301">
      <c r="A301" s="2" t="inlineStr">
        <is>
          <t>69398</t>
        </is>
      </c>
      <c r="B301" s="2" t="inlineStr">
        <is>
          <t>Sicoob</t>
        </is>
      </c>
      <c r="C301" s="2" t="inlineStr">
        <is>
          <t>24/06/2026</t>
        </is>
      </c>
      <c r="D301" s="2" t="inlineStr">
        <is>
          <t>24/06/2026</t>
        </is>
      </c>
      <c r="E301" s="2" t="inlineStr">
        <is>
          <t>Dinheiro</t>
        </is>
      </c>
      <c r="F301" s="2" t="inlineStr">
        <is>
          <t>Boleto "61317" do cliente "CLAUDINEI DIAS"</t>
        </is>
      </c>
      <c r="G301" s="2" t="inlineStr">
        <is>
          <t>system</t>
        </is>
      </c>
      <c r="H301" s="2" t="inlineStr">
        <is>
          <t>02.03.02.01 : Cobrança Bancaria</t>
        </is>
      </c>
      <c r="I301" s="2" t="n"/>
      <c r="J301" s="3" t="n">
        <v>-0.88</v>
      </c>
      <c r="K301" s="2">
        <f>IF(H301="02.09 : Outras Saídas", IF(OR(ISNUMBER(SEARCH("CHEQUE COMPE SICREDI", F301)), ISNUMBER(SEARCH("aniversario", F301)), ISNUMBER(SEARCH("churrasco", F301)), ISNUMBER(SEARCH("bolo", F301)), ISNUMBER(SEARCH("SUPERMERCADO", F301))), "6.1 Despesas Administrativas (Pessoal)", IF(OR(ISNUMBER(SEARCH("DLKNET", F301)), ISNUMBER(SEARCH("TESTE", F301))), "6.1 Despesas Administrativas (Gerais)", IFERROR(VLOOKUP(H301, De_Para!A:B, 2, FALSE), "NÃO MAPEADO"))), IFERROR(VLOOKUP(H301, De_Para!A:B, 2, FALSE), "NÃO MAPEADO"))</f>
        <v/>
      </c>
    </row>
    <row r="302">
      <c r="A302" s="2" t="inlineStr">
        <is>
          <t>69397</t>
        </is>
      </c>
      <c r="B302" s="2" t="inlineStr">
        <is>
          <t>Sicoob</t>
        </is>
      </c>
      <c r="C302" s="2" t="inlineStr">
        <is>
          <t>24/06/2026</t>
        </is>
      </c>
      <c r="D302" s="2" t="inlineStr">
        <is>
          <t>24/06/2026</t>
        </is>
      </c>
      <c r="E302" s="2" t="inlineStr">
        <is>
          <t>Dinheiro</t>
        </is>
      </c>
      <c r="F302" s="2" t="inlineStr">
        <is>
          <t>Boleto "61317" do cliente "CLAUDINEI DIAS"</t>
        </is>
      </c>
      <c r="G302" s="2" t="inlineStr">
        <is>
          <t>system</t>
        </is>
      </c>
      <c r="H302" s="2" t="inlineStr">
        <is>
          <t>01.01.01 : Mensalidade</t>
        </is>
      </c>
      <c r="I302" s="3" t="n">
        <v>105</v>
      </c>
      <c r="J302" s="2" t="n"/>
      <c r="K302" s="2">
        <f>IF(H302="02.09 : Outras Saídas", IF(OR(ISNUMBER(SEARCH("CHEQUE COMPE SICREDI", F302)), ISNUMBER(SEARCH("aniversario", F302)), ISNUMBER(SEARCH("churrasco", F302)), ISNUMBER(SEARCH("bolo", F302)), ISNUMBER(SEARCH("SUPERMERCADO", F302))), "6.1 Despesas Administrativas (Pessoal)", IF(OR(ISNUMBER(SEARCH("DLKNET", F302)), ISNUMBER(SEARCH("TESTE", F302))), "6.1 Despesas Administrativas (Gerais)", IFERROR(VLOOKUP(H302, De_Para!A:B, 2, FALSE), "NÃO MAPEADO"))), IFERROR(VLOOKUP(H302, De_Para!A:B, 2, FALSE), "NÃO MAPEADO"))</f>
        <v/>
      </c>
    </row>
    <row r="303">
      <c r="A303" s="2" t="inlineStr">
        <is>
          <t>69396</t>
        </is>
      </c>
      <c r="B303" s="2" t="inlineStr">
        <is>
          <t>Sicoob</t>
        </is>
      </c>
      <c r="C303" s="2" t="inlineStr">
        <is>
          <t>24/06/2026</t>
        </is>
      </c>
      <c r="D303" s="2" t="inlineStr">
        <is>
          <t>24/06/2026</t>
        </is>
      </c>
      <c r="E303" s="2" t="inlineStr">
        <is>
          <t>Dinheiro</t>
        </is>
      </c>
      <c r="F303" s="2" t="inlineStr">
        <is>
          <t>Boleto "60734" do cliente "ZENILDE DOS SANTOS OLIVEIRA"</t>
        </is>
      </c>
      <c r="G303" s="2" t="inlineStr">
        <is>
          <t>system</t>
        </is>
      </c>
      <c r="H303" s="2" t="inlineStr">
        <is>
          <t>02.03.02.01 : Cobrança Bancaria</t>
        </is>
      </c>
      <c r="I303" s="2" t="n"/>
      <c r="J303" s="3" t="n">
        <v>-0.88</v>
      </c>
      <c r="K303" s="2">
        <f>IF(H303="02.09 : Outras Saídas", IF(OR(ISNUMBER(SEARCH("CHEQUE COMPE SICREDI", F303)), ISNUMBER(SEARCH("aniversario", F303)), ISNUMBER(SEARCH("churrasco", F303)), ISNUMBER(SEARCH("bolo", F303)), ISNUMBER(SEARCH("SUPERMERCADO", F303))), "6.1 Despesas Administrativas (Pessoal)", IF(OR(ISNUMBER(SEARCH("DLKNET", F303)), ISNUMBER(SEARCH("TESTE", F303))), "6.1 Despesas Administrativas (Gerais)", IFERROR(VLOOKUP(H303, De_Para!A:B, 2, FALSE), "NÃO MAPEADO"))), IFERROR(VLOOKUP(H303, De_Para!A:B, 2, FALSE), "NÃO MAPEADO"))</f>
        <v/>
      </c>
    </row>
    <row r="304">
      <c r="A304" s="2" t="inlineStr">
        <is>
          <t>69395</t>
        </is>
      </c>
      <c r="B304" s="2" t="inlineStr">
        <is>
          <t>Sicoob</t>
        </is>
      </c>
      <c r="C304" s="2" t="inlineStr">
        <is>
          <t>24/06/2026</t>
        </is>
      </c>
      <c r="D304" s="2" t="inlineStr">
        <is>
          <t>24/06/2026</t>
        </is>
      </c>
      <c r="E304" s="2" t="inlineStr">
        <is>
          <t>Dinheiro</t>
        </is>
      </c>
      <c r="F304" s="2" t="inlineStr">
        <is>
          <t>Boleto "60734" do cliente "ZENILDE DOS SANTOS OLIVEIRA"</t>
        </is>
      </c>
      <c r="G304" s="2" t="inlineStr">
        <is>
          <t>system</t>
        </is>
      </c>
      <c r="H304" s="2" t="inlineStr">
        <is>
          <t>01.01.01 : Mensalidade</t>
        </is>
      </c>
      <c r="I304" s="3" t="n">
        <v>112.53</v>
      </c>
      <c r="J304" s="2" t="n"/>
      <c r="K304" s="2">
        <f>IF(H304="02.09 : Outras Saídas", IF(OR(ISNUMBER(SEARCH("CHEQUE COMPE SICREDI", F304)), ISNUMBER(SEARCH("aniversario", F304)), ISNUMBER(SEARCH("churrasco", F304)), ISNUMBER(SEARCH("bolo", F304)), ISNUMBER(SEARCH("SUPERMERCADO", F304))), "6.1 Despesas Administrativas (Pessoal)", IF(OR(ISNUMBER(SEARCH("DLKNET", F304)), ISNUMBER(SEARCH("TESTE", F304))), "6.1 Despesas Administrativas (Gerais)", IFERROR(VLOOKUP(H304, De_Para!A:B, 2, FALSE), "NÃO MAPEADO"))), IFERROR(VLOOKUP(H304, De_Para!A:B, 2, FALSE), "NÃO MAPEADO"))</f>
        <v/>
      </c>
    </row>
    <row r="305">
      <c r="A305" s="2" t="inlineStr">
        <is>
          <t>69394</t>
        </is>
      </c>
      <c r="B305" s="2" t="inlineStr">
        <is>
          <t>Sicoob</t>
        </is>
      </c>
      <c r="C305" s="2" t="inlineStr">
        <is>
          <t>24/06/2026</t>
        </is>
      </c>
      <c r="D305" s="2" t="inlineStr">
        <is>
          <t>24/06/2026</t>
        </is>
      </c>
      <c r="E305" s="2" t="inlineStr">
        <is>
          <t>Dinheiro</t>
        </is>
      </c>
      <c r="F305" s="2" t="inlineStr">
        <is>
          <t>Boleto "60505" do cliente "INEIDE PEREIRA MACHADO FARIA"</t>
        </is>
      </c>
      <c r="G305" s="2" t="inlineStr">
        <is>
          <t>system</t>
        </is>
      </c>
      <c r="H305" s="2" t="inlineStr">
        <is>
          <t>02.03.02.01 : Cobrança Bancaria</t>
        </is>
      </c>
      <c r="I305" s="2" t="n"/>
      <c r="J305" s="3" t="n">
        <v>-0.88</v>
      </c>
      <c r="K305" s="2">
        <f>IF(H305="02.09 : Outras Saídas", IF(OR(ISNUMBER(SEARCH("CHEQUE COMPE SICREDI", F305)), ISNUMBER(SEARCH("aniversario", F305)), ISNUMBER(SEARCH("churrasco", F305)), ISNUMBER(SEARCH("bolo", F305)), ISNUMBER(SEARCH("SUPERMERCADO", F305))), "6.1 Despesas Administrativas (Pessoal)", IF(OR(ISNUMBER(SEARCH("DLKNET", F305)), ISNUMBER(SEARCH("TESTE", F305))), "6.1 Despesas Administrativas (Gerais)", IFERROR(VLOOKUP(H305, De_Para!A:B, 2, FALSE), "NÃO MAPEADO"))), IFERROR(VLOOKUP(H305, De_Para!A:B, 2, FALSE), "NÃO MAPEADO"))</f>
        <v/>
      </c>
    </row>
    <row r="306">
      <c r="A306" s="2" t="inlineStr">
        <is>
          <t>69393</t>
        </is>
      </c>
      <c r="B306" s="2" t="inlineStr">
        <is>
          <t>Sicoob</t>
        </is>
      </c>
      <c r="C306" s="2" t="inlineStr">
        <is>
          <t>24/06/2026</t>
        </is>
      </c>
      <c r="D306" s="2" t="inlineStr">
        <is>
          <t>24/06/2026</t>
        </is>
      </c>
      <c r="E306" s="2" t="inlineStr">
        <is>
          <t>Dinheiro</t>
        </is>
      </c>
      <c r="F306" s="2" t="inlineStr">
        <is>
          <t>Boleto "60505" do cliente "INEIDE PEREIRA MACHADO FARIA"</t>
        </is>
      </c>
      <c r="G306" s="2" t="inlineStr">
        <is>
          <t>system</t>
        </is>
      </c>
      <c r="H306" s="2" t="inlineStr">
        <is>
          <t>01.01.01 : Mensalidade</t>
        </is>
      </c>
      <c r="I306" s="3" t="n">
        <v>105</v>
      </c>
      <c r="J306" s="2" t="n"/>
      <c r="K306" s="2">
        <f>IF(H306="02.09 : Outras Saídas", IF(OR(ISNUMBER(SEARCH("CHEQUE COMPE SICREDI", F306)), ISNUMBER(SEARCH("aniversario", F306)), ISNUMBER(SEARCH("churrasco", F306)), ISNUMBER(SEARCH("bolo", F306)), ISNUMBER(SEARCH("SUPERMERCADO", F306))), "6.1 Despesas Administrativas (Pessoal)", IF(OR(ISNUMBER(SEARCH("DLKNET", F306)), ISNUMBER(SEARCH("TESTE", F306))), "6.1 Despesas Administrativas (Gerais)", IFERROR(VLOOKUP(H306, De_Para!A:B, 2, FALSE), "NÃO MAPEADO"))), IFERROR(VLOOKUP(H306, De_Para!A:B, 2, FALSE), "NÃO MAPEADO"))</f>
        <v/>
      </c>
    </row>
    <row r="307">
      <c r="A307" s="2" t="inlineStr">
        <is>
          <t>69392</t>
        </is>
      </c>
      <c r="B307" s="2" t="inlineStr">
        <is>
          <t>Sicredi SNI</t>
        </is>
      </c>
      <c r="C307" s="2" t="inlineStr">
        <is>
          <t>24/06/2026</t>
        </is>
      </c>
      <c r="D307" s="2" t="inlineStr">
        <is>
          <t>24/06/2026</t>
        </is>
      </c>
      <c r="E307" s="2" t="inlineStr">
        <is>
          <t>PIX</t>
        </is>
      </c>
      <c r="F307" s="2" t="inlineStr">
        <is>
          <t>Boleto "64545" do cliente "ELISANGELA CARDOSO ARANTES"</t>
        </is>
      </c>
      <c r="G307" s="2" t="inlineStr">
        <is>
          <t>system</t>
        </is>
      </c>
      <c r="H307" s="2" t="inlineStr">
        <is>
          <t>02.03.02.01 : Cobrança Bancaria</t>
        </is>
      </c>
      <c r="I307" s="2" t="n"/>
      <c r="J307" s="3" t="n">
        <v>-0.49</v>
      </c>
      <c r="K307" s="2">
        <f>IF(H307="02.09 : Outras Saídas", IF(OR(ISNUMBER(SEARCH("CHEQUE COMPE SICREDI", F307)), ISNUMBER(SEARCH("aniversario", F307)), ISNUMBER(SEARCH("churrasco", F307)), ISNUMBER(SEARCH("bolo", F307)), ISNUMBER(SEARCH("SUPERMERCADO", F307))), "6.1 Despesas Administrativas (Pessoal)", IF(OR(ISNUMBER(SEARCH("DLKNET", F307)), ISNUMBER(SEARCH("TESTE", F307))), "6.1 Despesas Administrativas (Gerais)", IFERROR(VLOOKUP(H307, De_Para!A:B, 2, FALSE), "NÃO MAPEADO"))), IFERROR(VLOOKUP(H307, De_Para!A:B, 2, FALSE), "NÃO MAPEADO"))</f>
        <v/>
      </c>
    </row>
    <row r="308">
      <c r="A308" s="2" t="inlineStr">
        <is>
          <t>69391</t>
        </is>
      </c>
      <c r="B308" s="2" t="inlineStr">
        <is>
          <t>Sicredi SNI</t>
        </is>
      </c>
      <c r="C308" s="2" t="inlineStr">
        <is>
          <t>24/06/2026</t>
        </is>
      </c>
      <c r="D308" s="2" t="inlineStr">
        <is>
          <t>24/06/2026</t>
        </is>
      </c>
      <c r="E308" s="2" t="inlineStr">
        <is>
          <t>PIX</t>
        </is>
      </c>
      <c r="F308" s="2" t="inlineStr">
        <is>
          <t>Boleto "64545" do cliente "ELISANGELA CARDOSO ARANTES"</t>
        </is>
      </c>
      <c r="G308" s="2" t="inlineStr">
        <is>
          <t>system</t>
        </is>
      </c>
      <c r="H308" s="2" t="inlineStr">
        <is>
          <t>01.01.01 : Mensalidade</t>
        </is>
      </c>
      <c r="I308" s="3" t="n">
        <v>107.45</v>
      </c>
      <c r="J308" s="2" t="n"/>
      <c r="K308" s="2">
        <f>IF(H308="02.09 : Outras Saídas", IF(OR(ISNUMBER(SEARCH("CHEQUE COMPE SICREDI", F308)), ISNUMBER(SEARCH("aniversario", F308)), ISNUMBER(SEARCH("churrasco", F308)), ISNUMBER(SEARCH("bolo", F308)), ISNUMBER(SEARCH("SUPERMERCADO", F308))), "6.1 Despesas Administrativas (Pessoal)", IF(OR(ISNUMBER(SEARCH("DLKNET", F308)), ISNUMBER(SEARCH("TESTE", F308))), "6.1 Despesas Administrativas (Gerais)", IFERROR(VLOOKUP(H308, De_Para!A:B, 2, FALSE), "NÃO MAPEADO"))), IFERROR(VLOOKUP(H308, De_Para!A:B, 2, FALSE), "NÃO MAPEADO"))</f>
        <v/>
      </c>
    </row>
    <row r="309">
      <c r="A309" s="2" t="inlineStr">
        <is>
          <t>69390</t>
        </is>
      </c>
      <c r="B309" s="2" t="inlineStr">
        <is>
          <t>Sicoob</t>
        </is>
      </c>
      <c r="C309" s="2" t="inlineStr">
        <is>
          <t>24/06/2026</t>
        </is>
      </c>
      <c r="D309" s="2" t="inlineStr">
        <is>
          <t>24/06/2026</t>
        </is>
      </c>
      <c r="E309" s="2" t="inlineStr">
        <is>
          <t>Dinheiro</t>
        </is>
      </c>
      <c r="F309" s="2" t="inlineStr">
        <is>
          <t>Boleto "67465" do cliente "DIRCEU FERNANDES CORREIA"</t>
        </is>
      </c>
      <c r="G309" s="2" t="inlineStr">
        <is>
          <t>system</t>
        </is>
      </c>
      <c r="H309" s="2" t="inlineStr">
        <is>
          <t>02.03.02.01 : Cobrança Bancaria</t>
        </is>
      </c>
      <c r="I309" s="2" t="n"/>
      <c r="J309" s="3" t="n">
        <v>-0.88</v>
      </c>
      <c r="K309" s="2">
        <f>IF(H309="02.09 : Outras Saídas", IF(OR(ISNUMBER(SEARCH("CHEQUE COMPE SICREDI", F309)), ISNUMBER(SEARCH("aniversario", F309)), ISNUMBER(SEARCH("churrasco", F309)), ISNUMBER(SEARCH("bolo", F309)), ISNUMBER(SEARCH("SUPERMERCADO", F309))), "6.1 Despesas Administrativas (Pessoal)", IF(OR(ISNUMBER(SEARCH("DLKNET", F309)), ISNUMBER(SEARCH("TESTE", F309))), "6.1 Despesas Administrativas (Gerais)", IFERROR(VLOOKUP(H309, De_Para!A:B, 2, FALSE), "NÃO MAPEADO"))), IFERROR(VLOOKUP(H309, De_Para!A:B, 2, FALSE), "NÃO MAPEADO"))</f>
        <v/>
      </c>
    </row>
    <row r="310">
      <c r="A310" s="2" t="inlineStr">
        <is>
          <t>69389</t>
        </is>
      </c>
      <c r="B310" s="2" t="inlineStr">
        <is>
          <t>Sicoob</t>
        </is>
      </c>
      <c r="C310" s="2" t="inlineStr">
        <is>
          <t>24/06/2026</t>
        </is>
      </c>
      <c r="D310" s="2" t="inlineStr">
        <is>
          <t>24/06/2026</t>
        </is>
      </c>
      <c r="E310" s="2" t="inlineStr">
        <is>
          <t>Dinheiro</t>
        </is>
      </c>
      <c r="F310" s="2" t="inlineStr">
        <is>
          <t>Boleto "67465" do cliente "DIRCEU FERNANDES CORREIA"</t>
        </is>
      </c>
      <c r="G310" s="2" t="inlineStr">
        <is>
          <t>system</t>
        </is>
      </c>
      <c r="H310" s="2" t="inlineStr">
        <is>
          <t>01.03.01 : Mensalidade</t>
        </is>
      </c>
      <c r="I310" s="3" t="n">
        <v>105</v>
      </c>
      <c r="J310" s="2" t="n"/>
      <c r="K310" s="2">
        <f>IF(H310="02.09 : Outras Saídas", IF(OR(ISNUMBER(SEARCH("CHEQUE COMPE SICREDI", F310)), ISNUMBER(SEARCH("aniversario", F310)), ISNUMBER(SEARCH("churrasco", F310)), ISNUMBER(SEARCH("bolo", F310)), ISNUMBER(SEARCH("SUPERMERCADO", F310))), "6.1 Despesas Administrativas (Pessoal)", IF(OR(ISNUMBER(SEARCH("DLKNET", F310)), ISNUMBER(SEARCH("TESTE", F310))), "6.1 Despesas Administrativas (Gerais)", IFERROR(VLOOKUP(H310, De_Para!A:B, 2, FALSE), "NÃO MAPEADO"))), IFERROR(VLOOKUP(H310, De_Para!A:B, 2, FALSE), "NÃO MAPEADO"))</f>
        <v/>
      </c>
    </row>
    <row r="311">
      <c r="A311" s="2" t="inlineStr">
        <is>
          <t>69388</t>
        </is>
      </c>
      <c r="B311" s="2" t="inlineStr">
        <is>
          <t>Sicoob</t>
        </is>
      </c>
      <c r="C311" s="2" t="inlineStr">
        <is>
          <t>24/06/2026</t>
        </is>
      </c>
      <c r="D311" s="2" t="inlineStr">
        <is>
          <t>24/06/2026</t>
        </is>
      </c>
      <c r="E311" s="2" t="inlineStr">
        <is>
          <t>Dinheiro</t>
        </is>
      </c>
      <c r="F311" s="2" t="inlineStr">
        <is>
          <t>Boleto "59237" do cliente "ROBERTO LOPES DA ROSA"</t>
        </is>
      </c>
      <c r="G311" s="2" t="inlineStr">
        <is>
          <t>system</t>
        </is>
      </c>
      <c r="H311" s="2" t="inlineStr">
        <is>
          <t>02.03.02.01 : Cobrança Bancaria</t>
        </is>
      </c>
      <c r="I311" s="2" t="n"/>
      <c r="J311" s="3" t="n">
        <v>-0.88</v>
      </c>
      <c r="K311" s="2">
        <f>IF(H311="02.09 : Outras Saídas", IF(OR(ISNUMBER(SEARCH("CHEQUE COMPE SICREDI", F311)), ISNUMBER(SEARCH("aniversario", F311)), ISNUMBER(SEARCH("churrasco", F311)), ISNUMBER(SEARCH("bolo", F311)), ISNUMBER(SEARCH("SUPERMERCADO", F311))), "6.1 Despesas Administrativas (Pessoal)", IF(OR(ISNUMBER(SEARCH("DLKNET", F311)), ISNUMBER(SEARCH("TESTE", F311))), "6.1 Despesas Administrativas (Gerais)", IFERROR(VLOOKUP(H311, De_Para!A:B, 2, FALSE), "NÃO MAPEADO"))), IFERROR(VLOOKUP(H311, De_Para!A:B, 2, FALSE), "NÃO MAPEADO"))</f>
        <v/>
      </c>
    </row>
    <row r="312">
      <c r="A312" s="2" t="inlineStr">
        <is>
          <t>69387</t>
        </is>
      </c>
      <c r="B312" s="2" t="inlineStr">
        <is>
          <t>Sicoob</t>
        </is>
      </c>
      <c r="C312" s="2" t="inlineStr">
        <is>
          <t>24/06/2026</t>
        </is>
      </c>
      <c r="D312" s="2" t="inlineStr">
        <is>
          <t>24/06/2026</t>
        </is>
      </c>
      <c r="E312" s="2" t="inlineStr">
        <is>
          <t>Dinheiro</t>
        </is>
      </c>
      <c r="F312" s="2" t="inlineStr">
        <is>
          <t>Boleto "59237" do cliente "ROBERTO LOPES DA ROSA"</t>
        </is>
      </c>
      <c r="G312" s="2" t="inlineStr">
        <is>
          <t>system</t>
        </is>
      </c>
      <c r="H312" s="2" t="inlineStr">
        <is>
          <t>01.01.01 : Mensalidade</t>
        </is>
      </c>
      <c r="I312" s="3" t="n">
        <v>105</v>
      </c>
      <c r="J312" s="2" t="n"/>
      <c r="K312" s="2">
        <f>IF(H312="02.09 : Outras Saídas", IF(OR(ISNUMBER(SEARCH("CHEQUE COMPE SICREDI", F312)), ISNUMBER(SEARCH("aniversario", F312)), ISNUMBER(SEARCH("churrasco", F312)), ISNUMBER(SEARCH("bolo", F312)), ISNUMBER(SEARCH("SUPERMERCADO", F312))), "6.1 Despesas Administrativas (Pessoal)", IF(OR(ISNUMBER(SEARCH("DLKNET", F312)), ISNUMBER(SEARCH("TESTE", F312))), "6.1 Despesas Administrativas (Gerais)", IFERROR(VLOOKUP(H312, De_Para!A:B, 2, FALSE), "NÃO MAPEADO"))), IFERROR(VLOOKUP(H312, De_Para!A:B, 2, FALSE), "NÃO MAPEADO"))</f>
        <v/>
      </c>
    </row>
    <row r="313">
      <c r="A313" s="2" t="inlineStr">
        <is>
          <t>69386</t>
        </is>
      </c>
      <c r="B313" s="2" t="inlineStr">
        <is>
          <t>Sicoob</t>
        </is>
      </c>
      <c r="C313" s="2" t="inlineStr">
        <is>
          <t>24/06/2026</t>
        </is>
      </c>
      <c r="D313" s="2" t="inlineStr">
        <is>
          <t>23/06/2026</t>
        </is>
      </c>
      <c r="E313" s="2" t="inlineStr">
        <is>
          <t>Dinheiro</t>
        </is>
      </c>
      <c r="F313" s="2" t="inlineStr">
        <is>
          <t>Boleto "54301" do cliente "MARIA NUNES DA SILVA"</t>
        </is>
      </c>
      <c r="G313" s="2" t="inlineStr">
        <is>
          <t>system</t>
        </is>
      </c>
      <c r="H313" s="2" t="inlineStr">
        <is>
          <t>02.03.02.01 : Cobrança Bancaria</t>
        </is>
      </c>
      <c r="I313" s="2" t="n"/>
      <c r="J313" s="3" t="n">
        <v>-0.88</v>
      </c>
      <c r="K313" s="2">
        <f>IF(H313="02.09 : Outras Saídas", IF(OR(ISNUMBER(SEARCH("CHEQUE COMPE SICREDI", F313)), ISNUMBER(SEARCH("aniversario", F313)), ISNUMBER(SEARCH("churrasco", F313)), ISNUMBER(SEARCH("bolo", F313)), ISNUMBER(SEARCH("SUPERMERCADO", F313))), "6.1 Despesas Administrativas (Pessoal)", IF(OR(ISNUMBER(SEARCH("DLKNET", F313)), ISNUMBER(SEARCH("TESTE", F313))), "6.1 Despesas Administrativas (Gerais)", IFERROR(VLOOKUP(H313, De_Para!A:B, 2, FALSE), "NÃO MAPEADO"))), IFERROR(VLOOKUP(H313, De_Para!A:B, 2, FALSE), "NÃO MAPEADO"))</f>
        <v/>
      </c>
    </row>
    <row r="314">
      <c r="A314" s="2" t="inlineStr">
        <is>
          <t>69385</t>
        </is>
      </c>
      <c r="B314" s="2" t="inlineStr">
        <is>
          <t>Sicoob</t>
        </is>
      </c>
      <c r="C314" s="2" t="inlineStr">
        <is>
          <t>24/06/2026</t>
        </is>
      </c>
      <c r="D314" s="2" t="inlineStr">
        <is>
          <t>23/06/2026</t>
        </is>
      </c>
      <c r="E314" s="2" t="inlineStr">
        <is>
          <t>Dinheiro</t>
        </is>
      </c>
      <c r="F314" s="2" t="inlineStr">
        <is>
          <t>Boleto "54301" do cliente "MARIA NUNES DA SILVA"</t>
        </is>
      </c>
      <c r="G314" s="2" t="inlineStr">
        <is>
          <t>system</t>
        </is>
      </c>
      <c r="H314" s="2" t="inlineStr">
        <is>
          <t>01.01.01 : Mensalidade</t>
        </is>
      </c>
      <c r="I314" s="3" t="n">
        <v>107.2</v>
      </c>
      <c r="J314" s="2" t="n"/>
      <c r="K314" s="2">
        <f>IF(H314="02.09 : Outras Saídas", IF(OR(ISNUMBER(SEARCH("CHEQUE COMPE SICREDI", F314)), ISNUMBER(SEARCH("aniversario", F314)), ISNUMBER(SEARCH("churrasco", F314)), ISNUMBER(SEARCH("bolo", F314)), ISNUMBER(SEARCH("SUPERMERCADO", F314))), "6.1 Despesas Administrativas (Pessoal)", IF(OR(ISNUMBER(SEARCH("DLKNET", F314)), ISNUMBER(SEARCH("TESTE", F314))), "6.1 Despesas Administrativas (Gerais)", IFERROR(VLOOKUP(H314, De_Para!A:B, 2, FALSE), "NÃO MAPEADO"))), IFERROR(VLOOKUP(H314, De_Para!A:B, 2, FALSE), "NÃO MAPEADO"))</f>
        <v/>
      </c>
    </row>
    <row r="315">
      <c r="A315" s="2" t="inlineStr">
        <is>
          <t>69384</t>
        </is>
      </c>
      <c r="B315" s="2" t="inlineStr">
        <is>
          <t>Sicoob</t>
        </is>
      </c>
      <c r="C315" s="2" t="inlineStr">
        <is>
          <t>24/06/2026</t>
        </is>
      </c>
      <c r="D315" s="2" t="inlineStr">
        <is>
          <t>23/06/2026</t>
        </is>
      </c>
      <c r="E315" s="2" t="inlineStr">
        <is>
          <t>Dinheiro</t>
        </is>
      </c>
      <c r="F315" s="2" t="inlineStr">
        <is>
          <t>Boleto "67475" do cliente "LUIS OTÁVIO BROCAL NABOR DA SILVA"</t>
        </is>
      </c>
      <c r="G315" s="2" t="inlineStr">
        <is>
          <t>system</t>
        </is>
      </c>
      <c r="H315" s="2" t="inlineStr">
        <is>
          <t>02.03.02.01 : Cobrança Bancaria</t>
        </is>
      </c>
      <c r="I315" s="2" t="n"/>
      <c r="J315" s="3" t="n">
        <v>-0.88</v>
      </c>
      <c r="K315" s="2">
        <f>IF(H315="02.09 : Outras Saídas", IF(OR(ISNUMBER(SEARCH("CHEQUE COMPE SICREDI", F315)), ISNUMBER(SEARCH("aniversario", F315)), ISNUMBER(SEARCH("churrasco", F315)), ISNUMBER(SEARCH("bolo", F315)), ISNUMBER(SEARCH("SUPERMERCADO", F315))), "6.1 Despesas Administrativas (Pessoal)", IF(OR(ISNUMBER(SEARCH("DLKNET", F315)), ISNUMBER(SEARCH("TESTE", F315))), "6.1 Despesas Administrativas (Gerais)", IFERROR(VLOOKUP(H315, De_Para!A:B, 2, FALSE), "NÃO MAPEADO"))), IFERROR(VLOOKUP(H315, De_Para!A:B, 2, FALSE), "NÃO MAPEADO"))</f>
        <v/>
      </c>
    </row>
    <row r="316">
      <c r="A316" s="2" t="inlineStr">
        <is>
          <t>69383</t>
        </is>
      </c>
      <c r="B316" s="2" t="inlineStr">
        <is>
          <t>Sicoob</t>
        </is>
      </c>
      <c r="C316" s="2" t="inlineStr">
        <is>
          <t>24/06/2026</t>
        </is>
      </c>
      <c r="D316" s="2" t="inlineStr">
        <is>
          <t>23/06/2026</t>
        </is>
      </c>
      <c r="E316" s="2" t="inlineStr">
        <is>
          <t>Dinheiro</t>
        </is>
      </c>
      <c r="F316" s="2" t="inlineStr">
        <is>
          <t>Boleto "67475" do cliente "LUIS OTÁVIO BROCAL NABOR DA SILVA"</t>
        </is>
      </c>
      <c r="G316" s="2" t="inlineStr">
        <is>
          <t>system</t>
        </is>
      </c>
      <c r="H316" s="2" t="inlineStr">
        <is>
          <t>01.03.01 : Mensalidade</t>
        </is>
      </c>
      <c r="I316" s="3" t="n">
        <v>105</v>
      </c>
      <c r="J316" s="2" t="n"/>
      <c r="K316" s="2">
        <f>IF(H316="02.09 : Outras Saídas", IF(OR(ISNUMBER(SEARCH("CHEQUE COMPE SICREDI", F316)), ISNUMBER(SEARCH("aniversario", F316)), ISNUMBER(SEARCH("churrasco", F316)), ISNUMBER(SEARCH("bolo", F316)), ISNUMBER(SEARCH("SUPERMERCADO", F316))), "6.1 Despesas Administrativas (Pessoal)", IF(OR(ISNUMBER(SEARCH("DLKNET", F316)), ISNUMBER(SEARCH("TESTE", F316))), "6.1 Despesas Administrativas (Gerais)", IFERROR(VLOOKUP(H316, De_Para!A:B, 2, FALSE), "NÃO MAPEADO"))), IFERROR(VLOOKUP(H316, De_Para!A:B, 2, FALSE), "NÃO MAPEADO"))</f>
        <v/>
      </c>
    </row>
    <row r="317">
      <c r="A317" s="2" t="inlineStr">
        <is>
          <t>69382</t>
        </is>
      </c>
      <c r="B317" s="2" t="inlineStr">
        <is>
          <t>Sicoob</t>
        </is>
      </c>
      <c r="C317" s="2" t="inlineStr">
        <is>
          <t>24/06/2026</t>
        </is>
      </c>
      <c r="D317" s="2" t="inlineStr">
        <is>
          <t>23/06/2026</t>
        </is>
      </c>
      <c r="E317" s="2" t="inlineStr">
        <is>
          <t>Dinheiro</t>
        </is>
      </c>
      <c r="F317" s="2" t="inlineStr">
        <is>
          <t>Boleto "67455" do cliente "LUIS OTÁVIO BROCAL NABOR DA SILVA"</t>
        </is>
      </c>
      <c r="G317" s="2" t="inlineStr">
        <is>
          <t>system</t>
        </is>
      </c>
      <c r="H317" s="2" t="inlineStr">
        <is>
          <t>02.03.02.01 : Cobrança Bancaria</t>
        </is>
      </c>
      <c r="I317" s="2" t="n"/>
      <c r="J317" s="3" t="n">
        <v>-0.88</v>
      </c>
      <c r="K317" s="2">
        <f>IF(H317="02.09 : Outras Saídas", IF(OR(ISNUMBER(SEARCH("CHEQUE COMPE SICREDI", F317)), ISNUMBER(SEARCH("aniversario", F317)), ISNUMBER(SEARCH("churrasco", F317)), ISNUMBER(SEARCH("bolo", F317)), ISNUMBER(SEARCH("SUPERMERCADO", F317))), "6.1 Despesas Administrativas (Pessoal)", IF(OR(ISNUMBER(SEARCH("DLKNET", F317)), ISNUMBER(SEARCH("TESTE", F317))), "6.1 Despesas Administrativas (Gerais)", IFERROR(VLOOKUP(H317, De_Para!A:B, 2, FALSE), "NÃO MAPEADO"))), IFERROR(VLOOKUP(H317, De_Para!A:B, 2, FALSE), "NÃO MAPEADO"))</f>
        <v/>
      </c>
    </row>
    <row r="318">
      <c r="A318" s="2" t="inlineStr">
        <is>
          <t>69381</t>
        </is>
      </c>
      <c r="B318" s="2" t="inlineStr">
        <is>
          <t>Sicoob</t>
        </is>
      </c>
      <c r="C318" s="2" t="inlineStr">
        <is>
          <t>24/06/2026</t>
        </is>
      </c>
      <c r="D318" s="2" t="inlineStr">
        <is>
          <t>23/06/2026</t>
        </is>
      </c>
      <c r="E318" s="2" t="inlineStr">
        <is>
          <t>Dinheiro</t>
        </is>
      </c>
      <c r="F318" s="2" t="inlineStr">
        <is>
          <t>Boleto "67455" do cliente "LUIS OTÁVIO BROCAL NABOR DA SILVA"</t>
        </is>
      </c>
      <c r="G318" s="2" t="inlineStr">
        <is>
          <t>system</t>
        </is>
      </c>
      <c r="H318" s="2" t="inlineStr">
        <is>
          <t>01.03.01 : Mensalidade</t>
        </is>
      </c>
      <c r="I318" s="3" t="n">
        <v>105</v>
      </c>
      <c r="J318" s="2" t="n"/>
      <c r="K318" s="2">
        <f>IF(H318="02.09 : Outras Saídas", IF(OR(ISNUMBER(SEARCH("CHEQUE COMPE SICREDI", F318)), ISNUMBER(SEARCH("aniversario", F318)), ISNUMBER(SEARCH("churrasco", F318)), ISNUMBER(SEARCH("bolo", F318)), ISNUMBER(SEARCH("SUPERMERCADO", F318))), "6.1 Despesas Administrativas (Pessoal)", IF(OR(ISNUMBER(SEARCH("DLKNET", F318)), ISNUMBER(SEARCH("TESTE", F318))), "6.1 Despesas Administrativas (Gerais)", IFERROR(VLOOKUP(H318, De_Para!A:B, 2, FALSE), "NÃO MAPEADO"))), IFERROR(VLOOKUP(H318, De_Para!A:B, 2, FALSE), "NÃO MAPEADO"))</f>
        <v/>
      </c>
    </row>
    <row r="319">
      <c r="A319" s="2" t="inlineStr">
        <is>
          <t>69380</t>
        </is>
      </c>
      <c r="B319" s="2" t="inlineStr">
        <is>
          <t>Sicoob</t>
        </is>
      </c>
      <c r="C319" s="2" t="inlineStr">
        <is>
          <t>24/06/2026</t>
        </is>
      </c>
      <c r="D319" s="2" t="inlineStr">
        <is>
          <t>23/06/2026</t>
        </is>
      </c>
      <c r="E319" s="2" t="inlineStr">
        <is>
          <t>Dinheiro</t>
        </is>
      </c>
      <c r="F319" s="2" t="inlineStr">
        <is>
          <t>Boleto "64568" do cliente "MAURY IZIDORO"</t>
        </is>
      </c>
      <c r="G319" s="2" t="inlineStr">
        <is>
          <t>system</t>
        </is>
      </c>
      <c r="H319" s="2" t="inlineStr">
        <is>
          <t>02.03.02.01 : Cobrança Bancaria</t>
        </is>
      </c>
      <c r="I319" s="2" t="n"/>
      <c r="J319" s="3" t="n">
        <v>-0.88</v>
      </c>
      <c r="K319" s="2">
        <f>IF(H319="02.09 : Outras Saídas", IF(OR(ISNUMBER(SEARCH("CHEQUE COMPE SICREDI", F319)), ISNUMBER(SEARCH("aniversario", F319)), ISNUMBER(SEARCH("churrasco", F319)), ISNUMBER(SEARCH("bolo", F319)), ISNUMBER(SEARCH("SUPERMERCADO", F319))), "6.1 Despesas Administrativas (Pessoal)", IF(OR(ISNUMBER(SEARCH("DLKNET", F319)), ISNUMBER(SEARCH("TESTE", F319))), "6.1 Despesas Administrativas (Gerais)", IFERROR(VLOOKUP(H319, De_Para!A:B, 2, FALSE), "NÃO MAPEADO"))), IFERROR(VLOOKUP(H319, De_Para!A:B, 2, FALSE), "NÃO MAPEADO"))</f>
        <v/>
      </c>
    </row>
    <row r="320">
      <c r="A320" s="2" t="inlineStr">
        <is>
          <t>69379</t>
        </is>
      </c>
      <c r="B320" s="2" t="inlineStr">
        <is>
          <t>Sicoob</t>
        </is>
      </c>
      <c r="C320" s="2" t="inlineStr">
        <is>
          <t>24/06/2026</t>
        </is>
      </c>
      <c r="D320" s="2" t="inlineStr">
        <is>
          <t>23/06/2026</t>
        </is>
      </c>
      <c r="E320" s="2" t="inlineStr">
        <is>
          <t>Dinheiro</t>
        </is>
      </c>
      <c r="F320" s="2" t="inlineStr">
        <is>
          <t>Boleto "64568" do cliente "MAURY IZIDORO"</t>
        </is>
      </c>
      <c r="G320" s="2" t="inlineStr">
        <is>
          <t>system</t>
        </is>
      </c>
      <c r="H320" s="2" t="inlineStr">
        <is>
          <t>01.01.01 : Mensalidade</t>
        </is>
      </c>
      <c r="I320" s="3" t="n">
        <v>109.9</v>
      </c>
      <c r="J320" s="2" t="n"/>
      <c r="K320" s="2">
        <f>IF(H320="02.09 : Outras Saídas", IF(OR(ISNUMBER(SEARCH("CHEQUE COMPE SICREDI", F320)), ISNUMBER(SEARCH("aniversario", F320)), ISNUMBER(SEARCH("churrasco", F320)), ISNUMBER(SEARCH("bolo", F320)), ISNUMBER(SEARCH("SUPERMERCADO", F320))), "6.1 Despesas Administrativas (Pessoal)", IF(OR(ISNUMBER(SEARCH("DLKNET", F320)), ISNUMBER(SEARCH("TESTE", F320))), "6.1 Despesas Administrativas (Gerais)", IFERROR(VLOOKUP(H320, De_Para!A:B, 2, FALSE), "NÃO MAPEADO"))), IFERROR(VLOOKUP(H320, De_Para!A:B, 2, FALSE), "NÃO MAPEADO"))</f>
        <v/>
      </c>
    </row>
    <row r="321">
      <c r="A321" s="2" t="inlineStr">
        <is>
          <t>69378</t>
        </is>
      </c>
      <c r="B321" s="2" t="inlineStr">
        <is>
          <t>Sicoob</t>
        </is>
      </c>
      <c r="C321" s="2" t="inlineStr">
        <is>
          <t>24/06/2026</t>
        </is>
      </c>
      <c r="D321" s="2" t="inlineStr">
        <is>
          <t>23/06/2026</t>
        </is>
      </c>
      <c r="E321" s="2" t="inlineStr">
        <is>
          <t>Dinheiro</t>
        </is>
      </c>
      <c r="F321" s="2" t="inlineStr">
        <is>
          <t>Boleto "60079" do cliente "FABIÉLE BATISTA DA SILVA"</t>
        </is>
      </c>
      <c r="G321" s="2" t="inlineStr">
        <is>
          <t>system</t>
        </is>
      </c>
      <c r="H321" s="2" t="inlineStr">
        <is>
          <t>02.03.02.01 : Cobrança Bancaria</t>
        </is>
      </c>
      <c r="I321" s="2" t="n"/>
      <c r="J321" s="3" t="n">
        <v>-0.3</v>
      </c>
      <c r="K321" s="2">
        <f>IF(H321="02.09 : Outras Saídas", IF(OR(ISNUMBER(SEARCH("CHEQUE COMPE SICREDI", F321)), ISNUMBER(SEARCH("aniversario", F321)), ISNUMBER(SEARCH("churrasco", F321)), ISNUMBER(SEARCH("bolo", F321)), ISNUMBER(SEARCH("SUPERMERCADO", F321))), "6.1 Despesas Administrativas (Pessoal)", IF(OR(ISNUMBER(SEARCH("DLKNET", F321)), ISNUMBER(SEARCH("TESTE", F321))), "6.1 Despesas Administrativas (Gerais)", IFERROR(VLOOKUP(H321, De_Para!A:B, 2, FALSE), "NÃO MAPEADO"))), IFERROR(VLOOKUP(H321, De_Para!A:B, 2, FALSE), "NÃO MAPEADO"))</f>
        <v/>
      </c>
    </row>
    <row r="322">
      <c r="A322" s="2" t="inlineStr">
        <is>
          <t>69377</t>
        </is>
      </c>
      <c r="B322" s="2" t="inlineStr">
        <is>
          <t>Sicoob</t>
        </is>
      </c>
      <c r="C322" s="2" t="inlineStr">
        <is>
          <t>24/06/2026</t>
        </is>
      </c>
      <c r="D322" s="2" t="inlineStr">
        <is>
          <t>23/06/2026</t>
        </is>
      </c>
      <c r="E322" s="2" t="inlineStr">
        <is>
          <t>Dinheiro</t>
        </is>
      </c>
      <c r="F322" s="2" t="inlineStr">
        <is>
          <t>Boleto "60079" do cliente "FABIÉLE BATISTA DA SILVA"</t>
        </is>
      </c>
      <c r="G322" s="2" t="inlineStr">
        <is>
          <t>system</t>
        </is>
      </c>
      <c r="H322" s="2" t="inlineStr">
        <is>
          <t>01.01.01 : Mensalidade</t>
        </is>
      </c>
      <c r="I322" s="3" t="n">
        <v>100</v>
      </c>
      <c r="J322" s="2" t="n"/>
      <c r="K322" s="2">
        <f>IF(H322="02.09 : Outras Saídas", IF(OR(ISNUMBER(SEARCH("CHEQUE COMPE SICREDI", F322)), ISNUMBER(SEARCH("aniversario", F322)), ISNUMBER(SEARCH("churrasco", F322)), ISNUMBER(SEARCH("bolo", F322)), ISNUMBER(SEARCH("SUPERMERCADO", F322))), "6.1 Despesas Administrativas (Pessoal)", IF(OR(ISNUMBER(SEARCH("DLKNET", F322)), ISNUMBER(SEARCH("TESTE", F322))), "6.1 Despesas Administrativas (Gerais)", IFERROR(VLOOKUP(H322, De_Para!A:B, 2, FALSE), "NÃO MAPEADO"))), IFERROR(VLOOKUP(H322, De_Para!A:B, 2, FALSE), "NÃO MAPEADO"))</f>
        <v/>
      </c>
    </row>
    <row r="323">
      <c r="A323" s="2" t="inlineStr">
        <is>
          <t>69376</t>
        </is>
      </c>
      <c r="B323" s="2" t="inlineStr">
        <is>
          <t>Sicredi SNI</t>
        </is>
      </c>
      <c r="C323" s="2" t="inlineStr">
        <is>
          <t>23/06/2026</t>
        </is>
      </c>
      <c r="D323" s="2" t="inlineStr">
        <is>
          <t>23/06/2026</t>
        </is>
      </c>
      <c r="E323" s="2" t="inlineStr">
        <is>
          <t>PIX</t>
        </is>
      </c>
      <c r="F323" s="2" t="inlineStr">
        <is>
          <t>Boleto "60858" do cliente "PETERSON VITOR CAMARGO SZOSTEK"</t>
        </is>
      </c>
      <c r="G323" s="2" t="inlineStr">
        <is>
          <t>system</t>
        </is>
      </c>
      <c r="H323" s="2" t="inlineStr">
        <is>
          <t>02.03.02.01 : Cobrança Bancaria</t>
        </is>
      </c>
      <c r="I323" s="2" t="n"/>
      <c r="J323" s="3" t="n">
        <v>-0.49</v>
      </c>
      <c r="K323" s="2">
        <f>IF(H323="02.09 : Outras Saídas", IF(OR(ISNUMBER(SEARCH("CHEQUE COMPE SICREDI", F323)), ISNUMBER(SEARCH("aniversario", F323)), ISNUMBER(SEARCH("churrasco", F323)), ISNUMBER(SEARCH("bolo", F323)), ISNUMBER(SEARCH("SUPERMERCADO", F323))), "6.1 Despesas Administrativas (Pessoal)", IF(OR(ISNUMBER(SEARCH("DLKNET", F323)), ISNUMBER(SEARCH("TESTE", F323))), "6.1 Despesas Administrativas (Gerais)", IFERROR(VLOOKUP(H323, De_Para!A:B, 2, FALSE), "NÃO MAPEADO"))), IFERROR(VLOOKUP(H323, De_Para!A:B, 2, FALSE), "NÃO MAPEADO"))</f>
        <v/>
      </c>
    </row>
    <row r="324">
      <c r="A324" s="2" t="inlineStr">
        <is>
          <t>69375</t>
        </is>
      </c>
      <c r="B324" s="2" t="inlineStr">
        <is>
          <t>Sicredi SNI</t>
        </is>
      </c>
      <c r="C324" s="2" t="inlineStr">
        <is>
          <t>23/06/2026</t>
        </is>
      </c>
      <c r="D324" s="2" t="inlineStr">
        <is>
          <t>23/06/2026</t>
        </is>
      </c>
      <c r="E324" s="2" t="inlineStr">
        <is>
          <t>PIX</t>
        </is>
      </c>
      <c r="F324" s="2" t="inlineStr">
        <is>
          <t>Boleto "60858" do cliente "PETERSON VITOR CAMARGO SZOSTEK"</t>
        </is>
      </c>
      <c r="G324" s="2" t="inlineStr">
        <is>
          <t>system</t>
        </is>
      </c>
      <c r="H324" s="2" t="inlineStr">
        <is>
          <t>01.01.01 : Mensalidade</t>
        </is>
      </c>
      <c r="I324" s="3" t="n">
        <v>107.2</v>
      </c>
      <c r="J324" s="2" t="n"/>
      <c r="K324" s="2">
        <f>IF(H324="02.09 : Outras Saídas", IF(OR(ISNUMBER(SEARCH("CHEQUE COMPE SICREDI", F324)), ISNUMBER(SEARCH("aniversario", F324)), ISNUMBER(SEARCH("churrasco", F324)), ISNUMBER(SEARCH("bolo", F324)), ISNUMBER(SEARCH("SUPERMERCADO", F324))), "6.1 Despesas Administrativas (Pessoal)", IF(OR(ISNUMBER(SEARCH("DLKNET", F324)), ISNUMBER(SEARCH("TESTE", F324))), "6.1 Despesas Administrativas (Gerais)", IFERROR(VLOOKUP(H324, De_Para!A:B, 2, FALSE), "NÃO MAPEADO"))), IFERROR(VLOOKUP(H324, De_Para!A:B, 2, FALSE), "NÃO MAPEADO"))</f>
        <v/>
      </c>
    </row>
    <row r="325">
      <c r="A325" s="2" t="inlineStr">
        <is>
          <t>69374</t>
        </is>
      </c>
      <c r="B325" s="2" t="inlineStr">
        <is>
          <t>Sicredi SNI</t>
        </is>
      </c>
      <c r="C325" s="2" t="inlineStr">
        <is>
          <t>23/06/2026</t>
        </is>
      </c>
      <c r="D325" s="2" t="inlineStr">
        <is>
          <t>23/06/2026</t>
        </is>
      </c>
      <c r="E325" s="2" t="inlineStr">
        <is>
          <t>PIX</t>
        </is>
      </c>
      <c r="F325" s="2" t="inlineStr">
        <is>
          <t>Boleto "61222" do cliente "ANA CLAUDIA ABREU DA SILVA"</t>
        </is>
      </c>
      <c r="G325" s="2" t="inlineStr">
        <is>
          <t>system</t>
        </is>
      </c>
      <c r="H325" s="2" t="inlineStr">
        <is>
          <t>02.03.02.01 : Cobrança Bancaria</t>
        </is>
      </c>
      <c r="I325" s="2" t="n"/>
      <c r="J325" s="3" t="n">
        <v>-0.49</v>
      </c>
      <c r="K325" s="2">
        <f>IF(H325="02.09 : Outras Saídas", IF(OR(ISNUMBER(SEARCH("CHEQUE COMPE SICREDI", F325)), ISNUMBER(SEARCH("aniversario", F325)), ISNUMBER(SEARCH("churrasco", F325)), ISNUMBER(SEARCH("bolo", F325)), ISNUMBER(SEARCH("SUPERMERCADO", F325))), "6.1 Despesas Administrativas (Pessoal)", IF(OR(ISNUMBER(SEARCH("DLKNET", F325)), ISNUMBER(SEARCH("TESTE", F325))), "6.1 Despesas Administrativas (Gerais)", IFERROR(VLOOKUP(H325, De_Para!A:B, 2, FALSE), "NÃO MAPEADO"))), IFERROR(VLOOKUP(H325, De_Para!A:B, 2, FALSE), "NÃO MAPEADO"))</f>
        <v/>
      </c>
    </row>
    <row r="326">
      <c r="A326" s="2" t="inlineStr">
        <is>
          <t>69373</t>
        </is>
      </c>
      <c r="B326" s="2" t="inlineStr">
        <is>
          <t>Sicredi SNI</t>
        </is>
      </c>
      <c r="C326" s="2" t="inlineStr">
        <is>
          <t>23/06/2026</t>
        </is>
      </c>
      <c r="D326" s="2" t="inlineStr">
        <is>
          <t>23/06/2026</t>
        </is>
      </c>
      <c r="E326" s="2" t="inlineStr">
        <is>
          <t>PIX</t>
        </is>
      </c>
      <c r="F326" s="2" t="inlineStr">
        <is>
          <t>Boleto "61222" do cliente "ANA CLAUDIA ABREU DA SILVA"</t>
        </is>
      </c>
      <c r="G326" s="2" t="inlineStr">
        <is>
          <t>system</t>
        </is>
      </c>
      <c r="H326" s="2" t="inlineStr">
        <is>
          <t>01.01.01 : Mensalidade</t>
        </is>
      </c>
      <c r="I326" s="3" t="n">
        <v>105</v>
      </c>
      <c r="J326" s="2" t="n"/>
      <c r="K326" s="2">
        <f>IF(H326="02.09 : Outras Saídas", IF(OR(ISNUMBER(SEARCH("CHEQUE COMPE SICREDI", F326)), ISNUMBER(SEARCH("aniversario", F326)), ISNUMBER(SEARCH("churrasco", F326)), ISNUMBER(SEARCH("bolo", F326)), ISNUMBER(SEARCH("SUPERMERCADO", F326))), "6.1 Despesas Administrativas (Pessoal)", IF(OR(ISNUMBER(SEARCH("DLKNET", F326)), ISNUMBER(SEARCH("TESTE", F326))), "6.1 Despesas Administrativas (Gerais)", IFERROR(VLOOKUP(H326, De_Para!A:B, 2, FALSE), "NÃO MAPEADO"))), IFERROR(VLOOKUP(H326, De_Para!A:B, 2, FALSE), "NÃO MAPEADO"))</f>
        <v/>
      </c>
    </row>
    <row r="327">
      <c r="A327" s="2" t="inlineStr">
        <is>
          <t>69372</t>
        </is>
      </c>
      <c r="B327" s="2" t="inlineStr">
        <is>
          <t>Sicoob</t>
        </is>
      </c>
      <c r="C327" s="2" t="inlineStr">
        <is>
          <t>23/06/2026</t>
        </is>
      </c>
      <c r="D327" s="2" t="inlineStr">
        <is>
          <t>23/06/2026</t>
        </is>
      </c>
      <c r="E327" s="2" t="inlineStr">
        <is>
          <t>Dinheiro</t>
        </is>
      </c>
      <c r="F327" s="2" t="inlineStr">
        <is>
          <t>Boleto "54452" do cliente "PALOMA DUART SOARES"</t>
        </is>
      </c>
      <c r="G327" s="2" t="inlineStr">
        <is>
          <t>system</t>
        </is>
      </c>
      <c r="H327" s="2" t="inlineStr">
        <is>
          <t>02.03.02.01 : Cobrança Bancaria</t>
        </is>
      </c>
      <c r="I327" s="2" t="n"/>
      <c r="J327" s="3" t="n">
        <v>-0.88</v>
      </c>
      <c r="K327" s="2">
        <f>IF(H327="02.09 : Outras Saídas", IF(OR(ISNUMBER(SEARCH("CHEQUE COMPE SICREDI", F327)), ISNUMBER(SEARCH("aniversario", F327)), ISNUMBER(SEARCH("churrasco", F327)), ISNUMBER(SEARCH("bolo", F327)), ISNUMBER(SEARCH("SUPERMERCADO", F327))), "6.1 Despesas Administrativas (Pessoal)", IF(OR(ISNUMBER(SEARCH("DLKNET", F327)), ISNUMBER(SEARCH("TESTE", F327))), "6.1 Despesas Administrativas (Gerais)", IFERROR(VLOOKUP(H327, De_Para!A:B, 2, FALSE), "NÃO MAPEADO"))), IFERROR(VLOOKUP(H327, De_Para!A:B, 2, FALSE), "NÃO MAPEADO"))</f>
        <v/>
      </c>
    </row>
    <row r="328">
      <c r="A328" s="2" t="inlineStr">
        <is>
          <t>69371</t>
        </is>
      </c>
      <c r="B328" s="2" t="inlineStr">
        <is>
          <t>Sicoob</t>
        </is>
      </c>
      <c r="C328" s="2" t="inlineStr">
        <is>
          <t>23/06/2026</t>
        </is>
      </c>
      <c r="D328" s="2" t="inlineStr">
        <is>
          <t>23/06/2026</t>
        </is>
      </c>
      <c r="E328" s="2" t="inlineStr">
        <is>
          <t>Dinheiro</t>
        </is>
      </c>
      <c r="F328" s="2" t="inlineStr">
        <is>
          <t>Boleto "54452" do cliente "PALOMA DUART SOARES"</t>
        </is>
      </c>
      <c r="G328" s="2" t="inlineStr">
        <is>
          <t>system</t>
        </is>
      </c>
      <c r="H328" s="2" t="inlineStr">
        <is>
          <t>01.01.01 : Mensalidade</t>
        </is>
      </c>
      <c r="I328" s="3" t="n">
        <v>102.09</v>
      </c>
      <c r="J328" s="2" t="n"/>
      <c r="K328" s="2">
        <f>IF(H328="02.09 : Outras Saídas", IF(OR(ISNUMBER(SEARCH("CHEQUE COMPE SICREDI", F328)), ISNUMBER(SEARCH("aniversario", F328)), ISNUMBER(SEARCH("churrasco", F328)), ISNUMBER(SEARCH("bolo", F328)), ISNUMBER(SEARCH("SUPERMERCADO", F328))), "6.1 Despesas Administrativas (Pessoal)", IF(OR(ISNUMBER(SEARCH("DLKNET", F328)), ISNUMBER(SEARCH("TESTE", F328))), "6.1 Despesas Administrativas (Gerais)", IFERROR(VLOOKUP(H328, De_Para!A:B, 2, FALSE), "NÃO MAPEADO"))), IFERROR(VLOOKUP(H328, De_Para!A:B, 2, FALSE), "NÃO MAPEADO"))</f>
        <v/>
      </c>
    </row>
    <row r="329">
      <c r="A329" s="2" t="inlineStr">
        <is>
          <t>69370</t>
        </is>
      </c>
      <c r="B329" s="2" t="inlineStr">
        <is>
          <t>Sicoob</t>
        </is>
      </c>
      <c r="C329" s="2" t="inlineStr">
        <is>
          <t>23/06/2026</t>
        </is>
      </c>
      <c r="D329" s="2" t="inlineStr">
        <is>
          <t>23/06/2026</t>
        </is>
      </c>
      <c r="E329" s="2" t="inlineStr">
        <is>
          <t>Dinheiro</t>
        </is>
      </c>
      <c r="F329" s="2" t="inlineStr">
        <is>
          <t>Boleto "65850" do cliente "MARTA RODRIGUES DE FREITAS NUNES"</t>
        </is>
      </c>
      <c r="G329" s="2" t="inlineStr">
        <is>
          <t>system</t>
        </is>
      </c>
      <c r="H329" s="2" t="inlineStr">
        <is>
          <t>02.03.02.01 : Cobrança Bancaria</t>
        </is>
      </c>
      <c r="I329" s="2" t="n"/>
      <c r="J329" s="3" t="n">
        <v>-0.88</v>
      </c>
      <c r="K329" s="2">
        <f>IF(H329="02.09 : Outras Saídas", IF(OR(ISNUMBER(SEARCH("CHEQUE COMPE SICREDI", F329)), ISNUMBER(SEARCH("aniversario", F329)), ISNUMBER(SEARCH("churrasco", F329)), ISNUMBER(SEARCH("bolo", F329)), ISNUMBER(SEARCH("SUPERMERCADO", F329))), "6.1 Despesas Administrativas (Pessoal)", IF(OR(ISNUMBER(SEARCH("DLKNET", F329)), ISNUMBER(SEARCH("TESTE", F329))), "6.1 Despesas Administrativas (Gerais)", IFERROR(VLOOKUP(H329, De_Para!A:B, 2, FALSE), "NÃO MAPEADO"))), IFERROR(VLOOKUP(H329, De_Para!A:B, 2, FALSE), "NÃO MAPEADO"))</f>
        <v/>
      </c>
    </row>
    <row r="330">
      <c r="A330" s="2" t="inlineStr">
        <is>
          <t>69369</t>
        </is>
      </c>
      <c r="B330" s="2" t="inlineStr">
        <is>
          <t>Sicoob</t>
        </is>
      </c>
      <c r="C330" s="2" t="inlineStr">
        <is>
          <t>23/06/2026</t>
        </is>
      </c>
      <c r="D330" s="2" t="inlineStr">
        <is>
          <t>23/06/2026</t>
        </is>
      </c>
      <c r="E330" s="2" t="inlineStr">
        <is>
          <t>Dinheiro</t>
        </is>
      </c>
      <c r="F330" s="2" t="inlineStr">
        <is>
          <t>Boleto "65850" do cliente "MARTA RODRIGUES DE FREITAS NUNES"</t>
        </is>
      </c>
      <c r="G330" s="2" t="inlineStr">
        <is>
          <t>system</t>
        </is>
      </c>
      <c r="H330" s="2" t="inlineStr">
        <is>
          <t>01.01.01 : Mensalidade</t>
        </is>
      </c>
      <c r="I330" s="3" t="n">
        <v>112.19</v>
      </c>
      <c r="J330" s="2" t="n"/>
      <c r="K330" s="2">
        <f>IF(H330="02.09 : Outras Saídas", IF(OR(ISNUMBER(SEARCH("CHEQUE COMPE SICREDI", F330)), ISNUMBER(SEARCH("aniversario", F330)), ISNUMBER(SEARCH("churrasco", F330)), ISNUMBER(SEARCH("bolo", F330)), ISNUMBER(SEARCH("SUPERMERCADO", F330))), "6.1 Despesas Administrativas (Pessoal)", IF(OR(ISNUMBER(SEARCH("DLKNET", F330)), ISNUMBER(SEARCH("TESTE", F330))), "6.1 Despesas Administrativas (Gerais)", IFERROR(VLOOKUP(H330, De_Para!A:B, 2, FALSE), "NÃO MAPEADO"))), IFERROR(VLOOKUP(H330, De_Para!A:B, 2, FALSE), "NÃO MAPEADO"))</f>
        <v/>
      </c>
    </row>
    <row r="331">
      <c r="A331" s="2" t="inlineStr">
        <is>
          <t>69368</t>
        </is>
      </c>
      <c r="B331" s="2" t="inlineStr">
        <is>
          <t>Sicredi SNI</t>
        </is>
      </c>
      <c r="C331" s="2" t="inlineStr">
        <is>
          <t>23/06/2026</t>
        </is>
      </c>
      <c r="D331" s="2" t="inlineStr">
        <is>
          <t>23/06/2026</t>
        </is>
      </c>
      <c r="E331" s="2" t="inlineStr">
        <is>
          <t>PIX</t>
        </is>
      </c>
      <c r="F331" s="2" t="inlineStr">
        <is>
          <t>Boleto "54526" do cliente "JURACI DA SILVA GUIMARÃES"</t>
        </is>
      </c>
      <c r="G331" s="2" t="inlineStr">
        <is>
          <t>system</t>
        </is>
      </c>
      <c r="H331" s="2" t="inlineStr">
        <is>
          <t>02.03.02.01 : Cobrança Bancaria</t>
        </is>
      </c>
      <c r="I331" s="2" t="n"/>
      <c r="J331" s="3" t="n">
        <v>-0.49</v>
      </c>
      <c r="K331" s="2">
        <f>IF(H331="02.09 : Outras Saídas", IF(OR(ISNUMBER(SEARCH("CHEQUE COMPE SICREDI", F331)), ISNUMBER(SEARCH("aniversario", F331)), ISNUMBER(SEARCH("churrasco", F331)), ISNUMBER(SEARCH("bolo", F331)), ISNUMBER(SEARCH("SUPERMERCADO", F331))), "6.1 Despesas Administrativas (Pessoal)", IF(OR(ISNUMBER(SEARCH("DLKNET", F331)), ISNUMBER(SEARCH("TESTE", F331))), "6.1 Despesas Administrativas (Gerais)", IFERROR(VLOOKUP(H331, De_Para!A:B, 2, FALSE), "NÃO MAPEADO"))), IFERROR(VLOOKUP(H331, De_Para!A:B, 2, FALSE), "NÃO MAPEADO"))</f>
        <v/>
      </c>
    </row>
    <row r="332">
      <c r="A332" s="2" t="inlineStr">
        <is>
          <t>69367</t>
        </is>
      </c>
      <c r="B332" s="2" t="inlineStr">
        <is>
          <t>Sicredi SNI</t>
        </is>
      </c>
      <c r="C332" s="2" t="inlineStr">
        <is>
          <t>23/06/2026</t>
        </is>
      </c>
      <c r="D332" s="2" t="inlineStr">
        <is>
          <t>23/06/2026</t>
        </is>
      </c>
      <c r="E332" s="2" t="inlineStr">
        <is>
          <t>PIX</t>
        </is>
      </c>
      <c r="F332" s="2" t="inlineStr">
        <is>
          <t>Boleto "54526" do cliente "JURACI DA SILVA GUIMARÃES"</t>
        </is>
      </c>
      <c r="G332" s="2" t="inlineStr">
        <is>
          <t>system</t>
        </is>
      </c>
      <c r="H332" s="2" t="inlineStr">
        <is>
          <t>01.01.01 : Mensalidade</t>
        </is>
      </c>
      <c r="I332" s="3" t="n">
        <v>107.2</v>
      </c>
      <c r="J332" s="2" t="n"/>
      <c r="K332" s="2">
        <f>IF(H332="02.09 : Outras Saídas", IF(OR(ISNUMBER(SEARCH("CHEQUE COMPE SICREDI", F332)), ISNUMBER(SEARCH("aniversario", F332)), ISNUMBER(SEARCH("churrasco", F332)), ISNUMBER(SEARCH("bolo", F332)), ISNUMBER(SEARCH("SUPERMERCADO", F332))), "6.1 Despesas Administrativas (Pessoal)", IF(OR(ISNUMBER(SEARCH("DLKNET", F332)), ISNUMBER(SEARCH("TESTE", F332))), "6.1 Despesas Administrativas (Gerais)", IFERROR(VLOOKUP(H332, De_Para!A:B, 2, FALSE), "NÃO MAPEADO"))), IFERROR(VLOOKUP(H332, De_Para!A:B, 2, FALSE), "NÃO MAPEADO"))</f>
        <v/>
      </c>
    </row>
    <row r="333">
      <c r="A333" s="2" t="inlineStr">
        <is>
          <t>69366</t>
        </is>
      </c>
      <c r="B333" s="2" t="inlineStr">
        <is>
          <t>Sicredi SNI</t>
        </is>
      </c>
      <c r="C333" s="2" t="inlineStr">
        <is>
          <t>23/06/2026</t>
        </is>
      </c>
      <c r="D333" s="2" t="inlineStr">
        <is>
          <t>23/06/2026</t>
        </is>
      </c>
      <c r="E333" s="2" t="inlineStr">
        <is>
          <t>PIX</t>
        </is>
      </c>
      <c r="F333" s="2" t="inlineStr">
        <is>
          <t>Boleto "67609" do cliente "IVONE APARECIDA DA SILVA"</t>
        </is>
      </c>
      <c r="G333" s="2" t="inlineStr">
        <is>
          <t>system</t>
        </is>
      </c>
      <c r="H333" s="2" t="inlineStr">
        <is>
          <t>02.03.02.01 : Cobrança Bancaria</t>
        </is>
      </c>
      <c r="I333" s="2" t="n"/>
      <c r="J333" s="3" t="n">
        <v>-0.49</v>
      </c>
      <c r="K333" s="2">
        <f>IF(H333="02.09 : Outras Saídas", IF(OR(ISNUMBER(SEARCH("CHEQUE COMPE SICREDI", F333)), ISNUMBER(SEARCH("aniversario", F333)), ISNUMBER(SEARCH("churrasco", F333)), ISNUMBER(SEARCH("bolo", F333)), ISNUMBER(SEARCH("SUPERMERCADO", F333))), "6.1 Despesas Administrativas (Pessoal)", IF(OR(ISNUMBER(SEARCH("DLKNET", F333)), ISNUMBER(SEARCH("TESTE", F333))), "6.1 Despesas Administrativas (Gerais)", IFERROR(VLOOKUP(H333, De_Para!A:B, 2, FALSE), "NÃO MAPEADO"))), IFERROR(VLOOKUP(H333, De_Para!A:B, 2, FALSE), "NÃO MAPEADO"))</f>
        <v/>
      </c>
    </row>
    <row r="334">
      <c r="A334" s="2" t="inlineStr">
        <is>
          <t>69365</t>
        </is>
      </c>
      <c r="B334" s="2" t="inlineStr">
        <is>
          <t>Sicredi SNI</t>
        </is>
      </c>
      <c r="C334" s="2" t="inlineStr">
        <is>
          <t>23/06/2026</t>
        </is>
      </c>
      <c r="D334" s="2" t="inlineStr">
        <is>
          <t>23/06/2026</t>
        </is>
      </c>
      <c r="E334" s="2" t="inlineStr">
        <is>
          <t>PIX</t>
        </is>
      </c>
      <c r="F334" s="2" t="inlineStr">
        <is>
          <t>Boleto "67609" do cliente "IVONE APARECIDA DA SILVA"</t>
        </is>
      </c>
      <c r="G334" s="2" t="inlineStr">
        <is>
          <t>system</t>
        </is>
      </c>
      <c r="H334" s="2" t="inlineStr">
        <is>
          <t>01.01.01 : Mensalidade</t>
        </is>
      </c>
      <c r="I334" s="3" t="n">
        <v>109.9</v>
      </c>
      <c r="J334" s="2" t="n"/>
      <c r="K334" s="2">
        <f>IF(H334="02.09 : Outras Saídas", IF(OR(ISNUMBER(SEARCH("CHEQUE COMPE SICREDI", F334)), ISNUMBER(SEARCH("aniversario", F334)), ISNUMBER(SEARCH("churrasco", F334)), ISNUMBER(SEARCH("bolo", F334)), ISNUMBER(SEARCH("SUPERMERCADO", F334))), "6.1 Despesas Administrativas (Pessoal)", IF(OR(ISNUMBER(SEARCH("DLKNET", F334)), ISNUMBER(SEARCH("TESTE", F334))), "6.1 Despesas Administrativas (Gerais)", IFERROR(VLOOKUP(H334, De_Para!A:B, 2, FALSE), "NÃO MAPEADO"))), IFERROR(VLOOKUP(H334, De_Para!A:B, 2, FALSE), "NÃO MAPEADO"))</f>
        <v/>
      </c>
    </row>
    <row r="335">
      <c r="A335" s="2" t="inlineStr">
        <is>
          <t>69362</t>
        </is>
      </c>
      <c r="B335" s="2" t="inlineStr">
        <is>
          <t>Sicoob</t>
        </is>
      </c>
      <c r="C335" s="2" t="inlineStr">
        <is>
          <t>23/06/2026</t>
        </is>
      </c>
      <c r="D335" s="2" t="inlineStr">
        <is>
          <t>23/06/2026</t>
        </is>
      </c>
      <c r="E335" s="2" t="inlineStr">
        <is>
          <t>Dinheiro</t>
        </is>
      </c>
      <c r="F335" s="2" t="inlineStr">
        <is>
          <t>Boleto "66567" do cliente "NILZA PINHEIRO MAIA"</t>
        </is>
      </c>
      <c r="G335" s="2" t="inlineStr">
        <is>
          <t>system</t>
        </is>
      </c>
      <c r="H335" s="2" t="inlineStr">
        <is>
          <t>02.03.02.01 : Cobrança Bancaria</t>
        </is>
      </c>
      <c r="I335" s="2" t="n"/>
      <c r="J335" s="3" t="n">
        <v>-0.88</v>
      </c>
      <c r="K335" s="2">
        <f>IF(H335="02.09 : Outras Saídas", IF(OR(ISNUMBER(SEARCH("CHEQUE COMPE SICREDI", F335)), ISNUMBER(SEARCH("aniversario", F335)), ISNUMBER(SEARCH("churrasco", F335)), ISNUMBER(SEARCH("bolo", F335)), ISNUMBER(SEARCH("SUPERMERCADO", F335))), "6.1 Despesas Administrativas (Pessoal)", IF(OR(ISNUMBER(SEARCH("DLKNET", F335)), ISNUMBER(SEARCH("TESTE", F335))), "6.1 Despesas Administrativas (Gerais)", IFERROR(VLOOKUP(H335, De_Para!A:B, 2, FALSE), "NÃO MAPEADO"))), IFERROR(VLOOKUP(H335, De_Para!A:B, 2, FALSE), "NÃO MAPEADO"))</f>
        <v/>
      </c>
    </row>
    <row r="336">
      <c r="A336" s="2" t="inlineStr">
        <is>
          <t>69361</t>
        </is>
      </c>
      <c r="B336" s="2" t="inlineStr">
        <is>
          <t>Sicoob</t>
        </is>
      </c>
      <c r="C336" s="2" t="inlineStr">
        <is>
          <t>23/06/2026</t>
        </is>
      </c>
      <c r="D336" s="2" t="inlineStr">
        <is>
          <t>23/06/2026</t>
        </is>
      </c>
      <c r="E336" s="2" t="inlineStr">
        <is>
          <t>Dinheiro</t>
        </is>
      </c>
      <c r="F336" s="2" t="inlineStr">
        <is>
          <t>Boleto "66567" do cliente "NILZA PINHEIRO MAIA"</t>
        </is>
      </c>
      <c r="G336" s="2" t="inlineStr">
        <is>
          <t>system</t>
        </is>
      </c>
      <c r="H336" s="2" t="inlineStr">
        <is>
          <t>01.01.01 : Mensalidade</t>
        </is>
      </c>
      <c r="I336" s="3" t="n">
        <v>104.9</v>
      </c>
      <c r="J336" s="2" t="n"/>
      <c r="K336" s="2">
        <f>IF(H336="02.09 : Outras Saídas", IF(OR(ISNUMBER(SEARCH("CHEQUE COMPE SICREDI", F336)), ISNUMBER(SEARCH("aniversario", F336)), ISNUMBER(SEARCH("churrasco", F336)), ISNUMBER(SEARCH("bolo", F336)), ISNUMBER(SEARCH("SUPERMERCADO", F336))), "6.1 Despesas Administrativas (Pessoal)", IF(OR(ISNUMBER(SEARCH("DLKNET", F336)), ISNUMBER(SEARCH("TESTE", F336))), "6.1 Despesas Administrativas (Gerais)", IFERROR(VLOOKUP(H336, De_Para!A:B, 2, FALSE), "NÃO MAPEADO"))), IFERROR(VLOOKUP(H336, De_Para!A:B, 2, FALSE), "NÃO MAPEADO"))</f>
        <v/>
      </c>
    </row>
    <row r="337">
      <c r="A337" s="2" t="inlineStr">
        <is>
          <t>69360</t>
        </is>
      </c>
      <c r="B337" s="2" t="inlineStr">
        <is>
          <t>Sicoob</t>
        </is>
      </c>
      <c r="C337" s="2" t="inlineStr">
        <is>
          <t>23/06/2026</t>
        </is>
      </c>
      <c r="D337" s="2" t="inlineStr">
        <is>
          <t>23/06/2026</t>
        </is>
      </c>
      <c r="E337" s="2" t="inlineStr">
        <is>
          <t>Dinheiro</t>
        </is>
      </c>
      <c r="F337" s="2" t="inlineStr">
        <is>
          <t>Boleto "66531" do cliente "SUELI APARECIDA DE MORAIS GIGISKI"</t>
        </is>
      </c>
      <c r="G337" s="2" t="inlineStr">
        <is>
          <t>system</t>
        </is>
      </c>
      <c r="H337" s="2" t="inlineStr">
        <is>
          <t>02.03.02.01 : Cobrança Bancaria</t>
        </is>
      </c>
      <c r="I337" s="2" t="n"/>
      <c r="J337" s="3" t="n">
        <v>-0.88</v>
      </c>
      <c r="K337" s="2">
        <f>IF(H337="02.09 : Outras Saídas", IF(OR(ISNUMBER(SEARCH("CHEQUE COMPE SICREDI", F337)), ISNUMBER(SEARCH("aniversario", F337)), ISNUMBER(SEARCH("churrasco", F337)), ISNUMBER(SEARCH("bolo", F337)), ISNUMBER(SEARCH("SUPERMERCADO", F337))), "6.1 Despesas Administrativas (Pessoal)", IF(OR(ISNUMBER(SEARCH("DLKNET", F337)), ISNUMBER(SEARCH("TESTE", F337))), "6.1 Despesas Administrativas (Gerais)", IFERROR(VLOOKUP(H337, De_Para!A:B, 2, FALSE), "NÃO MAPEADO"))), IFERROR(VLOOKUP(H337, De_Para!A:B, 2, FALSE), "NÃO MAPEADO"))</f>
        <v/>
      </c>
    </row>
    <row r="338">
      <c r="A338" s="2" t="inlineStr">
        <is>
          <t>69359</t>
        </is>
      </c>
      <c r="B338" s="2" t="inlineStr">
        <is>
          <t>Sicoob</t>
        </is>
      </c>
      <c r="C338" s="2" t="inlineStr">
        <is>
          <t>23/06/2026</t>
        </is>
      </c>
      <c r="D338" s="2" t="inlineStr">
        <is>
          <t>23/06/2026</t>
        </is>
      </c>
      <c r="E338" s="2" t="inlineStr">
        <is>
          <t>Dinheiro</t>
        </is>
      </c>
      <c r="F338" s="2" t="inlineStr">
        <is>
          <t>Boleto "66531" do cliente "SUELI APARECIDA DE MORAIS GIGISKI"</t>
        </is>
      </c>
      <c r="G338" s="2" t="inlineStr">
        <is>
          <t>system</t>
        </is>
      </c>
      <c r="H338" s="2" t="inlineStr">
        <is>
          <t>01.03.01 : Mensalidade</t>
        </is>
      </c>
      <c r="I338" s="3" t="n">
        <v>107.55</v>
      </c>
      <c r="J338" s="2" t="n"/>
      <c r="K338" s="2">
        <f>IF(H338="02.09 : Outras Saídas", IF(OR(ISNUMBER(SEARCH("CHEQUE COMPE SICREDI", F338)), ISNUMBER(SEARCH("aniversario", F338)), ISNUMBER(SEARCH("churrasco", F338)), ISNUMBER(SEARCH("bolo", F338)), ISNUMBER(SEARCH("SUPERMERCADO", F338))), "6.1 Despesas Administrativas (Pessoal)", IF(OR(ISNUMBER(SEARCH("DLKNET", F338)), ISNUMBER(SEARCH("TESTE", F338))), "6.1 Despesas Administrativas (Gerais)", IFERROR(VLOOKUP(H338, De_Para!A:B, 2, FALSE), "NÃO MAPEADO"))), IFERROR(VLOOKUP(H338, De_Para!A:B, 2, FALSE), "NÃO MAPEADO"))</f>
        <v/>
      </c>
    </row>
    <row r="339">
      <c r="A339" s="2" t="inlineStr">
        <is>
          <t>69358</t>
        </is>
      </c>
      <c r="B339" s="2" t="inlineStr">
        <is>
          <t>Sicredi SNI</t>
        </is>
      </c>
      <c r="C339" s="2" t="inlineStr">
        <is>
          <t>23/06/2026</t>
        </is>
      </c>
      <c r="D339" s="2" t="inlineStr">
        <is>
          <t>23/06/2026</t>
        </is>
      </c>
      <c r="E339" s="2" t="inlineStr">
        <is>
          <t>PIX</t>
        </is>
      </c>
      <c r="F339" s="2" t="inlineStr">
        <is>
          <t>Boleto "54682" do cliente "JOEL SOUSA DE OLIVEIRA"</t>
        </is>
      </c>
      <c r="G339" s="2" t="inlineStr">
        <is>
          <t>system</t>
        </is>
      </c>
      <c r="H339" s="2" t="inlineStr">
        <is>
          <t>02.03.02.01 : Cobrança Bancaria</t>
        </is>
      </c>
      <c r="I339" s="2" t="n"/>
      <c r="J339" s="3" t="n">
        <v>-0.49</v>
      </c>
      <c r="K339" s="2">
        <f>IF(H339="02.09 : Outras Saídas", IF(OR(ISNUMBER(SEARCH("CHEQUE COMPE SICREDI", F339)), ISNUMBER(SEARCH("aniversario", F339)), ISNUMBER(SEARCH("churrasco", F339)), ISNUMBER(SEARCH("bolo", F339)), ISNUMBER(SEARCH("SUPERMERCADO", F339))), "6.1 Despesas Administrativas (Pessoal)", IF(OR(ISNUMBER(SEARCH("DLKNET", F339)), ISNUMBER(SEARCH("TESTE", F339))), "6.1 Despesas Administrativas (Gerais)", IFERROR(VLOOKUP(H339, De_Para!A:B, 2, FALSE), "NÃO MAPEADO"))), IFERROR(VLOOKUP(H339, De_Para!A:B, 2, FALSE), "NÃO MAPEADO"))</f>
        <v/>
      </c>
    </row>
    <row r="340">
      <c r="A340" s="2" t="inlineStr">
        <is>
          <t>69357</t>
        </is>
      </c>
      <c r="B340" s="2" t="inlineStr">
        <is>
          <t>Sicredi SNI</t>
        </is>
      </c>
      <c r="C340" s="2" t="inlineStr">
        <is>
          <t>23/06/2026</t>
        </is>
      </c>
      <c r="D340" s="2" t="inlineStr">
        <is>
          <t>23/06/2026</t>
        </is>
      </c>
      <c r="E340" s="2" t="inlineStr">
        <is>
          <t>PIX</t>
        </is>
      </c>
      <c r="F340" s="2" t="inlineStr">
        <is>
          <t>Boleto "54682" do cliente "JOEL SOUSA DE OLIVEIRA"</t>
        </is>
      </c>
      <c r="G340" s="2" t="inlineStr">
        <is>
          <t>system</t>
        </is>
      </c>
      <c r="H340" s="2" t="inlineStr">
        <is>
          <t>01.01.01 : Mensalidade</t>
        </is>
      </c>
      <c r="I340" s="3" t="n">
        <v>107.2</v>
      </c>
      <c r="J340" s="2" t="n"/>
      <c r="K340" s="2">
        <f>IF(H340="02.09 : Outras Saídas", IF(OR(ISNUMBER(SEARCH("CHEQUE COMPE SICREDI", F340)), ISNUMBER(SEARCH("aniversario", F340)), ISNUMBER(SEARCH("churrasco", F340)), ISNUMBER(SEARCH("bolo", F340)), ISNUMBER(SEARCH("SUPERMERCADO", F340))), "6.1 Despesas Administrativas (Pessoal)", IF(OR(ISNUMBER(SEARCH("DLKNET", F340)), ISNUMBER(SEARCH("TESTE", F340))), "6.1 Despesas Administrativas (Gerais)", IFERROR(VLOOKUP(H340, De_Para!A:B, 2, FALSE), "NÃO MAPEADO"))), IFERROR(VLOOKUP(H340, De_Para!A:B, 2, FALSE), "NÃO MAPEADO"))</f>
        <v/>
      </c>
    </row>
    <row r="341">
      <c r="A341" s="2" t="inlineStr">
        <is>
          <t>69356</t>
        </is>
      </c>
      <c r="B341" s="2" t="inlineStr">
        <is>
          <t>Sicredi SNI</t>
        </is>
      </c>
      <c r="C341" s="2" t="inlineStr">
        <is>
          <t>23/06/2026</t>
        </is>
      </c>
      <c r="D341" s="2" t="inlineStr">
        <is>
          <t>23/06/2026</t>
        </is>
      </c>
      <c r="E341" s="2" t="inlineStr">
        <is>
          <t>PIX</t>
        </is>
      </c>
      <c r="F341" s="2" t="inlineStr">
        <is>
          <t>Boleto "61254" do cliente "CARLOS RODRIGO DA COSTA"</t>
        </is>
      </c>
      <c r="G341" s="2" t="inlineStr">
        <is>
          <t>system</t>
        </is>
      </c>
      <c r="H341" s="2" t="inlineStr">
        <is>
          <t>02.03.02.01 : Cobrança Bancaria</t>
        </is>
      </c>
      <c r="I341" s="2" t="n"/>
      <c r="J341" s="3" t="n">
        <v>-0.49</v>
      </c>
      <c r="K341" s="2">
        <f>IF(H341="02.09 : Outras Saídas", IF(OR(ISNUMBER(SEARCH("CHEQUE COMPE SICREDI", F341)), ISNUMBER(SEARCH("aniversario", F341)), ISNUMBER(SEARCH("churrasco", F341)), ISNUMBER(SEARCH("bolo", F341)), ISNUMBER(SEARCH("SUPERMERCADO", F341))), "6.1 Despesas Administrativas (Pessoal)", IF(OR(ISNUMBER(SEARCH("DLKNET", F341)), ISNUMBER(SEARCH("TESTE", F341))), "6.1 Despesas Administrativas (Gerais)", IFERROR(VLOOKUP(H341, De_Para!A:B, 2, FALSE), "NÃO MAPEADO"))), IFERROR(VLOOKUP(H341, De_Para!A:B, 2, FALSE), "NÃO MAPEADO"))</f>
        <v/>
      </c>
    </row>
    <row r="342">
      <c r="A342" s="2" t="inlineStr">
        <is>
          <t>69355</t>
        </is>
      </c>
      <c r="B342" s="2" t="inlineStr">
        <is>
          <t>Sicredi SNI</t>
        </is>
      </c>
      <c r="C342" s="2" t="inlineStr">
        <is>
          <t>23/06/2026</t>
        </is>
      </c>
      <c r="D342" s="2" t="inlineStr">
        <is>
          <t>23/06/2026</t>
        </is>
      </c>
      <c r="E342" s="2" t="inlineStr">
        <is>
          <t>PIX</t>
        </is>
      </c>
      <c r="F342" s="2" t="inlineStr">
        <is>
          <t>Boleto "61254" do cliente "CARLOS RODRIGO DA COSTA"</t>
        </is>
      </c>
      <c r="G342" s="2" t="inlineStr">
        <is>
          <t>system</t>
        </is>
      </c>
      <c r="H342" s="2" t="inlineStr">
        <is>
          <t>01.01.01 : Mensalidade</t>
        </is>
      </c>
      <c r="I342" s="3" t="n">
        <v>107.56</v>
      </c>
      <c r="J342" s="2" t="n"/>
      <c r="K342" s="2">
        <f>IF(H342="02.09 : Outras Saídas", IF(OR(ISNUMBER(SEARCH("CHEQUE COMPE SICREDI", F342)), ISNUMBER(SEARCH("aniversario", F342)), ISNUMBER(SEARCH("churrasco", F342)), ISNUMBER(SEARCH("bolo", F342)), ISNUMBER(SEARCH("SUPERMERCADO", F342))), "6.1 Despesas Administrativas (Pessoal)", IF(OR(ISNUMBER(SEARCH("DLKNET", F342)), ISNUMBER(SEARCH("TESTE", F342))), "6.1 Despesas Administrativas (Gerais)", IFERROR(VLOOKUP(H342, De_Para!A:B, 2, FALSE), "NÃO MAPEADO"))), IFERROR(VLOOKUP(H342, De_Para!A:B, 2, FALSE), "NÃO MAPEADO"))</f>
        <v/>
      </c>
    </row>
    <row r="343">
      <c r="A343" s="2" t="inlineStr">
        <is>
          <t>69354</t>
        </is>
      </c>
      <c r="B343" s="2" t="inlineStr">
        <is>
          <t>Sicoob</t>
        </is>
      </c>
      <c r="C343" s="2" t="inlineStr">
        <is>
          <t>23/06/2026</t>
        </is>
      </c>
      <c r="D343" s="2" t="inlineStr">
        <is>
          <t>23/06/2026</t>
        </is>
      </c>
      <c r="E343" s="2" t="inlineStr">
        <is>
          <t>Dinheiro</t>
        </is>
      </c>
      <c r="F343" s="2" t="inlineStr">
        <is>
          <t>Boleto "54463" do cliente "SOLANGE APARECIDA DA SILVA MORAES"</t>
        </is>
      </c>
      <c r="G343" s="2" t="inlineStr">
        <is>
          <t>system</t>
        </is>
      </c>
      <c r="H343" s="2" t="inlineStr">
        <is>
          <t>02.03.02.01 : Cobrança Bancaria</t>
        </is>
      </c>
      <c r="I343" s="2" t="n"/>
      <c r="J343" s="3" t="n">
        <v>-0.88</v>
      </c>
      <c r="K343" s="2">
        <f>IF(H343="02.09 : Outras Saídas", IF(OR(ISNUMBER(SEARCH("CHEQUE COMPE SICREDI", F343)), ISNUMBER(SEARCH("aniversario", F343)), ISNUMBER(SEARCH("churrasco", F343)), ISNUMBER(SEARCH("bolo", F343)), ISNUMBER(SEARCH("SUPERMERCADO", F343))), "6.1 Despesas Administrativas (Pessoal)", IF(OR(ISNUMBER(SEARCH("DLKNET", F343)), ISNUMBER(SEARCH("TESTE", F343))), "6.1 Despesas Administrativas (Gerais)", IFERROR(VLOOKUP(H343, De_Para!A:B, 2, FALSE), "NÃO MAPEADO"))), IFERROR(VLOOKUP(H343, De_Para!A:B, 2, FALSE), "NÃO MAPEADO"))</f>
        <v/>
      </c>
    </row>
    <row r="344">
      <c r="A344" s="2" t="inlineStr">
        <is>
          <t>69353</t>
        </is>
      </c>
      <c r="B344" s="2" t="inlineStr">
        <is>
          <t>Sicoob</t>
        </is>
      </c>
      <c r="C344" s="2" t="inlineStr">
        <is>
          <t>23/06/2026</t>
        </is>
      </c>
      <c r="D344" s="2" t="inlineStr">
        <is>
          <t>23/06/2026</t>
        </is>
      </c>
      <c r="E344" s="2" t="inlineStr">
        <is>
          <t>Dinheiro</t>
        </is>
      </c>
      <c r="F344" s="2" t="inlineStr">
        <is>
          <t>Boleto "54463" do cliente "SOLANGE APARECIDA DA SILVA MORAES"</t>
        </is>
      </c>
      <c r="G344" s="2" t="inlineStr">
        <is>
          <t>system</t>
        </is>
      </c>
      <c r="H344" s="2" t="inlineStr">
        <is>
          <t>01.01.01 : Mensalidade</t>
        </is>
      </c>
      <c r="I344" s="3" t="n">
        <v>107.2</v>
      </c>
      <c r="J344" s="2" t="n"/>
      <c r="K344" s="2">
        <f>IF(H344="02.09 : Outras Saídas", IF(OR(ISNUMBER(SEARCH("CHEQUE COMPE SICREDI", F344)), ISNUMBER(SEARCH("aniversario", F344)), ISNUMBER(SEARCH("churrasco", F344)), ISNUMBER(SEARCH("bolo", F344)), ISNUMBER(SEARCH("SUPERMERCADO", F344))), "6.1 Despesas Administrativas (Pessoal)", IF(OR(ISNUMBER(SEARCH("DLKNET", F344)), ISNUMBER(SEARCH("TESTE", F344))), "6.1 Despesas Administrativas (Gerais)", IFERROR(VLOOKUP(H344, De_Para!A:B, 2, FALSE), "NÃO MAPEADO"))), IFERROR(VLOOKUP(H344, De_Para!A:B, 2, FALSE), "NÃO MAPEADO"))</f>
        <v/>
      </c>
    </row>
    <row r="345">
      <c r="A345" s="2" t="inlineStr">
        <is>
          <t>69352</t>
        </is>
      </c>
      <c r="B345" s="2" t="inlineStr">
        <is>
          <t>Sicoob</t>
        </is>
      </c>
      <c r="C345" s="2" t="inlineStr">
        <is>
          <t>23/06/2026</t>
        </is>
      </c>
      <c r="D345" s="2" t="inlineStr">
        <is>
          <t>23/06/2026</t>
        </is>
      </c>
      <c r="E345" s="2" t="inlineStr">
        <is>
          <t>Dinheiro</t>
        </is>
      </c>
      <c r="F345" s="2" t="inlineStr">
        <is>
          <t>Boleto "66595" do cliente "JOSE APARECIDO DE PAULA"</t>
        </is>
      </c>
      <c r="G345" s="2" t="inlineStr">
        <is>
          <t>system</t>
        </is>
      </c>
      <c r="H345" s="2" t="inlineStr">
        <is>
          <t>02.03.02.01 : Cobrança Bancaria</t>
        </is>
      </c>
      <c r="I345" s="2" t="n"/>
      <c r="J345" s="3" t="n">
        <v>-0.88</v>
      </c>
      <c r="K345" s="2">
        <f>IF(H345="02.09 : Outras Saídas", IF(OR(ISNUMBER(SEARCH("CHEQUE COMPE SICREDI", F345)), ISNUMBER(SEARCH("aniversario", F345)), ISNUMBER(SEARCH("churrasco", F345)), ISNUMBER(SEARCH("bolo", F345)), ISNUMBER(SEARCH("SUPERMERCADO", F345))), "6.1 Despesas Administrativas (Pessoal)", IF(OR(ISNUMBER(SEARCH("DLKNET", F345)), ISNUMBER(SEARCH("TESTE", F345))), "6.1 Despesas Administrativas (Gerais)", IFERROR(VLOOKUP(H345, De_Para!A:B, 2, FALSE), "NÃO MAPEADO"))), IFERROR(VLOOKUP(H345, De_Para!A:B, 2, FALSE), "NÃO MAPEADO"))</f>
        <v/>
      </c>
    </row>
    <row r="346">
      <c r="A346" s="2" t="inlineStr">
        <is>
          <t>69351</t>
        </is>
      </c>
      <c r="B346" s="2" t="inlineStr">
        <is>
          <t>Sicoob</t>
        </is>
      </c>
      <c r="C346" s="2" t="inlineStr">
        <is>
          <t>23/06/2026</t>
        </is>
      </c>
      <c r="D346" s="2" t="inlineStr">
        <is>
          <t>23/06/2026</t>
        </is>
      </c>
      <c r="E346" s="2" t="inlineStr">
        <is>
          <t>Dinheiro</t>
        </is>
      </c>
      <c r="F346" s="2" t="inlineStr">
        <is>
          <t>Boleto "66595" do cliente "JOSE APARECIDO DE PAULA"</t>
        </is>
      </c>
      <c r="G346" s="2" t="inlineStr">
        <is>
          <t>system</t>
        </is>
      </c>
      <c r="H346" s="2" t="inlineStr">
        <is>
          <t>01.01.01 : Mensalidade</t>
        </is>
      </c>
      <c r="I346" s="3" t="n">
        <v>112.19</v>
      </c>
      <c r="J346" s="2" t="n"/>
      <c r="K346" s="2">
        <f>IF(H346="02.09 : Outras Saídas", IF(OR(ISNUMBER(SEARCH("CHEQUE COMPE SICREDI", F346)), ISNUMBER(SEARCH("aniversario", F346)), ISNUMBER(SEARCH("churrasco", F346)), ISNUMBER(SEARCH("bolo", F346)), ISNUMBER(SEARCH("SUPERMERCADO", F346))), "6.1 Despesas Administrativas (Pessoal)", IF(OR(ISNUMBER(SEARCH("DLKNET", F346)), ISNUMBER(SEARCH("TESTE", F346))), "6.1 Despesas Administrativas (Gerais)", IFERROR(VLOOKUP(H346, De_Para!A:B, 2, FALSE), "NÃO MAPEADO"))), IFERROR(VLOOKUP(H346, De_Para!A:B, 2, FALSE), "NÃO MAPEADO"))</f>
        <v/>
      </c>
    </row>
    <row r="347">
      <c r="A347" s="2" t="inlineStr">
        <is>
          <t>69350</t>
        </is>
      </c>
      <c r="B347" s="2" t="inlineStr">
        <is>
          <t>Sicoob</t>
        </is>
      </c>
      <c r="C347" s="2" t="inlineStr">
        <is>
          <t>23/06/2026</t>
        </is>
      </c>
      <c r="D347" s="2" t="inlineStr">
        <is>
          <t>23/06/2026</t>
        </is>
      </c>
      <c r="E347" s="2" t="inlineStr">
        <is>
          <t>Dinheiro</t>
        </is>
      </c>
      <c r="F347" s="2" t="inlineStr">
        <is>
          <t>Boleto "65385" do cliente "JOÃO MARCOS DE CAMARGO"</t>
        </is>
      </c>
      <c r="G347" s="2" t="inlineStr">
        <is>
          <t>system</t>
        </is>
      </c>
      <c r="H347" s="2" t="inlineStr">
        <is>
          <t>02.03.02.01 : Cobrança Bancaria</t>
        </is>
      </c>
      <c r="I347" s="2" t="n"/>
      <c r="J347" s="3" t="n">
        <v>-0.88</v>
      </c>
      <c r="K347" s="2">
        <f>IF(H347="02.09 : Outras Saídas", IF(OR(ISNUMBER(SEARCH("CHEQUE COMPE SICREDI", F347)), ISNUMBER(SEARCH("aniversario", F347)), ISNUMBER(SEARCH("churrasco", F347)), ISNUMBER(SEARCH("bolo", F347)), ISNUMBER(SEARCH("SUPERMERCADO", F347))), "6.1 Despesas Administrativas (Pessoal)", IF(OR(ISNUMBER(SEARCH("DLKNET", F347)), ISNUMBER(SEARCH("TESTE", F347))), "6.1 Despesas Administrativas (Gerais)", IFERROR(VLOOKUP(H347, De_Para!A:B, 2, FALSE), "NÃO MAPEADO"))), IFERROR(VLOOKUP(H347, De_Para!A:B, 2, FALSE), "NÃO MAPEADO"))</f>
        <v/>
      </c>
    </row>
    <row r="348">
      <c r="A348" s="2" t="inlineStr">
        <is>
          <t>69349</t>
        </is>
      </c>
      <c r="B348" s="2" t="inlineStr">
        <is>
          <t>Sicoob</t>
        </is>
      </c>
      <c r="C348" s="2" t="inlineStr">
        <is>
          <t>23/06/2026</t>
        </is>
      </c>
      <c r="D348" s="2" t="inlineStr">
        <is>
          <t>23/06/2026</t>
        </is>
      </c>
      <c r="E348" s="2" t="inlineStr">
        <is>
          <t>Dinheiro</t>
        </is>
      </c>
      <c r="F348" s="2" t="inlineStr">
        <is>
          <t>Boleto "65385" do cliente "JOÃO MARCOS DE CAMARGO"</t>
        </is>
      </c>
      <c r="G348" s="2" t="inlineStr">
        <is>
          <t>system</t>
        </is>
      </c>
      <c r="H348" s="2" t="inlineStr">
        <is>
          <t>01.01.01 : Mensalidade</t>
        </is>
      </c>
      <c r="I348" s="3" t="n">
        <v>112.56</v>
      </c>
      <c r="J348" s="2" t="n"/>
      <c r="K348" s="2">
        <f>IF(H348="02.09 : Outras Saídas", IF(OR(ISNUMBER(SEARCH("CHEQUE COMPE SICREDI", F348)), ISNUMBER(SEARCH("aniversario", F348)), ISNUMBER(SEARCH("churrasco", F348)), ISNUMBER(SEARCH("bolo", F348)), ISNUMBER(SEARCH("SUPERMERCADO", F348))), "6.1 Despesas Administrativas (Pessoal)", IF(OR(ISNUMBER(SEARCH("DLKNET", F348)), ISNUMBER(SEARCH("TESTE", F348))), "6.1 Despesas Administrativas (Gerais)", IFERROR(VLOOKUP(H348, De_Para!A:B, 2, FALSE), "NÃO MAPEADO"))), IFERROR(VLOOKUP(H348, De_Para!A:B, 2, FALSE), "NÃO MAPEADO"))</f>
        <v/>
      </c>
    </row>
    <row r="349">
      <c r="A349" s="2" t="inlineStr">
        <is>
          <t>69348</t>
        </is>
      </c>
      <c r="B349" s="2" t="inlineStr">
        <is>
          <t>Sicredi SNI</t>
        </is>
      </c>
      <c r="C349" s="2" t="inlineStr">
        <is>
          <t>23/06/2026</t>
        </is>
      </c>
      <c r="D349" s="2" t="inlineStr">
        <is>
          <t>23/06/2026</t>
        </is>
      </c>
      <c r="E349" s="2" t="inlineStr">
        <is>
          <t>PIX</t>
        </is>
      </c>
      <c r="F349" s="2" t="inlineStr">
        <is>
          <t>Boleto "59226" do cliente "REINALDO CESAR LOURENCO DO CARMO"</t>
        </is>
      </c>
      <c r="G349" s="2" t="inlineStr">
        <is>
          <t>system</t>
        </is>
      </c>
      <c r="H349" s="2" t="inlineStr">
        <is>
          <t>02.03.02.01 : Cobrança Bancaria</t>
        </is>
      </c>
      <c r="I349" s="2" t="n"/>
      <c r="J349" s="3" t="n">
        <v>-0.49</v>
      </c>
      <c r="K349" s="2">
        <f>IF(H349="02.09 : Outras Saídas", IF(OR(ISNUMBER(SEARCH("CHEQUE COMPE SICREDI", F349)), ISNUMBER(SEARCH("aniversario", F349)), ISNUMBER(SEARCH("churrasco", F349)), ISNUMBER(SEARCH("bolo", F349)), ISNUMBER(SEARCH("SUPERMERCADO", F349))), "6.1 Despesas Administrativas (Pessoal)", IF(OR(ISNUMBER(SEARCH("DLKNET", F349)), ISNUMBER(SEARCH("TESTE", F349))), "6.1 Despesas Administrativas (Gerais)", IFERROR(VLOOKUP(H349, De_Para!A:B, 2, FALSE), "NÃO MAPEADO"))), IFERROR(VLOOKUP(H349, De_Para!A:B, 2, FALSE), "NÃO MAPEADO"))</f>
        <v/>
      </c>
    </row>
    <row r="350">
      <c r="A350" s="2" t="inlineStr">
        <is>
          <t>69347</t>
        </is>
      </c>
      <c r="B350" s="2" t="inlineStr">
        <is>
          <t>Sicredi SNI</t>
        </is>
      </c>
      <c r="C350" s="2" t="inlineStr">
        <is>
          <t>23/06/2026</t>
        </is>
      </c>
      <c r="D350" s="2" t="inlineStr">
        <is>
          <t>23/06/2026</t>
        </is>
      </c>
      <c r="E350" s="2" t="inlineStr">
        <is>
          <t>PIX</t>
        </is>
      </c>
      <c r="F350" s="2" t="inlineStr">
        <is>
          <t>Boleto "59226" do cliente "REINALDO CESAR LOURENCO DO CARMO"</t>
        </is>
      </c>
      <c r="G350" s="2" t="inlineStr">
        <is>
          <t>system</t>
        </is>
      </c>
      <c r="H350" s="2" t="inlineStr">
        <is>
          <t>01.01.01 : Mensalidade</t>
        </is>
      </c>
      <c r="I350" s="3" t="n">
        <v>107.2</v>
      </c>
      <c r="J350" s="2" t="n"/>
      <c r="K350" s="2">
        <f>IF(H350="02.09 : Outras Saídas", IF(OR(ISNUMBER(SEARCH("CHEQUE COMPE SICREDI", F350)), ISNUMBER(SEARCH("aniversario", F350)), ISNUMBER(SEARCH("churrasco", F350)), ISNUMBER(SEARCH("bolo", F350)), ISNUMBER(SEARCH("SUPERMERCADO", F350))), "6.1 Despesas Administrativas (Pessoal)", IF(OR(ISNUMBER(SEARCH("DLKNET", F350)), ISNUMBER(SEARCH("TESTE", F350))), "6.1 Despesas Administrativas (Gerais)", IFERROR(VLOOKUP(H350, De_Para!A:B, 2, FALSE), "NÃO MAPEADO"))), IFERROR(VLOOKUP(H350, De_Para!A:B, 2, FALSE), "NÃO MAPEADO"))</f>
        <v/>
      </c>
    </row>
    <row r="351">
      <c r="A351" s="2" t="inlineStr">
        <is>
          <t>69336</t>
        </is>
      </c>
      <c r="B351" s="2" t="inlineStr">
        <is>
          <t>Sicredi SNI</t>
        </is>
      </c>
      <c r="C351" s="2" t="inlineStr">
        <is>
          <t>23/06/2026</t>
        </is>
      </c>
      <c r="D351" s="2" t="inlineStr">
        <is>
          <t>22/06/2026</t>
        </is>
      </c>
      <c r="E351" s="2" t="inlineStr">
        <is>
          <t>Transferência Bancária</t>
        </is>
      </c>
      <c r="F351" s="2" t="inlineStr">
        <is>
          <t>Transferencia entre contas</t>
        </is>
      </c>
      <c r="G351" s="2" t="inlineStr">
        <is>
          <t>clau</t>
        </is>
      </c>
      <c r="H351" s="2" t="inlineStr">
        <is>
          <t>TRANSF.ENTRE CONTAS : 02.12</t>
        </is>
      </c>
      <c r="I351" s="3" t="n">
        <v>1850</v>
      </c>
      <c r="J351" s="2" t="n"/>
      <c r="K351" s="2">
        <f>IF(H351="02.09 : Outras Saídas", IF(OR(ISNUMBER(SEARCH("CHEQUE COMPE SICREDI", F351)), ISNUMBER(SEARCH("aniversario", F351)), ISNUMBER(SEARCH("churrasco", F351)), ISNUMBER(SEARCH("bolo", F351)), ISNUMBER(SEARCH("SUPERMERCADO", F351))), "6.1 Despesas Administrativas (Pessoal)", IF(OR(ISNUMBER(SEARCH("DLKNET", F351)), ISNUMBER(SEARCH("TESTE", F351))), "6.1 Despesas Administrativas (Gerais)", IFERROR(VLOOKUP(H351, De_Para!A:B, 2, FALSE), "NÃO MAPEADO"))), IFERROR(VLOOKUP(H351, De_Para!A:B, 2, FALSE), "NÃO MAPEADO"))</f>
        <v/>
      </c>
    </row>
    <row r="352">
      <c r="A352" s="2" t="inlineStr">
        <is>
          <t>69335</t>
        </is>
      </c>
      <c r="B352" s="2" t="inlineStr">
        <is>
          <t>Sicredi SNI</t>
        </is>
      </c>
      <c r="C352" s="2" t="inlineStr">
        <is>
          <t>23/06/2026</t>
        </is>
      </c>
      <c r="D352" s="2" t="inlineStr">
        <is>
          <t>15/06/2026</t>
        </is>
      </c>
      <c r="E352" s="2" t="inlineStr">
        <is>
          <t>Dinheiro</t>
        </is>
      </c>
      <c r="F352" s="2" t="inlineStr">
        <is>
          <t>DEP DINHEIRO ATM</t>
        </is>
      </c>
      <c r="G352" s="2" t="inlineStr">
        <is>
          <t>clau</t>
        </is>
      </c>
      <c r="H352" s="2" t="inlineStr">
        <is>
          <t>01.90 : Outras Entradas</t>
        </is>
      </c>
      <c r="I352" s="3" t="n">
        <v>1300</v>
      </c>
      <c r="J352" s="2" t="n"/>
      <c r="K352" s="2">
        <f>IF(H352="02.09 : Outras Saídas", IF(OR(ISNUMBER(SEARCH("CHEQUE COMPE SICREDI", F352)), ISNUMBER(SEARCH("aniversario", F352)), ISNUMBER(SEARCH("churrasco", F352)), ISNUMBER(SEARCH("bolo", F352)), ISNUMBER(SEARCH("SUPERMERCADO", F352))), "6.1 Despesas Administrativas (Pessoal)", IF(OR(ISNUMBER(SEARCH("DLKNET", F352)), ISNUMBER(SEARCH("TESTE", F352))), "6.1 Despesas Administrativas (Gerais)", IFERROR(VLOOKUP(H352, De_Para!A:B, 2, FALSE), "NÃO MAPEADO"))), IFERROR(VLOOKUP(H352, De_Para!A:B, 2, FALSE), "NÃO MAPEADO"))</f>
        <v/>
      </c>
    </row>
    <row r="353">
      <c r="A353" s="2" t="inlineStr">
        <is>
          <t>69334</t>
        </is>
      </c>
      <c r="B353" s="2" t="inlineStr">
        <is>
          <t>Sicredi SNI</t>
        </is>
      </c>
      <c r="C353" s="2" t="inlineStr">
        <is>
          <t>23/06/2026</t>
        </is>
      </c>
      <c r="D353" s="2" t="inlineStr">
        <is>
          <t>10/06/2026</t>
        </is>
      </c>
      <c r="E353" s="2" t="inlineStr">
        <is>
          <t>Transferência Bancária</t>
        </is>
      </c>
      <c r="F353" s="2" t="inlineStr">
        <is>
          <t>EST CESTA/TARIFA SERVICO</t>
        </is>
      </c>
      <c r="G353" s="2" t="inlineStr">
        <is>
          <t>clau</t>
        </is>
      </c>
      <c r="H353" s="2" t="inlineStr">
        <is>
          <t>02.12 : CASHBACKS</t>
        </is>
      </c>
      <c r="I353" s="3" t="n">
        <v>54.14</v>
      </c>
      <c r="J353" s="2" t="n"/>
      <c r="K353" s="2">
        <f>IF(H353="02.09 : Outras Saídas", IF(OR(ISNUMBER(SEARCH("CHEQUE COMPE SICREDI", F353)), ISNUMBER(SEARCH("aniversario", F353)), ISNUMBER(SEARCH("churrasco", F353)), ISNUMBER(SEARCH("bolo", F353)), ISNUMBER(SEARCH("SUPERMERCADO", F353))), "6.1 Despesas Administrativas (Pessoal)", IF(OR(ISNUMBER(SEARCH("DLKNET", F353)), ISNUMBER(SEARCH("TESTE", F353))), "6.1 Despesas Administrativas (Gerais)", IFERROR(VLOOKUP(H353, De_Para!A:B, 2, FALSE), "NÃO MAPEADO"))), IFERROR(VLOOKUP(H353, De_Para!A:B, 2, FALSE), "NÃO MAPEADO"))</f>
        <v/>
      </c>
    </row>
    <row r="354">
      <c r="A354" s="2" t="inlineStr">
        <is>
          <t>69333</t>
        </is>
      </c>
      <c r="B354" s="2" t="inlineStr">
        <is>
          <t>Sicredi SNI</t>
        </is>
      </c>
      <c r="C354" s="2" t="inlineStr">
        <is>
          <t>23/06/2026</t>
        </is>
      </c>
      <c r="D354" s="2" t="inlineStr">
        <is>
          <t>03/06/2026</t>
        </is>
      </c>
      <c r="E354" s="2" t="inlineStr">
        <is>
          <t>PIX</t>
        </is>
      </c>
      <c r="F354" s="2" t="inlineStr">
        <is>
          <t>RECEBIMENTO PIX 10145409000150 SNI TELECOM LTDA</t>
        </is>
      </c>
      <c r="G354" s="2" t="inlineStr">
        <is>
          <t>clau</t>
        </is>
      </c>
      <c r="H354" s="2" t="inlineStr">
        <is>
          <t>TRANSF.ENTRE CONTAS : 02.12</t>
        </is>
      </c>
      <c r="I354" s="3" t="n">
        <v>1600</v>
      </c>
      <c r="J354" s="2" t="n"/>
      <c r="K354" s="2">
        <f>IF(H354="02.09 : Outras Saídas", IF(OR(ISNUMBER(SEARCH("CHEQUE COMPE SICREDI", F354)), ISNUMBER(SEARCH("aniversario", F354)), ISNUMBER(SEARCH("churrasco", F354)), ISNUMBER(SEARCH("bolo", F354)), ISNUMBER(SEARCH("SUPERMERCADO", F354))), "6.1 Despesas Administrativas (Pessoal)", IF(OR(ISNUMBER(SEARCH("DLKNET", F354)), ISNUMBER(SEARCH("TESTE", F354))), "6.1 Despesas Administrativas (Gerais)", IFERROR(VLOOKUP(H354, De_Para!A:B, 2, FALSE), "NÃO MAPEADO"))), IFERROR(VLOOKUP(H354, De_Para!A:B, 2, FALSE), "NÃO MAPEADO"))</f>
        <v/>
      </c>
    </row>
    <row r="355">
      <c r="A355" s="2" t="inlineStr">
        <is>
          <t>69332</t>
        </is>
      </c>
      <c r="B355" s="2" t="inlineStr">
        <is>
          <t>Sicredi SNI</t>
        </is>
      </c>
      <c r="C355" s="2" t="inlineStr">
        <is>
          <t>23/06/2026</t>
        </is>
      </c>
      <c r="D355" s="2" t="inlineStr">
        <is>
          <t>05/06/2026</t>
        </is>
      </c>
      <c r="E355" s="2" t="inlineStr">
        <is>
          <t>PIX</t>
        </is>
      </c>
      <c r="F355" s="2" t="inlineStr">
        <is>
          <t>RECEBIMENTO PIX 09830217914 JOSE LUIZ DELMORA JU</t>
        </is>
      </c>
      <c r="G355" s="2" t="inlineStr">
        <is>
          <t>clau</t>
        </is>
      </c>
      <c r="H355" s="2" t="inlineStr">
        <is>
          <t>01.90 : Outras Entradas</t>
        </is>
      </c>
      <c r="I355" s="3" t="n">
        <v>254.51</v>
      </c>
      <c r="J355" s="2" t="n"/>
      <c r="K355" s="2">
        <f>IF(H355="02.09 : Outras Saídas", IF(OR(ISNUMBER(SEARCH("CHEQUE COMPE SICREDI", F355)), ISNUMBER(SEARCH("aniversario", F355)), ISNUMBER(SEARCH("churrasco", F355)), ISNUMBER(SEARCH("bolo", F355)), ISNUMBER(SEARCH("SUPERMERCADO", F355))), "6.1 Despesas Administrativas (Pessoal)", IF(OR(ISNUMBER(SEARCH("DLKNET", F355)), ISNUMBER(SEARCH("TESTE", F355))), "6.1 Despesas Administrativas (Gerais)", IFERROR(VLOOKUP(H355, De_Para!A:B, 2, FALSE), "NÃO MAPEADO"))), IFERROR(VLOOKUP(H355, De_Para!A:B, 2, FALSE), "NÃO MAPEADO"))</f>
        <v/>
      </c>
    </row>
    <row r="356">
      <c r="A356" s="2" t="inlineStr">
        <is>
          <t>69331</t>
        </is>
      </c>
      <c r="B356" s="2" t="inlineStr">
        <is>
          <t>Sicredi SNI</t>
        </is>
      </c>
      <c r="C356" s="2" t="inlineStr">
        <is>
          <t>23/06/2026</t>
        </is>
      </c>
      <c r="D356" s="2" t="inlineStr">
        <is>
          <t>05/06/2026</t>
        </is>
      </c>
      <c r="E356" s="2" t="inlineStr">
        <is>
          <t>Débito em Conta</t>
        </is>
      </c>
      <c r="F356" s="2" t="inlineStr">
        <is>
          <t>TARIFA COM R LIQUIDACAO</t>
        </is>
      </c>
      <c r="G356" s="2" t="inlineStr">
        <is>
          <t>clau</t>
        </is>
      </c>
      <c r="H356" s="2" t="inlineStr">
        <is>
          <t>02.03.03.09 : TARIFA COM R LIQUIDACAO</t>
        </is>
      </c>
      <c r="I356" s="2" t="n"/>
      <c r="J356" s="3" t="n">
        <v>-1.7</v>
      </c>
      <c r="K356" s="2">
        <f>IF(H356="02.09 : Outras Saídas", IF(OR(ISNUMBER(SEARCH("CHEQUE COMPE SICREDI", F356)), ISNUMBER(SEARCH("aniversario", F356)), ISNUMBER(SEARCH("churrasco", F356)), ISNUMBER(SEARCH("bolo", F356)), ISNUMBER(SEARCH("SUPERMERCADO", F356))), "6.1 Despesas Administrativas (Pessoal)", IF(OR(ISNUMBER(SEARCH("DLKNET", F356)), ISNUMBER(SEARCH("TESTE", F356))), "6.1 Despesas Administrativas (Gerais)", IFERROR(VLOOKUP(H356, De_Para!A:B, 2, FALSE), "NÃO MAPEADO"))), IFERROR(VLOOKUP(H356, De_Para!A:B, 2, FALSE), "NÃO MAPEADO"))</f>
        <v/>
      </c>
    </row>
    <row r="357">
      <c r="A357" s="2" t="inlineStr">
        <is>
          <t>69330</t>
        </is>
      </c>
      <c r="B357" s="2" t="inlineStr">
        <is>
          <t>Sicredi SNI</t>
        </is>
      </c>
      <c r="C357" s="2" t="inlineStr">
        <is>
          <t>23/06/2026</t>
        </is>
      </c>
      <c r="D357" s="2" t="inlineStr">
        <is>
          <t>08/06/2026</t>
        </is>
      </c>
      <c r="E357" s="2" t="inlineStr">
        <is>
          <t>Débito em Conta</t>
        </is>
      </c>
      <c r="F357" s="2" t="inlineStr">
        <is>
          <t>TARIFA COM R LIQUIDACAO</t>
        </is>
      </c>
      <c r="G357" s="2" t="inlineStr">
        <is>
          <t>clau</t>
        </is>
      </c>
      <c r="H357" s="2" t="inlineStr">
        <is>
          <t>02.03.03.09 : TARIFA COM R LIQUIDACAO</t>
        </is>
      </c>
      <c r="I357" s="2" t="n"/>
      <c r="J357" s="3" t="n">
        <v>-4.25</v>
      </c>
      <c r="K357" s="2">
        <f>IF(H357="02.09 : Outras Saídas", IF(OR(ISNUMBER(SEARCH("CHEQUE COMPE SICREDI", F357)), ISNUMBER(SEARCH("aniversario", F357)), ISNUMBER(SEARCH("churrasco", F357)), ISNUMBER(SEARCH("bolo", F357)), ISNUMBER(SEARCH("SUPERMERCADO", F357))), "6.1 Despesas Administrativas (Pessoal)", IF(OR(ISNUMBER(SEARCH("DLKNET", F357)), ISNUMBER(SEARCH("TESTE", F357))), "6.1 Despesas Administrativas (Gerais)", IFERROR(VLOOKUP(H357, De_Para!A:B, 2, FALSE), "NÃO MAPEADO"))), IFERROR(VLOOKUP(H357, De_Para!A:B, 2, FALSE), "NÃO MAPEADO"))</f>
        <v/>
      </c>
    </row>
    <row r="358">
      <c r="A358" s="2" t="inlineStr">
        <is>
          <t>69329</t>
        </is>
      </c>
      <c r="B358" s="2" t="inlineStr">
        <is>
          <t>Sicredi SNI</t>
        </is>
      </c>
      <c r="C358" s="2" t="inlineStr">
        <is>
          <t>23/06/2026</t>
        </is>
      </c>
      <c r="D358" s="2" t="inlineStr">
        <is>
          <t>09/06/2026</t>
        </is>
      </c>
      <c r="E358" s="2" t="inlineStr">
        <is>
          <t>Débito em Conta</t>
        </is>
      </c>
      <c r="F358" s="2" t="inlineStr">
        <is>
          <t>TARIFA COM R LIQUIDACAO</t>
        </is>
      </c>
      <c r="G358" s="2" t="inlineStr">
        <is>
          <t>clau</t>
        </is>
      </c>
      <c r="H358" s="2" t="inlineStr">
        <is>
          <t>02.03.03.09 : TARIFA COM R LIQUIDACAO</t>
        </is>
      </c>
      <c r="I358" s="2" t="n"/>
      <c r="J358" s="3" t="n">
        <v>-9.35</v>
      </c>
      <c r="K358" s="2">
        <f>IF(H358="02.09 : Outras Saídas", IF(OR(ISNUMBER(SEARCH("CHEQUE COMPE SICREDI", F358)), ISNUMBER(SEARCH("aniversario", F358)), ISNUMBER(SEARCH("churrasco", F358)), ISNUMBER(SEARCH("bolo", F358)), ISNUMBER(SEARCH("SUPERMERCADO", F358))), "6.1 Despesas Administrativas (Pessoal)", IF(OR(ISNUMBER(SEARCH("DLKNET", F358)), ISNUMBER(SEARCH("TESTE", F358))), "6.1 Despesas Administrativas (Gerais)", IFERROR(VLOOKUP(H358, De_Para!A:B, 2, FALSE), "NÃO MAPEADO"))), IFERROR(VLOOKUP(H358, De_Para!A:B, 2, FALSE), "NÃO MAPEADO"))</f>
        <v/>
      </c>
    </row>
    <row r="359">
      <c r="A359" s="2" t="inlineStr">
        <is>
          <t>69328</t>
        </is>
      </c>
      <c r="B359" s="2" t="inlineStr">
        <is>
          <t>Sicredi SNI</t>
        </is>
      </c>
      <c r="C359" s="2" t="inlineStr">
        <is>
          <t>23/06/2026</t>
        </is>
      </c>
      <c r="D359" s="2" t="inlineStr">
        <is>
          <t>09/06/2026</t>
        </is>
      </c>
      <c r="E359" s="2" t="inlineStr">
        <is>
          <t>Débito em Conta</t>
        </is>
      </c>
      <c r="F359" s="2" t="inlineStr">
        <is>
          <t>TARIFA COM R LIQUIDACAO</t>
        </is>
      </c>
      <c r="G359" s="2" t="inlineStr">
        <is>
          <t>clau</t>
        </is>
      </c>
      <c r="H359" s="2" t="inlineStr">
        <is>
          <t>02.03.03.09 : TARIFA COM R LIQUIDACAO</t>
        </is>
      </c>
      <c r="I359" s="2" t="n"/>
      <c r="J359" s="3" t="n">
        <v>-1.7</v>
      </c>
      <c r="K359" s="2">
        <f>IF(H359="02.09 : Outras Saídas", IF(OR(ISNUMBER(SEARCH("CHEQUE COMPE SICREDI", F359)), ISNUMBER(SEARCH("aniversario", F359)), ISNUMBER(SEARCH("churrasco", F359)), ISNUMBER(SEARCH("bolo", F359)), ISNUMBER(SEARCH("SUPERMERCADO", F359))), "6.1 Despesas Administrativas (Pessoal)", IF(OR(ISNUMBER(SEARCH("DLKNET", F359)), ISNUMBER(SEARCH("TESTE", F359))), "6.1 Despesas Administrativas (Gerais)", IFERROR(VLOOKUP(H359, De_Para!A:B, 2, FALSE), "NÃO MAPEADO"))), IFERROR(VLOOKUP(H359, De_Para!A:B, 2, FALSE), "NÃO MAPEADO"))</f>
        <v/>
      </c>
    </row>
    <row r="360">
      <c r="A360" s="2" t="inlineStr">
        <is>
          <t>69327</t>
        </is>
      </c>
      <c r="B360" s="2" t="inlineStr">
        <is>
          <t>Sicredi SNI</t>
        </is>
      </c>
      <c r="C360" s="2" t="inlineStr">
        <is>
          <t>23/06/2026</t>
        </is>
      </c>
      <c r="D360" s="2" t="inlineStr">
        <is>
          <t>10/06/2026</t>
        </is>
      </c>
      <c r="E360" s="2" t="inlineStr">
        <is>
          <t>Débito em Conta</t>
        </is>
      </c>
      <c r="F360" s="2" t="inlineStr">
        <is>
          <t>JUROS UTILIZ.CH.ESPECIAL</t>
        </is>
      </c>
      <c r="G360" s="2" t="inlineStr">
        <is>
          <t>clau</t>
        </is>
      </c>
      <c r="H360" s="2" t="inlineStr">
        <is>
          <t>02.03.03.10 : JUROS UTILIZ.CH.ESPECIAL</t>
        </is>
      </c>
      <c r="I360" s="2" t="n"/>
      <c r="J360" s="3" t="n">
        <v>-1478.48</v>
      </c>
      <c r="K360" s="2">
        <f>IF(H360="02.09 : Outras Saídas", IF(OR(ISNUMBER(SEARCH("CHEQUE COMPE SICREDI", F360)), ISNUMBER(SEARCH("aniversario", F360)), ISNUMBER(SEARCH("churrasco", F360)), ISNUMBER(SEARCH("bolo", F360)), ISNUMBER(SEARCH("SUPERMERCADO", F360))), "6.1 Despesas Administrativas (Pessoal)", IF(OR(ISNUMBER(SEARCH("DLKNET", F360)), ISNUMBER(SEARCH("TESTE", F360))), "6.1 Despesas Administrativas (Gerais)", IFERROR(VLOOKUP(H360, De_Para!A:B, 2, FALSE), "NÃO MAPEADO"))), IFERROR(VLOOKUP(H360, De_Para!A:B, 2, FALSE), "NÃO MAPEADO"))</f>
        <v/>
      </c>
    </row>
    <row r="361">
      <c r="A361" s="2" t="inlineStr">
        <is>
          <t>69326</t>
        </is>
      </c>
      <c r="B361" s="2" t="inlineStr">
        <is>
          <t>Sicredi SNI</t>
        </is>
      </c>
      <c r="C361" s="2" t="inlineStr">
        <is>
          <t>23/06/2026</t>
        </is>
      </c>
      <c r="D361" s="2" t="inlineStr">
        <is>
          <t>11/06/2026</t>
        </is>
      </c>
      <c r="E361" s="2" t="inlineStr">
        <is>
          <t>Débito em Conta</t>
        </is>
      </c>
      <c r="F361" s="2" t="inlineStr">
        <is>
          <t>APLICACAO POUPANCA</t>
        </is>
      </c>
      <c r="G361" s="2" t="inlineStr">
        <is>
          <t>clau</t>
        </is>
      </c>
      <c r="H361" s="2" t="inlineStr">
        <is>
          <t>02.02.11 : APLICAÇÃO FINANCEIRA</t>
        </is>
      </c>
      <c r="I361" s="2" t="n"/>
      <c r="J361" s="3" t="n">
        <v>-500</v>
      </c>
      <c r="K361" s="2">
        <f>IF(H361="02.09 : Outras Saídas", IF(OR(ISNUMBER(SEARCH("CHEQUE COMPE SICREDI", F361)), ISNUMBER(SEARCH("aniversario", F361)), ISNUMBER(SEARCH("churrasco", F361)), ISNUMBER(SEARCH("bolo", F361)), ISNUMBER(SEARCH("SUPERMERCADO", F361))), "6.1 Despesas Administrativas (Pessoal)", IF(OR(ISNUMBER(SEARCH("DLKNET", F361)), ISNUMBER(SEARCH("TESTE", F361))), "6.1 Despesas Administrativas (Gerais)", IFERROR(VLOOKUP(H361, De_Para!A:B, 2, FALSE), "NÃO MAPEADO"))), IFERROR(VLOOKUP(H361, De_Para!A:B, 2, FALSE), "NÃO MAPEADO"))</f>
        <v/>
      </c>
    </row>
    <row r="362">
      <c r="A362" s="2" t="inlineStr">
        <is>
          <t>69325</t>
        </is>
      </c>
      <c r="B362" s="2" t="inlineStr">
        <is>
          <t>Sicredi SNI</t>
        </is>
      </c>
      <c r="C362" s="2" t="inlineStr">
        <is>
          <t>23/06/2026</t>
        </is>
      </c>
      <c r="D362" s="2" t="inlineStr">
        <is>
          <t>23/06/2026</t>
        </is>
      </c>
      <c r="E362" s="2" t="inlineStr">
        <is>
          <t>Dinheiro</t>
        </is>
      </c>
      <c r="F362" s="2" t="inlineStr">
        <is>
          <t>Boleto "62151" do cliente "WALTER LUIZ BENEDITO"</t>
        </is>
      </c>
      <c r="G362" s="2" t="inlineStr">
        <is>
          <t>system</t>
        </is>
      </c>
      <c r="H362" s="2" t="inlineStr">
        <is>
          <t>02.03.02.01 : Cobrança Bancaria</t>
        </is>
      </c>
      <c r="I362" s="2" t="n"/>
      <c r="J362" s="3" t="n">
        <v>-1.08</v>
      </c>
      <c r="K362" s="2">
        <f>IF(H362="02.09 : Outras Saídas", IF(OR(ISNUMBER(SEARCH("CHEQUE COMPE SICREDI", F362)), ISNUMBER(SEARCH("aniversario", F362)), ISNUMBER(SEARCH("churrasco", F362)), ISNUMBER(SEARCH("bolo", F362)), ISNUMBER(SEARCH("SUPERMERCADO", F362))), "6.1 Despesas Administrativas (Pessoal)", IF(OR(ISNUMBER(SEARCH("DLKNET", F362)), ISNUMBER(SEARCH("TESTE", F362))), "6.1 Despesas Administrativas (Gerais)", IFERROR(VLOOKUP(H362, De_Para!A:B, 2, FALSE), "NÃO MAPEADO"))), IFERROR(VLOOKUP(H362, De_Para!A:B, 2, FALSE), "NÃO MAPEADO"))</f>
        <v/>
      </c>
    </row>
    <row r="363">
      <c r="A363" s="2" t="inlineStr">
        <is>
          <t>69324</t>
        </is>
      </c>
      <c r="B363" s="2" t="inlineStr">
        <is>
          <t>Sicredi SNI</t>
        </is>
      </c>
      <c r="C363" s="2" t="inlineStr">
        <is>
          <t>23/06/2026</t>
        </is>
      </c>
      <c r="D363" s="2" t="inlineStr">
        <is>
          <t>23/06/2026</t>
        </is>
      </c>
      <c r="E363" s="2" t="inlineStr">
        <is>
          <t>Dinheiro</t>
        </is>
      </c>
      <c r="F363" s="2" t="inlineStr">
        <is>
          <t>Boleto "62151" do cliente "WALTER LUIZ BENEDITO"</t>
        </is>
      </c>
      <c r="G363" s="2" t="inlineStr">
        <is>
          <t>system</t>
        </is>
      </c>
      <c r="H363" s="2" t="inlineStr">
        <is>
          <t>01.01.01 : Mensalidade</t>
        </is>
      </c>
      <c r="I363" s="3" t="n">
        <v>107.35</v>
      </c>
      <c r="J363" s="2" t="n"/>
      <c r="K363" s="2">
        <f>IF(H363="02.09 : Outras Saídas", IF(OR(ISNUMBER(SEARCH("CHEQUE COMPE SICREDI", F363)), ISNUMBER(SEARCH("aniversario", F363)), ISNUMBER(SEARCH("churrasco", F363)), ISNUMBER(SEARCH("bolo", F363)), ISNUMBER(SEARCH("SUPERMERCADO", F363))), "6.1 Despesas Administrativas (Pessoal)", IF(OR(ISNUMBER(SEARCH("DLKNET", F363)), ISNUMBER(SEARCH("TESTE", F363))), "6.1 Despesas Administrativas (Gerais)", IFERROR(VLOOKUP(H363, De_Para!A:B, 2, FALSE), "NÃO MAPEADO"))), IFERROR(VLOOKUP(H363, De_Para!A:B, 2, FALSE), "NÃO MAPEADO"))</f>
        <v/>
      </c>
    </row>
    <row r="364">
      <c r="A364" s="2" t="inlineStr">
        <is>
          <t>69323</t>
        </is>
      </c>
      <c r="B364" s="2" t="inlineStr">
        <is>
          <t>Sicredi SNI</t>
        </is>
      </c>
      <c r="C364" s="2" t="inlineStr">
        <is>
          <t>23/06/2026</t>
        </is>
      </c>
      <c r="D364" s="2" t="inlineStr">
        <is>
          <t>11/06/2026</t>
        </is>
      </c>
      <c r="E364" s="2" t="inlineStr">
        <is>
          <t>PIX</t>
        </is>
      </c>
      <c r="F364" s="2" t="inlineStr">
        <is>
          <t>PAGAMENTO PIX 10573521000191 MERCADO PAGO INSTIT SEGURO TORO</t>
        </is>
      </c>
      <c r="G364" s="2" t="inlineStr">
        <is>
          <t>clau</t>
        </is>
      </c>
      <c r="H364" s="2" t="inlineStr">
        <is>
          <t>02.10.01 : SEGURO CARRO</t>
        </is>
      </c>
      <c r="I364" s="2" t="n"/>
      <c r="J364" s="3" t="n">
        <v>-474.69</v>
      </c>
      <c r="K364" s="2">
        <f>IF(H364="02.09 : Outras Saídas", IF(OR(ISNUMBER(SEARCH("CHEQUE COMPE SICREDI", F364)), ISNUMBER(SEARCH("aniversario", F364)), ISNUMBER(SEARCH("churrasco", F364)), ISNUMBER(SEARCH("bolo", F364)), ISNUMBER(SEARCH("SUPERMERCADO", F364))), "6.1 Despesas Administrativas (Pessoal)", IF(OR(ISNUMBER(SEARCH("DLKNET", F364)), ISNUMBER(SEARCH("TESTE", F364))), "6.1 Despesas Administrativas (Gerais)", IFERROR(VLOOKUP(H364, De_Para!A:B, 2, FALSE), "NÃO MAPEADO"))), IFERROR(VLOOKUP(H364, De_Para!A:B, 2, FALSE), "NÃO MAPEADO"))</f>
        <v/>
      </c>
    </row>
    <row r="365">
      <c r="A365" s="2" t="inlineStr">
        <is>
          <t>69322</t>
        </is>
      </c>
      <c r="B365" s="2" t="inlineStr">
        <is>
          <t>Sicoob</t>
        </is>
      </c>
      <c r="C365" s="2" t="inlineStr">
        <is>
          <t>23/06/2026</t>
        </is>
      </c>
      <c r="D365" s="2" t="inlineStr">
        <is>
          <t>23/06/2026</t>
        </is>
      </c>
      <c r="E365" s="2" t="inlineStr">
        <is>
          <t>Dinheiro</t>
        </is>
      </c>
      <c r="F365" s="2" t="inlineStr">
        <is>
          <t>Boleto "61176" do cliente "ADILSON NOGUEIRA COUTINHO"</t>
        </is>
      </c>
      <c r="G365" s="2" t="inlineStr">
        <is>
          <t>system</t>
        </is>
      </c>
      <c r="H365" s="2" t="inlineStr">
        <is>
          <t>02.03.02.01 : Cobrança Bancaria</t>
        </is>
      </c>
      <c r="I365" s="2" t="n"/>
      <c r="J365" s="3" t="n">
        <v>-0.88</v>
      </c>
      <c r="K365" s="2">
        <f>IF(H365="02.09 : Outras Saídas", IF(OR(ISNUMBER(SEARCH("CHEQUE COMPE SICREDI", F365)), ISNUMBER(SEARCH("aniversario", F365)), ISNUMBER(SEARCH("churrasco", F365)), ISNUMBER(SEARCH("bolo", F365)), ISNUMBER(SEARCH("SUPERMERCADO", F365))), "6.1 Despesas Administrativas (Pessoal)", IF(OR(ISNUMBER(SEARCH("DLKNET", F365)), ISNUMBER(SEARCH("TESTE", F365))), "6.1 Despesas Administrativas (Gerais)", IFERROR(VLOOKUP(H365, De_Para!A:B, 2, FALSE), "NÃO MAPEADO"))), IFERROR(VLOOKUP(H365, De_Para!A:B, 2, FALSE), "NÃO MAPEADO"))</f>
        <v/>
      </c>
    </row>
    <row r="366">
      <c r="A366" s="2" t="inlineStr">
        <is>
          <t>69321</t>
        </is>
      </c>
      <c r="B366" s="2" t="inlineStr">
        <is>
          <t>Sicoob</t>
        </is>
      </c>
      <c r="C366" s="2" t="inlineStr">
        <is>
          <t>23/06/2026</t>
        </is>
      </c>
      <c r="D366" s="2" t="inlineStr">
        <is>
          <t>23/06/2026</t>
        </is>
      </c>
      <c r="E366" s="2" t="inlineStr">
        <is>
          <t>Dinheiro</t>
        </is>
      </c>
      <c r="F366" s="2" t="inlineStr">
        <is>
          <t>Boleto "61176" do cliente "ADILSON NOGUEIRA COUTINHO"</t>
        </is>
      </c>
      <c r="G366" s="2" t="inlineStr">
        <is>
          <t>system</t>
        </is>
      </c>
      <c r="H366" s="2" t="inlineStr">
        <is>
          <t>01.01.01 : Mensalidade</t>
        </is>
      </c>
      <c r="I366" s="3" t="n">
        <v>107.2</v>
      </c>
      <c r="J366" s="2" t="n"/>
      <c r="K366" s="2">
        <f>IF(H366="02.09 : Outras Saídas", IF(OR(ISNUMBER(SEARCH("CHEQUE COMPE SICREDI", F366)), ISNUMBER(SEARCH("aniversario", F366)), ISNUMBER(SEARCH("churrasco", F366)), ISNUMBER(SEARCH("bolo", F366)), ISNUMBER(SEARCH("SUPERMERCADO", F366))), "6.1 Despesas Administrativas (Pessoal)", IF(OR(ISNUMBER(SEARCH("DLKNET", F366)), ISNUMBER(SEARCH("TESTE", F366))), "6.1 Despesas Administrativas (Gerais)", IFERROR(VLOOKUP(H366, De_Para!A:B, 2, FALSE), "NÃO MAPEADO"))), IFERROR(VLOOKUP(H366, De_Para!A:B, 2, FALSE), "NÃO MAPEADO"))</f>
        <v/>
      </c>
    </row>
    <row r="367">
      <c r="A367" s="2" t="inlineStr">
        <is>
          <t>69320</t>
        </is>
      </c>
      <c r="B367" s="2" t="inlineStr">
        <is>
          <t>Sicoob</t>
        </is>
      </c>
      <c r="C367" s="2" t="inlineStr">
        <is>
          <t>23/06/2026</t>
        </is>
      </c>
      <c r="D367" s="2" t="inlineStr">
        <is>
          <t>23/06/2026</t>
        </is>
      </c>
      <c r="E367" s="2" t="inlineStr">
        <is>
          <t>Dinheiro</t>
        </is>
      </c>
      <c r="F367" s="2" t="inlineStr">
        <is>
          <t>Boleto "59284" do cliente "MARLENE DA SILVA LINO"</t>
        </is>
      </c>
      <c r="G367" s="2" t="inlineStr">
        <is>
          <t>system</t>
        </is>
      </c>
      <c r="H367" s="2" t="inlineStr">
        <is>
          <t>02.03.02.01 : Cobrança Bancaria</t>
        </is>
      </c>
      <c r="I367" s="2" t="n"/>
      <c r="J367" s="3" t="n">
        <v>-0.88</v>
      </c>
      <c r="K367" s="2">
        <f>IF(H367="02.09 : Outras Saídas", IF(OR(ISNUMBER(SEARCH("CHEQUE COMPE SICREDI", F367)), ISNUMBER(SEARCH("aniversario", F367)), ISNUMBER(SEARCH("churrasco", F367)), ISNUMBER(SEARCH("bolo", F367)), ISNUMBER(SEARCH("SUPERMERCADO", F367))), "6.1 Despesas Administrativas (Pessoal)", IF(OR(ISNUMBER(SEARCH("DLKNET", F367)), ISNUMBER(SEARCH("TESTE", F367))), "6.1 Despesas Administrativas (Gerais)", IFERROR(VLOOKUP(H367, De_Para!A:B, 2, FALSE), "NÃO MAPEADO"))), IFERROR(VLOOKUP(H367, De_Para!A:B, 2, FALSE), "NÃO MAPEADO"))</f>
        <v/>
      </c>
    </row>
    <row r="368">
      <c r="A368" s="2" t="inlineStr">
        <is>
          <t>69319</t>
        </is>
      </c>
      <c r="B368" s="2" t="inlineStr">
        <is>
          <t>Sicoob</t>
        </is>
      </c>
      <c r="C368" s="2" t="inlineStr">
        <is>
          <t>23/06/2026</t>
        </is>
      </c>
      <c r="D368" s="2" t="inlineStr">
        <is>
          <t>23/06/2026</t>
        </is>
      </c>
      <c r="E368" s="2" t="inlineStr">
        <is>
          <t>Dinheiro</t>
        </is>
      </c>
      <c r="F368" s="2" t="inlineStr">
        <is>
          <t>Boleto "59284" do cliente "MARLENE DA SILVA LINO"</t>
        </is>
      </c>
      <c r="G368" s="2" t="inlineStr">
        <is>
          <t>system</t>
        </is>
      </c>
      <c r="H368" s="2" t="inlineStr">
        <is>
          <t>01.01.01 : Mensalidade</t>
        </is>
      </c>
      <c r="I368" s="3" t="n">
        <v>105</v>
      </c>
      <c r="J368" s="2" t="n"/>
      <c r="K368" s="2">
        <f>IF(H368="02.09 : Outras Saídas", IF(OR(ISNUMBER(SEARCH("CHEQUE COMPE SICREDI", F368)), ISNUMBER(SEARCH("aniversario", F368)), ISNUMBER(SEARCH("churrasco", F368)), ISNUMBER(SEARCH("bolo", F368)), ISNUMBER(SEARCH("SUPERMERCADO", F368))), "6.1 Despesas Administrativas (Pessoal)", IF(OR(ISNUMBER(SEARCH("DLKNET", F368)), ISNUMBER(SEARCH("TESTE", F368))), "6.1 Despesas Administrativas (Gerais)", IFERROR(VLOOKUP(H368, De_Para!A:B, 2, FALSE), "NÃO MAPEADO"))), IFERROR(VLOOKUP(H368, De_Para!A:B, 2, FALSE), "NÃO MAPEADO"))</f>
        <v/>
      </c>
    </row>
    <row r="369">
      <c r="A369" s="2" t="inlineStr">
        <is>
          <t>69318</t>
        </is>
      </c>
      <c r="B369" s="2" t="inlineStr">
        <is>
          <t>Sicoob</t>
        </is>
      </c>
      <c r="C369" s="2" t="inlineStr">
        <is>
          <t>23/06/2026</t>
        </is>
      </c>
      <c r="D369" s="2" t="inlineStr">
        <is>
          <t>23/06/2026</t>
        </is>
      </c>
      <c r="E369" s="2" t="inlineStr">
        <is>
          <t>Dinheiro</t>
        </is>
      </c>
      <c r="F369" s="2" t="inlineStr">
        <is>
          <t>Boleto "54095" do cliente "SELMA TEIXEIRA"</t>
        </is>
      </c>
      <c r="G369" s="2" t="inlineStr">
        <is>
          <t>system</t>
        </is>
      </c>
      <c r="H369" s="2" t="inlineStr">
        <is>
          <t>02.03.02.01 : Cobrança Bancaria</t>
        </is>
      </c>
      <c r="I369" s="2" t="n"/>
      <c r="J369" s="3" t="n">
        <v>-0.88</v>
      </c>
      <c r="K369" s="2">
        <f>IF(H369="02.09 : Outras Saídas", IF(OR(ISNUMBER(SEARCH("CHEQUE COMPE SICREDI", F369)), ISNUMBER(SEARCH("aniversario", F369)), ISNUMBER(SEARCH("churrasco", F369)), ISNUMBER(SEARCH("bolo", F369)), ISNUMBER(SEARCH("SUPERMERCADO", F369))), "6.1 Despesas Administrativas (Pessoal)", IF(OR(ISNUMBER(SEARCH("DLKNET", F369)), ISNUMBER(SEARCH("TESTE", F369))), "6.1 Despesas Administrativas (Gerais)", IFERROR(VLOOKUP(H369, De_Para!A:B, 2, FALSE), "NÃO MAPEADO"))), IFERROR(VLOOKUP(H369, De_Para!A:B, 2, FALSE), "NÃO MAPEADO"))</f>
        <v/>
      </c>
    </row>
    <row r="370">
      <c r="A370" s="2" t="inlineStr">
        <is>
          <t>69317</t>
        </is>
      </c>
      <c r="B370" s="2" t="inlineStr">
        <is>
          <t>Sicoob</t>
        </is>
      </c>
      <c r="C370" s="2" t="inlineStr">
        <is>
          <t>23/06/2026</t>
        </is>
      </c>
      <c r="D370" s="2" t="inlineStr">
        <is>
          <t>23/06/2026</t>
        </is>
      </c>
      <c r="E370" s="2" t="inlineStr">
        <is>
          <t>Dinheiro</t>
        </is>
      </c>
      <c r="F370" s="2" t="inlineStr">
        <is>
          <t>Boleto "54095" do cliente "SELMA TEIXEIRA"</t>
        </is>
      </c>
      <c r="G370" s="2" t="inlineStr">
        <is>
          <t>system</t>
        </is>
      </c>
      <c r="H370" s="2" t="inlineStr">
        <is>
          <t>01.01.01 : Mensalidade</t>
        </is>
      </c>
      <c r="I370" s="3" t="n">
        <v>107.2</v>
      </c>
      <c r="J370" s="2" t="n"/>
      <c r="K370" s="2">
        <f>IF(H370="02.09 : Outras Saídas", IF(OR(ISNUMBER(SEARCH("CHEQUE COMPE SICREDI", F370)), ISNUMBER(SEARCH("aniversario", F370)), ISNUMBER(SEARCH("churrasco", F370)), ISNUMBER(SEARCH("bolo", F370)), ISNUMBER(SEARCH("SUPERMERCADO", F370))), "6.1 Despesas Administrativas (Pessoal)", IF(OR(ISNUMBER(SEARCH("DLKNET", F370)), ISNUMBER(SEARCH("TESTE", F370))), "6.1 Despesas Administrativas (Gerais)", IFERROR(VLOOKUP(H370, De_Para!A:B, 2, FALSE), "NÃO MAPEADO"))), IFERROR(VLOOKUP(H370, De_Para!A:B, 2, FALSE), "NÃO MAPEADO"))</f>
        <v/>
      </c>
    </row>
    <row r="371">
      <c r="A371" s="2" t="inlineStr">
        <is>
          <t>69316</t>
        </is>
      </c>
      <c r="B371" s="2" t="inlineStr">
        <is>
          <t>Sicredi SNI</t>
        </is>
      </c>
      <c r="C371" s="2" t="inlineStr">
        <is>
          <t>23/06/2026</t>
        </is>
      </c>
      <c r="D371" s="2" t="inlineStr">
        <is>
          <t>11/06/2026</t>
        </is>
      </c>
      <c r="E371" s="2" t="inlineStr">
        <is>
          <t>PIX</t>
        </is>
      </c>
      <c r="F371" s="2" t="inlineStr">
        <is>
          <t>PAGAMENTO PIX 10573521000191 MERCADO PAGO INSTIT</t>
        </is>
      </c>
      <c r="G371" s="2" t="inlineStr">
        <is>
          <t>clau</t>
        </is>
      </c>
      <c r="H371" s="2" t="inlineStr">
        <is>
          <t>02.01.03.01 : Reposição de Ferramentas</t>
        </is>
      </c>
      <c r="I371" s="2" t="n"/>
      <c r="J371" s="3" t="n">
        <v>-305.19</v>
      </c>
      <c r="K371" s="2">
        <f>IF(H371="02.09 : Outras Saídas", IF(OR(ISNUMBER(SEARCH("CHEQUE COMPE SICREDI", F371)), ISNUMBER(SEARCH("aniversario", F371)), ISNUMBER(SEARCH("churrasco", F371)), ISNUMBER(SEARCH("bolo", F371)), ISNUMBER(SEARCH("SUPERMERCADO", F371))), "6.1 Despesas Administrativas (Pessoal)", IF(OR(ISNUMBER(SEARCH("DLKNET", F371)), ISNUMBER(SEARCH("TESTE", F371))), "6.1 Despesas Administrativas (Gerais)", IFERROR(VLOOKUP(H371, De_Para!A:B, 2, FALSE), "NÃO MAPEADO"))), IFERROR(VLOOKUP(H371, De_Para!A:B, 2, FALSE), "NÃO MAPEADO"))</f>
        <v/>
      </c>
    </row>
    <row r="372">
      <c r="A372" s="2" t="inlineStr">
        <is>
          <t>69315</t>
        </is>
      </c>
      <c r="B372" s="2" t="inlineStr">
        <is>
          <t>Sicredi SNI</t>
        </is>
      </c>
      <c r="C372" s="2" t="inlineStr">
        <is>
          <t>23/06/2026</t>
        </is>
      </c>
      <c r="D372" s="2" t="inlineStr">
        <is>
          <t>12/06/2026</t>
        </is>
      </c>
      <c r="E372" s="2" t="inlineStr">
        <is>
          <t>Débito em Conta</t>
        </is>
      </c>
      <c r="F372" s="2" t="inlineStr">
        <is>
          <t>TARIFA COM R LIQUIDACAO</t>
        </is>
      </c>
      <c r="G372" s="2" t="inlineStr">
        <is>
          <t>clau</t>
        </is>
      </c>
      <c r="H372" s="2" t="inlineStr">
        <is>
          <t>02.03.03.09 : TARIFA COM R LIQUIDACAO</t>
        </is>
      </c>
      <c r="I372" s="2" t="n"/>
      <c r="J372" s="3" t="n">
        <v>-3.4</v>
      </c>
      <c r="K372" s="2">
        <f>IF(H372="02.09 : Outras Saídas", IF(OR(ISNUMBER(SEARCH("CHEQUE COMPE SICREDI", F372)), ISNUMBER(SEARCH("aniversario", F372)), ISNUMBER(SEARCH("churrasco", F372)), ISNUMBER(SEARCH("bolo", F372)), ISNUMBER(SEARCH("SUPERMERCADO", F372))), "6.1 Despesas Administrativas (Pessoal)", IF(OR(ISNUMBER(SEARCH("DLKNET", F372)), ISNUMBER(SEARCH("TESTE", F372))), "6.1 Despesas Administrativas (Gerais)", IFERROR(VLOOKUP(H372, De_Para!A:B, 2, FALSE), "NÃO MAPEADO"))), IFERROR(VLOOKUP(H372, De_Para!A:B, 2, FALSE), "NÃO MAPEADO"))</f>
        <v/>
      </c>
    </row>
    <row r="373">
      <c r="A373" s="2" t="inlineStr">
        <is>
          <t>69314</t>
        </is>
      </c>
      <c r="B373" s="2" t="inlineStr">
        <is>
          <t>Sicredi SNI</t>
        </is>
      </c>
      <c r="C373" s="2" t="inlineStr">
        <is>
          <t>23/06/2026</t>
        </is>
      </c>
      <c r="D373" s="2" t="inlineStr">
        <is>
          <t>12/06/2026</t>
        </is>
      </c>
      <c r="E373" s="2" t="inlineStr">
        <is>
          <t>PIX</t>
        </is>
      </c>
      <c r="F373" s="2" t="inlineStr">
        <is>
          <t>PAGAMENTO PIX 53493842953 ADEVANIL LOPES VAN LUIZA</t>
        </is>
      </c>
      <c r="G373" s="2" t="inlineStr">
        <is>
          <t>clau</t>
        </is>
      </c>
      <c r="H373" s="2" t="inlineStr">
        <is>
          <t>02.03.02.07 : Pro-Labore</t>
        </is>
      </c>
      <c r="I373" s="2" t="n"/>
      <c r="J373" s="3" t="n">
        <v>-600</v>
      </c>
      <c r="K373" s="2">
        <f>IF(H373="02.09 : Outras Saídas", IF(OR(ISNUMBER(SEARCH("CHEQUE COMPE SICREDI", F373)), ISNUMBER(SEARCH("aniversario", F373)), ISNUMBER(SEARCH("churrasco", F373)), ISNUMBER(SEARCH("bolo", F373)), ISNUMBER(SEARCH("SUPERMERCADO", F373))), "6.1 Despesas Administrativas (Pessoal)", IF(OR(ISNUMBER(SEARCH("DLKNET", F373)), ISNUMBER(SEARCH("TESTE", F373))), "6.1 Despesas Administrativas (Gerais)", IFERROR(VLOOKUP(H373, De_Para!A:B, 2, FALSE), "NÃO MAPEADO"))), IFERROR(VLOOKUP(H373, De_Para!A:B, 2, FALSE), "NÃO MAPEADO"))</f>
        <v/>
      </c>
    </row>
    <row r="374">
      <c r="A374" s="2" t="inlineStr">
        <is>
          <t>69313</t>
        </is>
      </c>
      <c r="B374" s="2" t="inlineStr">
        <is>
          <t>Sicredi SNI</t>
        </is>
      </c>
      <c r="C374" s="2" t="inlineStr">
        <is>
          <t>23/06/2026</t>
        </is>
      </c>
      <c r="D374" s="2" t="inlineStr">
        <is>
          <t>22/06/2026</t>
        </is>
      </c>
      <c r="E374" s="2" t="inlineStr">
        <is>
          <t>Débito em Conta</t>
        </is>
      </c>
      <c r="F374" s="2" t="inlineStr">
        <is>
          <t>TARIFA COM R LIQUIDACAO</t>
        </is>
      </c>
      <c r="G374" s="2" t="inlineStr">
        <is>
          <t>clau</t>
        </is>
      </c>
      <c r="H374" s="2" t="inlineStr">
        <is>
          <t>02.03.03.09 : TARIFA COM R LIQUIDACAO</t>
        </is>
      </c>
      <c r="I374" s="2" t="n"/>
      <c r="J374" s="3" t="n">
        <v>-10.2</v>
      </c>
      <c r="K374" s="2">
        <f>IF(H374="02.09 : Outras Saídas", IF(OR(ISNUMBER(SEARCH("CHEQUE COMPE SICREDI", F374)), ISNUMBER(SEARCH("aniversario", F374)), ISNUMBER(SEARCH("churrasco", F374)), ISNUMBER(SEARCH("bolo", F374)), ISNUMBER(SEARCH("SUPERMERCADO", F374))), "6.1 Despesas Administrativas (Pessoal)", IF(OR(ISNUMBER(SEARCH("DLKNET", F374)), ISNUMBER(SEARCH("TESTE", F374))), "6.1 Despesas Administrativas (Gerais)", IFERROR(VLOOKUP(H374, De_Para!A:B, 2, FALSE), "NÃO MAPEADO"))), IFERROR(VLOOKUP(H374, De_Para!A:B, 2, FALSE), "NÃO MAPEADO"))</f>
        <v/>
      </c>
    </row>
    <row r="375">
      <c r="A375" s="2" t="inlineStr">
        <is>
          <t>69312</t>
        </is>
      </c>
      <c r="B375" s="2" t="inlineStr">
        <is>
          <t>Sicredi SNI</t>
        </is>
      </c>
      <c r="C375" s="2" t="inlineStr">
        <is>
          <t>23/06/2026</t>
        </is>
      </c>
      <c r="D375" s="2" t="inlineStr">
        <is>
          <t>22/06/2026</t>
        </is>
      </c>
      <c r="E375" s="2" t="inlineStr">
        <is>
          <t>Débito em Conta</t>
        </is>
      </c>
      <c r="F375" s="2" t="inlineStr">
        <is>
          <t>TARIFA COM R LIQUIDACAO</t>
        </is>
      </c>
      <c r="G375" s="2" t="inlineStr">
        <is>
          <t>clau</t>
        </is>
      </c>
      <c r="H375" s="2" t="inlineStr">
        <is>
          <t>02.03.03.09 : TARIFA COM R LIQUIDACAO</t>
        </is>
      </c>
      <c r="I375" s="2" t="n"/>
      <c r="J375" s="3" t="n">
        <v>-2.55</v>
      </c>
      <c r="K375" s="2">
        <f>IF(H375="02.09 : Outras Saídas", IF(OR(ISNUMBER(SEARCH("CHEQUE COMPE SICREDI", F375)), ISNUMBER(SEARCH("aniversario", F375)), ISNUMBER(SEARCH("churrasco", F375)), ISNUMBER(SEARCH("bolo", F375)), ISNUMBER(SEARCH("SUPERMERCADO", F375))), "6.1 Despesas Administrativas (Pessoal)", IF(OR(ISNUMBER(SEARCH("DLKNET", F375)), ISNUMBER(SEARCH("TESTE", F375))), "6.1 Despesas Administrativas (Gerais)", IFERROR(VLOOKUP(H375, De_Para!A:B, 2, FALSE), "NÃO MAPEADO"))), IFERROR(VLOOKUP(H375, De_Para!A:B, 2, FALSE), "NÃO MAPEADO"))</f>
        <v/>
      </c>
    </row>
    <row r="376">
      <c r="A376" s="2" t="inlineStr">
        <is>
          <t>69311</t>
        </is>
      </c>
      <c r="B376" s="2" t="inlineStr">
        <is>
          <t>Sicoob</t>
        </is>
      </c>
      <c r="C376" s="2" t="inlineStr">
        <is>
          <t>23/06/2026</t>
        </is>
      </c>
      <c r="D376" s="2" t="inlineStr">
        <is>
          <t>22/06/2026</t>
        </is>
      </c>
      <c r="E376" s="2" t="inlineStr">
        <is>
          <t>Dinheiro</t>
        </is>
      </c>
      <c r="F376" s="2" t="inlineStr">
        <is>
          <t>Boleto "67364" do cliente "JAIRO DONIZETE APARECIDO DA SILVA"</t>
        </is>
      </c>
      <c r="G376" s="2" t="inlineStr">
        <is>
          <t>system</t>
        </is>
      </c>
      <c r="H376" s="2" t="inlineStr">
        <is>
          <t>02.03.02.01 : Cobrança Bancaria</t>
        </is>
      </c>
      <c r="I376" s="2" t="n"/>
      <c r="J376" s="3" t="n">
        <v>-0.88</v>
      </c>
      <c r="K376" s="2">
        <f>IF(H376="02.09 : Outras Saídas", IF(OR(ISNUMBER(SEARCH("CHEQUE COMPE SICREDI", F376)), ISNUMBER(SEARCH("aniversario", F376)), ISNUMBER(SEARCH("churrasco", F376)), ISNUMBER(SEARCH("bolo", F376)), ISNUMBER(SEARCH("SUPERMERCADO", F376))), "6.1 Despesas Administrativas (Pessoal)", IF(OR(ISNUMBER(SEARCH("DLKNET", F376)), ISNUMBER(SEARCH("TESTE", F376))), "6.1 Despesas Administrativas (Gerais)", IFERROR(VLOOKUP(H376, De_Para!A:B, 2, FALSE), "NÃO MAPEADO"))), IFERROR(VLOOKUP(H376, De_Para!A:B, 2, FALSE), "NÃO MAPEADO"))</f>
        <v/>
      </c>
    </row>
    <row r="377">
      <c r="A377" s="2" t="inlineStr">
        <is>
          <t>69310</t>
        </is>
      </c>
      <c r="B377" s="2" t="inlineStr">
        <is>
          <t>Sicoob</t>
        </is>
      </c>
      <c r="C377" s="2" t="inlineStr">
        <is>
          <t>23/06/2026</t>
        </is>
      </c>
      <c r="D377" s="2" t="inlineStr">
        <is>
          <t>22/06/2026</t>
        </is>
      </c>
      <c r="E377" s="2" t="inlineStr">
        <is>
          <t>Dinheiro</t>
        </is>
      </c>
      <c r="F377" s="2" t="inlineStr">
        <is>
          <t>Boleto "67364" do cliente "JAIRO DONIZETE APARECIDO DA SILVA"</t>
        </is>
      </c>
      <c r="G377" s="2" t="inlineStr">
        <is>
          <t>system</t>
        </is>
      </c>
      <c r="H377" s="2" t="inlineStr">
        <is>
          <t>01.01.01 : Mensalidade</t>
        </is>
      </c>
      <c r="I377" s="3" t="n">
        <v>104.9</v>
      </c>
      <c r="J377" s="2" t="n"/>
      <c r="K377" s="2">
        <f>IF(H377="02.09 : Outras Saídas", IF(OR(ISNUMBER(SEARCH("CHEQUE COMPE SICREDI", F377)), ISNUMBER(SEARCH("aniversario", F377)), ISNUMBER(SEARCH("churrasco", F377)), ISNUMBER(SEARCH("bolo", F377)), ISNUMBER(SEARCH("SUPERMERCADO", F377))), "6.1 Despesas Administrativas (Pessoal)", IF(OR(ISNUMBER(SEARCH("DLKNET", F377)), ISNUMBER(SEARCH("TESTE", F377))), "6.1 Despesas Administrativas (Gerais)", IFERROR(VLOOKUP(H377, De_Para!A:B, 2, FALSE), "NÃO MAPEADO"))), IFERROR(VLOOKUP(H377, De_Para!A:B, 2, FALSE), "NÃO MAPEADO"))</f>
        <v/>
      </c>
    </row>
    <row r="378">
      <c r="A378" s="2" t="inlineStr">
        <is>
          <t>69309</t>
        </is>
      </c>
      <c r="B378" s="2" t="inlineStr">
        <is>
          <t>Sicoob</t>
        </is>
      </c>
      <c r="C378" s="2" t="inlineStr">
        <is>
          <t>23/06/2026</t>
        </is>
      </c>
      <c r="D378" s="2" t="inlineStr">
        <is>
          <t>22/06/2026</t>
        </is>
      </c>
      <c r="E378" s="2" t="inlineStr">
        <is>
          <t>Dinheiro</t>
        </is>
      </c>
      <c r="F378" s="2" t="inlineStr">
        <is>
          <t>Boleto "64486" do cliente "MARIA HELENA MOREIRA"</t>
        </is>
      </c>
      <c r="G378" s="2" t="inlineStr">
        <is>
          <t>system</t>
        </is>
      </c>
      <c r="H378" s="2" t="inlineStr">
        <is>
          <t>02.03.02.01 : Cobrança Bancaria</t>
        </is>
      </c>
      <c r="I378" s="2" t="n"/>
      <c r="J378" s="3" t="n">
        <v>-0.3</v>
      </c>
      <c r="K378" s="2">
        <f>IF(H378="02.09 : Outras Saídas", IF(OR(ISNUMBER(SEARCH("CHEQUE COMPE SICREDI", F378)), ISNUMBER(SEARCH("aniversario", F378)), ISNUMBER(SEARCH("churrasco", F378)), ISNUMBER(SEARCH("bolo", F378)), ISNUMBER(SEARCH("SUPERMERCADO", F378))), "6.1 Despesas Administrativas (Pessoal)", IF(OR(ISNUMBER(SEARCH("DLKNET", F378)), ISNUMBER(SEARCH("TESTE", F378))), "6.1 Despesas Administrativas (Gerais)", IFERROR(VLOOKUP(H378, De_Para!A:B, 2, FALSE), "NÃO MAPEADO"))), IFERROR(VLOOKUP(H378, De_Para!A:B, 2, FALSE), "NÃO MAPEADO"))</f>
        <v/>
      </c>
    </row>
    <row r="379">
      <c r="A379" s="2" t="inlineStr">
        <is>
          <t>69308</t>
        </is>
      </c>
      <c r="B379" s="2" t="inlineStr">
        <is>
          <t>Sicoob</t>
        </is>
      </c>
      <c r="C379" s="2" t="inlineStr">
        <is>
          <t>23/06/2026</t>
        </is>
      </c>
      <c r="D379" s="2" t="inlineStr">
        <is>
          <t>22/06/2026</t>
        </is>
      </c>
      <c r="E379" s="2" t="inlineStr">
        <is>
          <t>Dinheiro</t>
        </is>
      </c>
      <c r="F379" s="2" t="inlineStr">
        <is>
          <t>Boleto "64486" do cliente "MARIA HELENA MOREIRA"</t>
        </is>
      </c>
      <c r="G379" s="2" t="inlineStr">
        <is>
          <t>system</t>
        </is>
      </c>
      <c r="H379" s="2" t="inlineStr">
        <is>
          <t>01.01.01 : Mensalidade</t>
        </is>
      </c>
      <c r="I379" s="3" t="n">
        <v>104.9</v>
      </c>
      <c r="J379" s="2" t="n"/>
      <c r="K379" s="2">
        <f>IF(H379="02.09 : Outras Saídas", IF(OR(ISNUMBER(SEARCH("CHEQUE COMPE SICREDI", F379)), ISNUMBER(SEARCH("aniversario", F379)), ISNUMBER(SEARCH("churrasco", F379)), ISNUMBER(SEARCH("bolo", F379)), ISNUMBER(SEARCH("SUPERMERCADO", F379))), "6.1 Despesas Administrativas (Pessoal)", IF(OR(ISNUMBER(SEARCH("DLKNET", F379)), ISNUMBER(SEARCH("TESTE", F379))), "6.1 Despesas Administrativas (Gerais)", IFERROR(VLOOKUP(H379, De_Para!A:B, 2, FALSE), "NÃO MAPEADO"))), IFERROR(VLOOKUP(H379, De_Para!A:B, 2, FALSE), "NÃO MAPEADO"))</f>
        <v/>
      </c>
    </row>
    <row r="380">
      <c r="A380" s="2" t="inlineStr">
        <is>
          <t>69307</t>
        </is>
      </c>
      <c r="B380" s="2" t="inlineStr">
        <is>
          <t>Sicoob</t>
        </is>
      </c>
      <c r="C380" s="2" t="inlineStr">
        <is>
          <t>23/06/2026</t>
        </is>
      </c>
      <c r="D380" s="2" t="inlineStr">
        <is>
          <t>22/06/2026</t>
        </is>
      </c>
      <c r="E380" s="2" t="inlineStr">
        <is>
          <t>Dinheiro</t>
        </is>
      </c>
      <c r="F380" s="2" t="inlineStr">
        <is>
          <t>Boleto "61165" do cliente "NATANAEL DA SILVA MOREIRA"</t>
        </is>
      </c>
      <c r="G380" s="2" t="inlineStr">
        <is>
          <t>system</t>
        </is>
      </c>
      <c r="H380" s="2" t="inlineStr">
        <is>
          <t>02.03.02.01 : Cobrança Bancaria</t>
        </is>
      </c>
      <c r="I380" s="2" t="n"/>
      <c r="J380" s="3" t="n">
        <v>-0.3</v>
      </c>
      <c r="K380" s="2">
        <f>IF(H380="02.09 : Outras Saídas", IF(OR(ISNUMBER(SEARCH("CHEQUE COMPE SICREDI", F380)), ISNUMBER(SEARCH("aniversario", F380)), ISNUMBER(SEARCH("churrasco", F380)), ISNUMBER(SEARCH("bolo", F380)), ISNUMBER(SEARCH("SUPERMERCADO", F380))), "6.1 Despesas Administrativas (Pessoal)", IF(OR(ISNUMBER(SEARCH("DLKNET", F380)), ISNUMBER(SEARCH("TESTE", F380))), "6.1 Despesas Administrativas (Gerais)", IFERROR(VLOOKUP(H380, De_Para!A:B, 2, FALSE), "NÃO MAPEADO"))), IFERROR(VLOOKUP(H380, De_Para!A:B, 2, FALSE), "NÃO MAPEADO"))</f>
        <v/>
      </c>
    </row>
    <row r="381">
      <c r="A381" s="2" t="inlineStr">
        <is>
          <t>69306</t>
        </is>
      </c>
      <c r="B381" s="2" t="inlineStr">
        <is>
          <t>Sicoob</t>
        </is>
      </c>
      <c r="C381" s="2" t="inlineStr">
        <is>
          <t>23/06/2026</t>
        </is>
      </c>
      <c r="D381" s="2" t="inlineStr">
        <is>
          <t>22/06/2026</t>
        </is>
      </c>
      <c r="E381" s="2" t="inlineStr">
        <is>
          <t>Dinheiro</t>
        </is>
      </c>
      <c r="F381" s="2" t="inlineStr">
        <is>
          <t>Boleto "61165" do cliente "NATANAEL DA SILVA MOREIRA"</t>
        </is>
      </c>
      <c r="G381" s="2" t="inlineStr">
        <is>
          <t>system</t>
        </is>
      </c>
      <c r="H381" s="2" t="inlineStr">
        <is>
          <t>01.03.01 : Mensalidade</t>
        </is>
      </c>
      <c r="I381" s="3" t="n">
        <v>107.51</v>
      </c>
      <c r="J381" s="2" t="n"/>
      <c r="K381" s="2">
        <f>IF(H381="02.09 : Outras Saídas", IF(OR(ISNUMBER(SEARCH("CHEQUE COMPE SICREDI", F381)), ISNUMBER(SEARCH("aniversario", F381)), ISNUMBER(SEARCH("churrasco", F381)), ISNUMBER(SEARCH("bolo", F381)), ISNUMBER(SEARCH("SUPERMERCADO", F381))), "6.1 Despesas Administrativas (Pessoal)", IF(OR(ISNUMBER(SEARCH("DLKNET", F381)), ISNUMBER(SEARCH("TESTE", F381))), "6.1 Despesas Administrativas (Gerais)", IFERROR(VLOOKUP(H381, De_Para!A:B, 2, FALSE), "NÃO MAPEADO"))), IFERROR(VLOOKUP(H381, De_Para!A:B, 2, FALSE), "NÃO MAPEADO"))</f>
        <v/>
      </c>
    </row>
    <row r="382">
      <c r="A382" s="2" t="inlineStr">
        <is>
          <t>69305</t>
        </is>
      </c>
      <c r="B382" s="2" t="inlineStr">
        <is>
          <t>Sicoob</t>
        </is>
      </c>
      <c r="C382" s="2" t="inlineStr">
        <is>
          <t>23/06/2026</t>
        </is>
      </c>
      <c r="D382" s="2" t="inlineStr">
        <is>
          <t>22/06/2026</t>
        </is>
      </c>
      <c r="E382" s="2" t="inlineStr">
        <is>
          <t>Dinheiro</t>
        </is>
      </c>
      <c r="F382" s="2" t="inlineStr">
        <is>
          <t>Boleto "60353" do cliente "MARIA JOSE DA SILVA"</t>
        </is>
      </c>
      <c r="G382" s="2" t="inlineStr">
        <is>
          <t>system</t>
        </is>
      </c>
      <c r="H382" s="2" t="inlineStr">
        <is>
          <t>02.03.02.01 : Cobrança Bancaria</t>
        </is>
      </c>
      <c r="I382" s="2" t="n"/>
      <c r="J382" s="3" t="n">
        <v>-0.3</v>
      </c>
      <c r="K382" s="2">
        <f>IF(H382="02.09 : Outras Saídas", IF(OR(ISNUMBER(SEARCH("CHEQUE COMPE SICREDI", F382)), ISNUMBER(SEARCH("aniversario", F382)), ISNUMBER(SEARCH("churrasco", F382)), ISNUMBER(SEARCH("bolo", F382)), ISNUMBER(SEARCH("SUPERMERCADO", F382))), "6.1 Despesas Administrativas (Pessoal)", IF(OR(ISNUMBER(SEARCH("DLKNET", F382)), ISNUMBER(SEARCH("TESTE", F382))), "6.1 Despesas Administrativas (Gerais)", IFERROR(VLOOKUP(H382, De_Para!A:B, 2, FALSE), "NÃO MAPEADO"))), IFERROR(VLOOKUP(H382, De_Para!A:B, 2, FALSE), "NÃO MAPEADO"))</f>
        <v/>
      </c>
    </row>
    <row r="383">
      <c r="A383" s="2" t="inlineStr">
        <is>
          <t>69304</t>
        </is>
      </c>
      <c r="B383" s="2" t="inlineStr">
        <is>
          <t>Sicoob</t>
        </is>
      </c>
      <c r="C383" s="2" t="inlineStr">
        <is>
          <t>23/06/2026</t>
        </is>
      </c>
      <c r="D383" s="2" t="inlineStr">
        <is>
          <t>22/06/2026</t>
        </is>
      </c>
      <c r="E383" s="2" t="inlineStr">
        <is>
          <t>Dinheiro</t>
        </is>
      </c>
      <c r="F383" s="2" t="inlineStr">
        <is>
          <t>Boleto "60353" do cliente "MARIA JOSE DA SILVA"</t>
        </is>
      </c>
      <c r="G383" s="2" t="inlineStr">
        <is>
          <t>system</t>
        </is>
      </c>
      <c r="H383" s="2" t="inlineStr">
        <is>
          <t>01.01.01 : Mensalidade</t>
        </is>
      </c>
      <c r="I383" s="3" t="n">
        <v>102.4</v>
      </c>
      <c r="J383" s="2" t="n"/>
      <c r="K383" s="2">
        <f>IF(H383="02.09 : Outras Saídas", IF(OR(ISNUMBER(SEARCH("CHEQUE COMPE SICREDI", F383)), ISNUMBER(SEARCH("aniversario", F383)), ISNUMBER(SEARCH("churrasco", F383)), ISNUMBER(SEARCH("bolo", F383)), ISNUMBER(SEARCH("SUPERMERCADO", F383))), "6.1 Despesas Administrativas (Pessoal)", IF(OR(ISNUMBER(SEARCH("DLKNET", F383)), ISNUMBER(SEARCH("TESTE", F383))), "6.1 Despesas Administrativas (Gerais)", IFERROR(VLOOKUP(H383, De_Para!A:B, 2, FALSE), "NÃO MAPEADO"))), IFERROR(VLOOKUP(H383, De_Para!A:B, 2, FALSE), "NÃO MAPEADO"))</f>
        <v/>
      </c>
    </row>
    <row r="384">
      <c r="A384" s="2" t="inlineStr">
        <is>
          <t>69303</t>
        </is>
      </c>
      <c r="B384" s="2" t="inlineStr">
        <is>
          <t>Sicoob</t>
        </is>
      </c>
      <c r="C384" s="2" t="inlineStr">
        <is>
          <t>23/06/2026</t>
        </is>
      </c>
      <c r="D384" s="2" t="inlineStr">
        <is>
          <t>22/06/2026</t>
        </is>
      </c>
      <c r="E384" s="2" t="inlineStr">
        <is>
          <t>Dinheiro</t>
        </is>
      </c>
      <c r="F384" s="2" t="inlineStr">
        <is>
          <t>Boleto "59048" do cliente "VALDELI REGINALDO BONINI"</t>
        </is>
      </c>
      <c r="G384" s="2" t="inlineStr">
        <is>
          <t>system</t>
        </is>
      </c>
      <c r="H384" s="2" t="inlineStr">
        <is>
          <t>02.03.02.01 : Cobrança Bancaria</t>
        </is>
      </c>
      <c r="I384" s="2" t="n"/>
      <c r="J384" s="3" t="n">
        <v>-0.3</v>
      </c>
      <c r="K384" s="2">
        <f>IF(H384="02.09 : Outras Saídas", IF(OR(ISNUMBER(SEARCH("CHEQUE COMPE SICREDI", F384)), ISNUMBER(SEARCH("aniversario", F384)), ISNUMBER(SEARCH("churrasco", F384)), ISNUMBER(SEARCH("bolo", F384)), ISNUMBER(SEARCH("SUPERMERCADO", F384))), "6.1 Despesas Administrativas (Pessoal)", IF(OR(ISNUMBER(SEARCH("DLKNET", F384)), ISNUMBER(SEARCH("TESTE", F384))), "6.1 Despesas Administrativas (Gerais)", IFERROR(VLOOKUP(H384, De_Para!A:B, 2, FALSE), "NÃO MAPEADO"))), IFERROR(VLOOKUP(H384, De_Para!A:B, 2, FALSE), "NÃO MAPEADO"))</f>
        <v/>
      </c>
    </row>
    <row r="385">
      <c r="A385" s="2" t="inlineStr">
        <is>
          <t>69302</t>
        </is>
      </c>
      <c r="B385" s="2" t="inlineStr">
        <is>
          <t>Sicoob</t>
        </is>
      </c>
      <c r="C385" s="2" t="inlineStr">
        <is>
          <t>23/06/2026</t>
        </is>
      </c>
      <c r="D385" s="2" t="inlineStr">
        <is>
          <t>22/06/2026</t>
        </is>
      </c>
      <c r="E385" s="2" t="inlineStr">
        <is>
          <t>Dinheiro</t>
        </is>
      </c>
      <c r="F385" s="2" t="inlineStr">
        <is>
          <t>Boleto "59048" do cliente "VALDELI REGINALDO BONINI"</t>
        </is>
      </c>
      <c r="G385" s="2" t="inlineStr">
        <is>
          <t>system</t>
        </is>
      </c>
      <c r="H385" s="2" t="inlineStr">
        <is>
          <t>01.01.01 : Mensalidade</t>
        </is>
      </c>
      <c r="I385" s="3" t="n">
        <v>107.51</v>
      </c>
      <c r="J385" s="2" t="n"/>
      <c r="K385" s="2">
        <f>IF(H385="02.09 : Outras Saídas", IF(OR(ISNUMBER(SEARCH("CHEQUE COMPE SICREDI", F385)), ISNUMBER(SEARCH("aniversario", F385)), ISNUMBER(SEARCH("churrasco", F385)), ISNUMBER(SEARCH("bolo", F385)), ISNUMBER(SEARCH("SUPERMERCADO", F385))), "6.1 Despesas Administrativas (Pessoal)", IF(OR(ISNUMBER(SEARCH("DLKNET", F385)), ISNUMBER(SEARCH("TESTE", F385))), "6.1 Despesas Administrativas (Gerais)", IFERROR(VLOOKUP(H385, De_Para!A:B, 2, FALSE), "NÃO MAPEADO"))), IFERROR(VLOOKUP(H385, De_Para!A:B, 2, FALSE), "NÃO MAPEADO"))</f>
        <v/>
      </c>
    </row>
    <row r="386">
      <c r="A386" s="2" t="inlineStr">
        <is>
          <t>69301</t>
        </is>
      </c>
      <c r="B386" s="2" t="inlineStr">
        <is>
          <t>Sicoob</t>
        </is>
      </c>
      <c r="C386" s="2" t="inlineStr">
        <is>
          <t>23/06/2026</t>
        </is>
      </c>
      <c r="D386" s="2" t="inlineStr">
        <is>
          <t>22/06/2026</t>
        </is>
      </c>
      <c r="E386" s="2" t="inlineStr">
        <is>
          <t>Dinheiro</t>
        </is>
      </c>
      <c r="F386" s="2" t="inlineStr">
        <is>
          <t>Boleto "58971" do cliente "TATIANE DA SILVA CAMARGO"</t>
        </is>
      </c>
      <c r="G386" s="2" t="inlineStr">
        <is>
          <t>system</t>
        </is>
      </c>
      <c r="H386" s="2" t="inlineStr">
        <is>
          <t>02.03.02.01 : Cobrança Bancaria</t>
        </is>
      </c>
      <c r="I386" s="2" t="n"/>
      <c r="J386" s="3" t="n">
        <v>-0.3</v>
      </c>
      <c r="K386" s="2">
        <f>IF(H386="02.09 : Outras Saídas", IF(OR(ISNUMBER(SEARCH("CHEQUE COMPE SICREDI", F386)), ISNUMBER(SEARCH("aniversario", F386)), ISNUMBER(SEARCH("churrasco", F386)), ISNUMBER(SEARCH("bolo", F386)), ISNUMBER(SEARCH("SUPERMERCADO", F386))), "6.1 Despesas Administrativas (Pessoal)", IF(OR(ISNUMBER(SEARCH("DLKNET", F386)), ISNUMBER(SEARCH("TESTE", F386))), "6.1 Despesas Administrativas (Gerais)", IFERROR(VLOOKUP(H386, De_Para!A:B, 2, FALSE), "NÃO MAPEADO"))), IFERROR(VLOOKUP(H386, De_Para!A:B, 2, FALSE), "NÃO MAPEADO"))</f>
        <v/>
      </c>
    </row>
    <row r="387">
      <c r="A387" s="2" t="inlineStr">
        <is>
          <t>69300</t>
        </is>
      </c>
      <c r="B387" s="2" t="inlineStr">
        <is>
          <t>Sicoob</t>
        </is>
      </c>
      <c r="C387" s="2" t="inlineStr">
        <is>
          <t>23/06/2026</t>
        </is>
      </c>
      <c r="D387" s="2" t="inlineStr">
        <is>
          <t>22/06/2026</t>
        </is>
      </c>
      <c r="E387" s="2" t="inlineStr">
        <is>
          <t>Dinheiro</t>
        </is>
      </c>
      <c r="F387" s="2" t="inlineStr">
        <is>
          <t>Boleto "58971" do cliente "TATIANE DA SILVA CAMARGO"</t>
        </is>
      </c>
      <c r="G387" s="2" t="inlineStr">
        <is>
          <t>system</t>
        </is>
      </c>
      <c r="H387" s="2" t="inlineStr">
        <is>
          <t>01.03.01 : Mensalidade</t>
        </is>
      </c>
      <c r="I387" s="3" t="n">
        <v>107.51</v>
      </c>
      <c r="J387" s="2" t="n"/>
      <c r="K387" s="2">
        <f>IF(H387="02.09 : Outras Saídas", IF(OR(ISNUMBER(SEARCH("CHEQUE COMPE SICREDI", F387)), ISNUMBER(SEARCH("aniversario", F387)), ISNUMBER(SEARCH("churrasco", F387)), ISNUMBER(SEARCH("bolo", F387)), ISNUMBER(SEARCH("SUPERMERCADO", F387))), "6.1 Despesas Administrativas (Pessoal)", IF(OR(ISNUMBER(SEARCH("DLKNET", F387)), ISNUMBER(SEARCH("TESTE", F387))), "6.1 Despesas Administrativas (Gerais)", IFERROR(VLOOKUP(H387, De_Para!A:B, 2, FALSE), "NÃO MAPEADO"))), IFERROR(VLOOKUP(H387, De_Para!A:B, 2, FALSE), "NÃO MAPEADO"))</f>
        <v/>
      </c>
    </row>
    <row r="388">
      <c r="A388" s="2" t="inlineStr">
        <is>
          <t>69299</t>
        </is>
      </c>
      <c r="B388" s="2" t="inlineStr">
        <is>
          <t>Sicredi SNI</t>
        </is>
      </c>
      <c r="C388" s="2" t="inlineStr">
        <is>
          <t>22/06/2026</t>
        </is>
      </c>
      <c r="D388" s="2" t="inlineStr">
        <is>
          <t>22/06/2026</t>
        </is>
      </c>
      <c r="E388" s="2" t="inlineStr">
        <is>
          <t>Dinheiro</t>
        </is>
      </c>
      <c r="F388" s="2" t="inlineStr">
        <is>
          <t>Boleto "59215" do cliente "MICHELE VALERIA DOS SANTOS"</t>
        </is>
      </c>
      <c r="G388" s="2" t="inlineStr">
        <is>
          <t>system</t>
        </is>
      </c>
      <c r="H388" s="2" t="inlineStr">
        <is>
          <t>02.03.02.01 : Cobrança Bancaria</t>
        </is>
      </c>
      <c r="I388" s="2" t="n"/>
      <c r="J388" s="3" t="n">
        <v>-1.08</v>
      </c>
      <c r="K388" s="2">
        <f>IF(H388="02.09 : Outras Saídas", IF(OR(ISNUMBER(SEARCH("CHEQUE COMPE SICREDI", F388)), ISNUMBER(SEARCH("aniversario", F388)), ISNUMBER(SEARCH("churrasco", F388)), ISNUMBER(SEARCH("bolo", F388)), ISNUMBER(SEARCH("SUPERMERCADO", F388))), "6.1 Despesas Administrativas (Pessoal)", IF(OR(ISNUMBER(SEARCH("DLKNET", F388)), ISNUMBER(SEARCH("TESTE", F388))), "6.1 Despesas Administrativas (Gerais)", IFERROR(VLOOKUP(H388, De_Para!A:B, 2, FALSE), "NÃO MAPEADO"))), IFERROR(VLOOKUP(H388, De_Para!A:B, 2, FALSE), "NÃO MAPEADO"))</f>
        <v/>
      </c>
    </row>
    <row r="389">
      <c r="A389" s="2" t="inlineStr">
        <is>
          <t>69298</t>
        </is>
      </c>
      <c r="B389" s="2" t="inlineStr">
        <is>
          <t>Sicredi SNI</t>
        </is>
      </c>
      <c r="C389" s="2" t="inlineStr">
        <is>
          <t>22/06/2026</t>
        </is>
      </c>
      <c r="D389" s="2" t="inlineStr">
        <is>
          <t>22/06/2026</t>
        </is>
      </c>
      <c r="E389" s="2" t="inlineStr">
        <is>
          <t>Dinheiro</t>
        </is>
      </c>
      <c r="F389" s="2" t="inlineStr">
        <is>
          <t>Boleto "59215" do cliente "MICHELE VALERIA DOS SANTOS"</t>
        </is>
      </c>
      <c r="G389" s="2" t="inlineStr">
        <is>
          <t>system</t>
        </is>
      </c>
      <c r="H389" s="2" t="inlineStr">
        <is>
          <t>01.03.01 : Mensalidade</t>
        </is>
      </c>
      <c r="I389" s="3" t="n">
        <v>107.38</v>
      </c>
      <c r="J389" s="2" t="n"/>
      <c r="K389" s="2">
        <f>IF(H389="02.09 : Outras Saídas", IF(OR(ISNUMBER(SEARCH("CHEQUE COMPE SICREDI", F389)), ISNUMBER(SEARCH("aniversario", F389)), ISNUMBER(SEARCH("churrasco", F389)), ISNUMBER(SEARCH("bolo", F389)), ISNUMBER(SEARCH("SUPERMERCADO", F389))), "6.1 Despesas Administrativas (Pessoal)", IF(OR(ISNUMBER(SEARCH("DLKNET", F389)), ISNUMBER(SEARCH("TESTE", F389))), "6.1 Despesas Administrativas (Gerais)", IFERROR(VLOOKUP(H389, De_Para!A:B, 2, FALSE), "NÃO MAPEADO"))), IFERROR(VLOOKUP(H389, De_Para!A:B, 2, FALSE), "NÃO MAPEADO"))</f>
        <v/>
      </c>
    </row>
    <row r="390">
      <c r="A390" s="2" t="inlineStr">
        <is>
          <t>69297</t>
        </is>
      </c>
      <c r="B390" s="2" t="inlineStr">
        <is>
          <t>Sicoob</t>
        </is>
      </c>
      <c r="C390" s="2" t="inlineStr">
        <is>
          <t>22/06/2026</t>
        </is>
      </c>
      <c r="D390" s="2" t="inlineStr">
        <is>
          <t>22/06/2026</t>
        </is>
      </c>
      <c r="E390" s="2" t="inlineStr">
        <is>
          <t>Dinheiro</t>
        </is>
      </c>
      <c r="F390" s="2" t="inlineStr">
        <is>
          <t>Boleto "69363" do cliente "MARIA IZALTINA RIBEIRO SOARES"</t>
        </is>
      </c>
      <c r="G390" s="2" t="inlineStr">
        <is>
          <t>system</t>
        </is>
      </c>
      <c r="H390" s="2" t="inlineStr">
        <is>
          <t>02.03.02.01 : Cobrança Bancaria</t>
        </is>
      </c>
      <c r="I390" s="2" t="n"/>
      <c r="J390" s="3" t="n">
        <v>-0.88</v>
      </c>
      <c r="K390" s="2">
        <f>IF(H390="02.09 : Outras Saídas", IF(OR(ISNUMBER(SEARCH("CHEQUE COMPE SICREDI", F390)), ISNUMBER(SEARCH("aniversario", F390)), ISNUMBER(SEARCH("churrasco", F390)), ISNUMBER(SEARCH("bolo", F390)), ISNUMBER(SEARCH("SUPERMERCADO", F390))), "6.1 Despesas Administrativas (Pessoal)", IF(OR(ISNUMBER(SEARCH("DLKNET", F390)), ISNUMBER(SEARCH("TESTE", F390))), "6.1 Despesas Administrativas (Gerais)", IFERROR(VLOOKUP(H390, De_Para!A:B, 2, FALSE), "NÃO MAPEADO"))), IFERROR(VLOOKUP(H390, De_Para!A:B, 2, FALSE), "NÃO MAPEADO"))</f>
        <v/>
      </c>
    </row>
    <row r="391">
      <c r="A391" s="2" t="inlineStr">
        <is>
          <t>69296</t>
        </is>
      </c>
      <c r="B391" s="2" t="inlineStr">
        <is>
          <t>Sicoob</t>
        </is>
      </c>
      <c r="C391" s="2" t="inlineStr">
        <is>
          <t>22/06/2026</t>
        </is>
      </c>
      <c r="D391" s="2" t="inlineStr">
        <is>
          <t>22/06/2026</t>
        </is>
      </c>
      <c r="E391" s="2" t="inlineStr">
        <is>
          <t>Dinheiro</t>
        </is>
      </c>
      <c r="F391" s="2" t="inlineStr">
        <is>
          <t>Boleto "69363" do cliente "MARIA IZALTINA RIBEIRO SOARES"</t>
        </is>
      </c>
      <c r="G391" s="2" t="inlineStr">
        <is>
          <t>system</t>
        </is>
      </c>
      <c r="H391" s="2" t="inlineStr">
        <is>
          <t>01.01.01 : Mensalidade</t>
        </is>
      </c>
      <c r="I391" s="3" t="n">
        <v>80</v>
      </c>
      <c r="J391" s="2" t="n"/>
      <c r="K391" s="2">
        <f>IF(H391="02.09 : Outras Saídas", IF(OR(ISNUMBER(SEARCH("CHEQUE COMPE SICREDI", F391)), ISNUMBER(SEARCH("aniversario", F391)), ISNUMBER(SEARCH("churrasco", F391)), ISNUMBER(SEARCH("bolo", F391)), ISNUMBER(SEARCH("SUPERMERCADO", F391))), "6.1 Despesas Administrativas (Pessoal)", IF(OR(ISNUMBER(SEARCH("DLKNET", F391)), ISNUMBER(SEARCH("TESTE", F391))), "6.1 Despesas Administrativas (Gerais)", IFERROR(VLOOKUP(H391, De_Para!A:B, 2, FALSE), "NÃO MAPEADO"))), IFERROR(VLOOKUP(H391, De_Para!A:B, 2, FALSE), "NÃO MAPEADO"))</f>
        <v/>
      </c>
    </row>
    <row r="392">
      <c r="A392" s="2" t="inlineStr">
        <is>
          <t>69295</t>
        </is>
      </c>
      <c r="B392" s="2" t="inlineStr">
        <is>
          <t>Sicoob</t>
        </is>
      </c>
      <c r="C392" s="2" t="inlineStr">
        <is>
          <t>22/06/2026</t>
        </is>
      </c>
      <c r="D392" s="2" t="inlineStr">
        <is>
          <t>22/06/2026</t>
        </is>
      </c>
      <c r="E392" s="2" t="inlineStr">
        <is>
          <t>Dinheiro</t>
        </is>
      </c>
      <c r="F392" s="2" t="inlineStr">
        <is>
          <t>Boleto "66015" do cliente "MARIA ADRIANA GOMES PINTO"</t>
        </is>
      </c>
      <c r="G392" s="2" t="inlineStr">
        <is>
          <t>system</t>
        </is>
      </c>
      <c r="H392" s="2" t="inlineStr">
        <is>
          <t>02.03.02.01 : Cobrança Bancaria</t>
        </is>
      </c>
      <c r="I392" s="2" t="n"/>
      <c r="J392" s="3" t="n">
        <v>-0.88</v>
      </c>
      <c r="K392" s="2">
        <f>IF(H392="02.09 : Outras Saídas", IF(OR(ISNUMBER(SEARCH("CHEQUE COMPE SICREDI", F392)), ISNUMBER(SEARCH("aniversario", F392)), ISNUMBER(SEARCH("churrasco", F392)), ISNUMBER(SEARCH("bolo", F392)), ISNUMBER(SEARCH("SUPERMERCADO", F392))), "6.1 Despesas Administrativas (Pessoal)", IF(OR(ISNUMBER(SEARCH("DLKNET", F392)), ISNUMBER(SEARCH("TESTE", F392))), "6.1 Despesas Administrativas (Gerais)", IFERROR(VLOOKUP(H392, De_Para!A:B, 2, FALSE), "NÃO MAPEADO"))), IFERROR(VLOOKUP(H392, De_Para!A:B, 2, FALSE), "NÃO MAPEADO"))</f>
        <v/>
      </c>
    </row>
    <row r="393">
      <c r="A393" s="2" t="inlineStr">
        <is>
          <t>69294</t>
        </is>
      </c>
      <c r="B393" s="2" t="inlineStr">
        <is>
          <t>Sicoob</t>
        </is>
      </c>
      <c r="C393" s="2" t="inlineStr">
        <is>
          <t>22/06/2026</t>
        </is>
      </c>
      <c r="D393" s="2" t="inlineStr">
        <is>
          <t>22/06/2026</t>
        </is>
      </c>
      <c r="E393" s="2" t="inlineStr">
        <is>
          <t>Dinheiro</t>
        </is>
      </c>
      <c r="F393" s="2" t="inlineStr">
        <is>
          <t>Boleto "66015" do cliente "MARIA ADRIANA GOMES PINTO"</t>
        </is>
      </c>
      <c r="G393" s="2" t="inlineStr">
        <is>
          <t>system</t>
        </is>
      </c>
      <c r="H393" s="2" t="inlineStr">
        <is>
          <t>01.01.01 : Mensalidade</t>
        </is>
      </c>
      <c r="I393" s="3" t="n">
        <v>107.4</v>
      </c>
      <c r="J393" s="2" t="n"/>
      <c r="K393" s="2">
        <f>IF(H393="02.09 : Outras Saídas", IF(OR(ISNUMBER(SEARCH("CHEQUE COMPE SICREDI", F393)), ISNUMBER(SEARCH("aniversario", F393)), ISNUMBER(SEARCH("churrasco", F393)), ISNUMBER(SEARCH("bolo", F393)), ISNUMBER(SEARCH("SUPERMERCADO", F393))), "6.1 Despesas Administrativas (Pessoal)", IF(OR(ISNUMBER(SEARCH("DLKNET", F393)), ISNUMBER(SEARCH("TESTE", F393))), "6.1 Despesas Administrativas (Gerais)", IFERROR(VLOOKUP(H393, De_Para!A:B, 2, FALSE), "NÃO MAPEADO"))), IFERROR(VLOOKUP(H393, De_Para!A:B, 2, FALSE), "NÃO MAPEADO"))</f>
        <v/>
      </c>
    </row>
    <row r="394">
      <c r="A394" s="2" t="inlineStr">
        <is>
          <t>69293</t>
        </is>
      </c>
      <c r="B394" s="2" t="inlineStr">
        <is>
          <t>Sicoob</t>
        </is>
      </c>
      <c r="C394" s="2" t="inlineStr">
        <is>
          <t>22/06/2026</t>
        </is>
      </c>
      <c r="D394" s="2" t="inlineStr">
        <is>
          <t>22/06/2026</t>
        </is>
      </c>
      <c r="E394" s="2" t="inlineStr">
        <is>
          <t>Dinheiro</t>
        </is>
      </c>
      <c r="F394" s="2" t="inlineStr">
        <is>
          <t>Boleto "64904" do cliente "MARTA GOMES DE LIMA"</t>
        </is>
      </c>
      <c r="G394" s="2" t="inlineStr">
        <is>
          <t>system</t>
        </is>
      </c>
      <c r="H394" s="2" t="inlineStr">
        <is>
          <t>02.03.02.01 : Cobrança Bancaria</t>
        </is>
      </c>
      <c r="I394" s="2" t="n"/>
      <c r="J394" s="3" t="n">
        <v>-0.88</v>
      </c>
      <c r="K394" s="2">
        <f>IF(H394="02.09 : Outras Saídas", IF(OR(ISNUMBER(SEARCH("CHEQUE COMPE SICREDI", F394)), ISNUMBER(SEARCH("aniversario", F394)), ISNUMBER(SEARCH("churrasco", F394)), ISNUMBER(SEARCH("bolo", F394)), ISNUMBER(SEARCH("SUPERMERCADO", F394))), "6.1 Despesas Administrativas (Pessoal)", IF(OR(ISNUMBER(SEARCH("DLKNET", F394)), ISNUMBER(SEARCH("TESTE", F394))), "6.1 Despesas Administrativas (Gerais)", IFERROR(VLOOKUP(H394, De_Para!A:B, 2, FALSE), "NÃO MAPEADO"))), IFERROR(VLOOKUP(H394, De_Para!A:B, 2, FALSE), "NÃO MAPEADO"))</f>
        <v/>
      </c>
    </row>
    <row r="395">
      <c r="A395" s="2" t="inlineStr">
        <is>
          <t>69292</t>
        </is>
      </c>
      <c r="B395" s="2" t="inlineStr">
        <is>
          <t>Sicoob</t>
        </is>
      </c>
      <c r="C395" s="2" t="inlineStr">
        <is>
          <t>22/06/2026</t>
        </is>
      </c>
      <c r="D395" s="2" t="inlineStr">
        <is>
          <t>22/06/2026</t>
        </is>
      </c>
      <c r="E395" s="2" t="inlineStr">
        <is>
          <t>Dinheiro</t>
        </is>
      </c>
      <c r="F395" s="2" t="inlineStr">
        <is>
          <t>Boleto "64904" do cliente "MARTA GOMES DE LIMA"</t>
        </is>
      </c>
      <c r="G395" s="2" t="inlineStr">
        <is>
          <t>system</t>
        </is>
      </c>
      <c r="H395" s="2" t="inlineStr">
        <is>
          <t>01.01.01 : Mensalidade</t>
        </is>
      </c>
      <c r="I395" s="3" t="n">
        <v>109.9</v>
      </c>
      <c r="J395" s="2" t="n"/>
      <c r="K395" s="2">
        <f>IF(H395="02.09 : Outras Saídas", IF(OR(ISNUMBER(SEARCH("CHEQUE COMPE SICREDI", F395)), ISNUMBER(SEARCH("aniversario", F395)), ISNUMBER(SEARCH("churrasco", F395)), ISNUMBER(SEARCH("bolo", F395)), ISNUMBER(SEARCH("SUPERMERCADO", F395))), "6.1 Despesas Administrativas (Pessoal)", IF(OR(ISNUMBER(SEARCH("DLKNET", F395)), ISNUMBER(SEARCH("TESTE", F395))), "6.1 Despesas Administrativas (Gerais)", IFERROR(VLOOKUP(H395, De_Para!A:B, 2, FALSE), "NÃO MAPEADO"))), IFERROR(VLOOKUP(H395, De_Para!A:B, 2, FALSE), "NÃO MAPEADO"))</f>
        <v/>
      </c>
    </row>
    <row r="396">
      <c r="A396" s="2" t="inlineStr">
        <is>
          <t>69291</t>
        </is>
      </c>
      <c r="B396" s="2" t="inlineStr">
        <is>
          <t>Sicoob</t>
        </is>
      </c>
      <c r="C396" s="2" t="inlineStr">
        <is>
          <t>22/06/2026</t>
        </is>
      </c>
      <c r="D396" s="2" t="inlineStr">
        <is>
          <t>22/06/2026</t>
        </is>
      </c>
      <c r="E396" s="2" t="inlineStr">
        <is>
          <t>Dinheiro</t>
        </is>
      </c>
      <c r="F396" s="2" t="inlineStr">
        <is>
          <t>Boleto "59059" do cliente "MAICO GRACIANO ROSA"</t>
        </is>
      </c>
      <c r="G396" s="2" t="inlineStr">
        <is>
          <t>system</t>
        </is>
      </c>
      <c r="H396" s="2" t="inlineStr">
        <is>
          <t>02.03.02.01 : Cobrança Bancaria</t>
        </is>
      </c>
      <c r="I396" s="2" t="n"/>
      <c r="J396" s="3" t="n">
        <v>-0.88</v>
      </c>
      <c r="K396" s="2">
        <f>IF(H396="02.09 : Outras Saídas", IF(OR(ISNUMBER(SEARCH("CHEQUE COMPE SICREDI", F396)), ISNUMBER(SEARCH("aniversario", F396)), ISNUMBER(SEARCH("churrasco", F396)), ISNUMBER(SEARCH("bolo", F396)), ISNUMBER(SEARCH("SUPERMERCADO", F396))), "6.1 Despesas Administrativas (Pessoal)", IF(OR(ISNUMBER(SEARCH("DLKNET", F396)), ISNUMBER(SEARCH("TESTE", F396))), "6.1 Despesas Administrativas (Gerais)", IFERROR(VLOOKUP(H396, De_Para!A:B, 2, FALSE), "NÃO MAPEADO"))), IFERROR(VLOOKUP(H396, De_Para!A:B, 2, FALSE), "NÃO MAPEADO"))</f>
        <v/>
      </c>
    </row>
    <row r="397">
      <c r="A397" s="2" t="inlineStr">
        <is>
          <t>69290</t>
        </is>
      </c>
      <c r="B397" s="2" t="inlineStr">
        <is>
          <t>Sicoob</t>
        </is>
      </c>
      <c r="C397" s="2" t="inlineStr">
        <is>
          <t>22/06/2026</t>
        </is>
      </c>
      <c r="D397" s="2" t="inlineStr">
        <is>
          <t>22/06/2026</t>
        </is>
      </c>
      <c r="E397" s="2" t="inlineStr">
        <is>
          <t>Dinheiro</t>
        </is>
      </c>
      <c r="F397" s="2" t="inlineStr">
        <is>
          <t>Boleto "59059" do cliente "MAICO GRACIANO ROSA"</t>
        </is>
      </c>
      <c r="G397" s="2" t="inlineStr">
        <is>
          <t>system</t>
        </is>
      </c>
      <c r="H397" s="2" t="inlineStr">
        <is>
          <t>01.01.01 : Mensalidade</t>
        </is>
      </c>
      <c r="I397" s="3" t="n">
        <v>107.51</v>
      </c>
      <c r="J397" s="2" t="n"/>
      <c r="K397" s="2">
        <f>IF(H397="02.09 : Outras Saídas", IF(OR(ISNUMBER(SEARCH("CHEQUE COMPE SICREDI", F397)), ISNUMBER(SEARCH("aniversario", F397)), ISNUMBER(SEARCH("churrasco", F397)), ISNUMBER(SEARCH("bolo", F397)), ISNUMBER(SEARCH("SUPERMERCADO", F397))), "6.1 Despesas Administrativas (Pessoal)", IF(OR(ISNUMBER(SEARCH("DLKNET", F397)), ISNUMBER(SEARCH("TESTE", F397))), "6.1 Despesas Administrativas (Gerais)", IFERROR(VLOOKUP(H397, De_Para!A:B, 2, FALSE), "NÃO MAPEADO"))), IFERROR(VLOOKUP(H397, De_Para!A:B, 2, FALSE), "NÃO MAPEADO"))</f>
        <v/>
      </c>
    </row>
    <row r="398">
      <c r="A398" s="2" t="inlineStr">
        <is>
          <t>69289</t>
        </is>
      </c>
      <c r="B398" s="2" t="inlineStr">
        <is>
          <t>Sicredi SNI</t>
        </is>
      </c>
      <c r="C398" s="2" t="inlineStr">
        <is>
          <t>22/06/2026</t>
        </is>
      </c>
      <c r="D398" s="2" t="inlineStr">
        <is>
          <t>22/06/2026</t>
        </is>
      </c>
      <c r="E398" s="2" t="inlineStr">
        <is>
          <t>PIX</t>
        </is>
      </c>
      <c r="F398" s="2" t="inlineStr">
        <is>
          <t>Boleto "65723" do cliente "JUCIMARA APARECIDA FERREIRA RODRIGUES"</t>
        </is>
      </c>
      <c r="G398" s="2" t="inlineStr">
        <is>
          <t>system</t>
        </is>
      </c>
      <c r="H398" s="2" t="inlineStr">
        <is>
          <t>02.03.02.01 : Cobrança Bancaria</t>
        </is>
      </c>
      <c r="I398" s="2" t="n"/>
      <c r="J398" s="3" t="n">
        <v>-0.49</v>
      </c>
      <c r="K398" s="2">
        <f>IF(H398="02.09 : Outras Saídas", IF(OR(ISNUMBER(SEARCH("CHEQUE COMPE SICREDI", F398)), ISNUMBER(SEARCH("aniversario", F398)), ISNUMBER(SEARCH("churrasco", F398)), ISNUMBER(SEARCH("bolo", F398)), ISNUMBER(SEARCH("SUPERMERCADO", F398))), "6.1 Despesas Administrativas (Pessoal)", IF(OR(ISNUMBER(SEARCH("DLKNET", F398)), ISNUMBER(SEARCH("TESTE", F398))), "6.1 Despesas Administrativas (Gerais)", IFERROR(VLOOKUP(H398, De_Para!A:B, 2, FALSE), "NÃO MAPEADO"))), IFERROR(VLOOKUP(H398, De_Para!A:B, 2, FALSE), "NÃO MAPEADO"))</f>
        <v/>
      </c>
    </row>
    <row r="399">
      <c r="A399" s="2" t="inlineStr">
        <is>
          <t>69288</t>
        </is>
      </c>
      <c r="B399" s="2" t="inlineStr">
        <is>
          <t>Sicredi SNI</t>
        </is>
      </c>
      <c r="C399" s="2" t="inlineStr">
        <is>
          <t>22/06/2026</t>
        </is>
      </c>
      <c r="D399" s="2" t="inlineStr">
        <is>
          <t>22/06/2026</t>
        </is>
      </c>
      <c r="E399" s="2" t="inlineStr">
        <is>
          <t>PIX</t>
        </is>
      </c>
      <c r="F399" s="2" t="inlineStr">
        <is>
          <t>Boleto "65723" do cliente "JUCIMARA APARECIDA FERREIRA RODRIGUES"</t>
        </is>
      </c>
      <c r="G399" s="2" t="inlineStr">
        <is>
          <t>system</t>
        </is>
      </c>
      <c r="H399" s="2" t="inlineStr">
        <is>
          <t>01.03.01 : Mensalidade</t>
        </is>
      </c>
      <c r="I399" s="3" t="n">
        <v>107.69</v>
      </c>
      <c r="J399" s="2" t="n"/>
      <c r="K399" s="2">
        <f>IF(H399="02.09 : Outras Saídas", IF(OR(ISNUMBER(SEARCH("CHEQUE COMPE SICREDI", F399)), ISNUMBER(SEARCH("aniversario", F399)), ISNUMBER(SEARCH("churrasco", F399)), ISNUMBER(SEARCH("bolo", F399)), ISNUMBER(SEARCH("SUPERMERCADO", F399))), "6.1 Despesas Administrativas (Pessoal)", IF(OR(ISNUMBER(SEARCH("DLKNET", F399)), ISNUMBER(SEARCH("TESTE", F399))), "6.1 Despesas Administrativas (Gerais)", IFERROR(VLOOKUP(H399, De_Para!A:B, 2, FALSE), "NÃO MAPEADO"))), IFERROR(VLOOKUP(H399, De_Para!A:B, 2, FALSE), "NÃO MAPEADO"))</f>
        <v/>
      </c>
    </row>
    <row r="400">
      <c r="A400" s="2" t="inlineStr">
        <is>
          <t>69287</t>
        </is>
      </c>
      <c r="B400" s="2" t="inlineStr">
        <is>
          <t>Sicredi SNI</t>
        </is>
      </c>
      <c r="C400" s="2" t="inlineStr">
        <is>
          <t>22/06/2026</t>
        </is>
      </c>
      <c r="D400" s="2" t="inlineStr">
        <is>
          <t>22/06/2026</t>
        </is>
      </c>
      <c r="E400" s="2" t="inlineStr">
        <is>
          <t>PIX</t>
        </is>
      </c>
      <c r="F400" s="2" t="inlineStr">
        <is>
          <t>PAGAMENTO PIX 00394460005887 RECEITA FEDERAL DARF SNI</t>
        </is>
      </c>
      <c r="G400" s="2" t="inlineStr">
        <is>
          <t>clau</t>
        </is>
      </c>
      <c r="H400" s="2" t="inlineStr">
        <is>
          <t>02.02.05 : DARF</t>
        </is>
      </c>
      <c r="I400" s="2" t="n"/>
      <c r="J400" s="3" t="n">
        <v>-5862.89</v>
      </c>
      <c r="K400" s="2">
        <f>IF(H400="02.09 : Outras Saídas", IF(OR(ISNUMBER(SEARCH("CHEQUE COMPE SICREDI", F400)), ISNUMBER(SEARCH("aniversario", F400)), ISNUMBER(SEARCH("churrasco", F400)), ISNUMBER(SEARCH("bolo", F400)), ISNUMBER(SEARCH("SUPERMERCADO", F400))), "6.1 Despesas Administrativas (Pessoal)", IF(OR(ISNUMBER(SEARCH("DLKNET", F400)), ISNUMBER(SEARCH("TESTE", F400))), "6.1 Despesas Administrativas (Gerais)", IFERROR(VLOOKUP(H400, De_Para!A:B, 2, FALSE), "NÃO MAPEADO"))), IFERROR(VLOOKUP(H400, De_Para!A:B, 2, FALSE), "NÃO MAPEADO"))</f>
        <v/>
      </c>
    </row>
    <row r="401">
      <c r="A401" s="2" t="inlineStr">
        <is>
          <t>69286</t>
        </is>
      </c>
      <c r="B401" s="2" t="inlineStr">
        <is>
          <t>Sicredi SNI</t>
        </is>
      </c>
      <c r="C401" s="2" t="inlineStr">
        <is>
          <t>22/06/2026</t>
        </is>
      </c>
      <c r="D401" s="2" t="inlineStr">
        <is>
          <t>22/06/2026</t>
        </is>
      </c>
      <c r="E401" s="2" t="inlineStr">
        <is>
          <t>PIX</t>
        </is>
      </c>
      <c r="F401" s="2" t="inlineStr">
        <is>
          <t>PAGAMENTO PIX 04368898000106 COPEL-DIS LUZ GABIROVAL MES ABRIL</t>
        </is>
      </c>
      <c r="G401" s="2" t="inlineStr">
        <is>
          <t>clau</t>
        </is>
      </c>
      <c r="H401" s="2" t="inlineStr">
        <is>
          <t>02.03.02.04 : Energia Eletrica</t>
        </is>
      </c>
      <c r="I401" s="2" t="n"/>
      <c r="J401" s="3" t="n">
        <v>-111.32</v>
      </c>
      <c r="K401" s="2">
        <f>IF(H401="02.09 : Outras Saídas", IF(OR(ISNUMBER(SEARCH("CHEQUE COMPE SICREDI", F401)), ISNUMBER(SEARCH("aniversario", F401)), ISNUMBER(SEARCH("churrasco", F401)), ISNUMBER(SEARCH("bolo", F401)), ISNUMBER(SEARCH("SUPERMERCADO", F401))), "6.1 Despesas Administrativas (Pessoal)", IF(OR(ISNUMBER(SEARCH("DLKNET", F401)), ISNUMBER(SEARCH("TESTE", F401))), "6.1 Despesas Administrativas (Gerais)", IFERROR(VLOOKUP(H401, De_Para!A:B, 2, FALSE), "NÃO MAPEADO"))), IFERROR(VLOOKUP(H401, De_Para!A:B, 2, FALSE), "NÃO MAPEADO"))</f>
        <v/>
      </c>
    </row>
    <row r="402">
      <c r="A402" s="2" t="inlineStr">
        <is>
          <t>69285</t>
        </is>
      </c>
      <c r="B402" s="2" t="inlineStr">
        <is>
          <t>Sicredi SNI</t>
        </is>
      </c>
      <c r="C402" s="2" t="inlineStr">
        <is>
          <t>22/06/2026</t>
        </is>
      </c>
      <c r="D402" s="2" t="inlineStr">
        <is>
          <t>22/06/2026</t>
        </is>
      </c>
      <c r="E402" s="2" t="inlineStr">
        <is>
          <t>PIX</t>
        </is>
      </c>
      <c r="F402" s="2" t="inlineStr">
        <is>
          <t>PAGAMENTO PIX 04368898000106 COPEL-DIS LUZ GABIROVAL MES MAIO</t>
        </is>
      </c>
      <c r="G402" s="2" t="inlineStr">
        <is>
          <t>clau</t>
        </is>
      </c>
      <c r="H402" s="2" t="inlineStr">
        <is>
          <t>02.03.02.04 : Energia Eletrica</t>
        </is>
      </c>
      <c r="I402" s="2" t="n"/>
      <c r="J402" s="3" t="n">
        <v>-105.83</v>
      </c>
      <c r="K402" s="2">
        <f>IF(H402="02.09 : Outras Saídas", IF(OR(ISNUMBER(SEARCH("CHEQUE COMPE SICREDI", F402)), ISNUMBER(SEARCH("aniversario", F402)), ISNUMBER(SEARCH("churrasco", F402)), ISNUMBER(SEARCH("bolo", F402)), ISNUMBER(SEARCH("SUPERMERCADO", F402))), "6.1 Despesas Administrativas (Pessoal)", IF(OR(ISNUMBER(SEARCH("DLKNET", F402)), ISNUMBER(SEARCH("TESTE", F402))), "6.1 Despesas Administrativas (Gerais)", IFERROR(VLOOKUP(H402, De_Para!A:B, 2, FALSE), "NÃO MAPEADO"))), IFERROR(VLOOKUP(H402, De_Para!A:B, 2, FALSE), "NÃO MAPEADO"))</f>
        <v/>
      </c>
    </row>
    <row r="403">
      <c r="A403" s="2" t="inlineStr">
        <is>
          <t>69284</t>
        </is>
      </c>
      <c r="B403" s="2" t="inlineStr">
        <is>
          <t>Sicoob</t>
        </is>
      </c>
      <c r="C403" s="2" t="inlineStr">
        <is>
          <t>22/06/2026</t>
        </is>
      </c>
      <c r="D403" s="2" t="inlineStr">
        <is>
          <t>22/06/2026</t>
        </is>
      </c>
      <c r="E403" s="2" t="inlineStr">
        <is>
          <t>PIX</t>
        </is>
      </c>
      <c r="F403" s="2" t="inlineStr">
        <is>
          <t>PIX EMITIDO OUTRA IF - MESMA TIT._x000D_
Pagamento Pix_x000D_
10.145.409 0001-50_x000D_
Tranferencia entre contas</t>
        </is>
      </c>
      <c r="G403" s="2" t="inlineStr">
        <is>
          <t>clau</t>
        </is>
      </c>
      <c r="H403" s="2" t="inlineStr">
        <is>
          <t>03.02 : TRANSFERENCIA ENTRE CONTAS</t>
        </is>
      </c>
      <c r="I403" s="2" t="n"/>
      <c r="J403" s="3" t="n">
        <v>-1850</v>
      </c>
      <c r="K403" s="2">
        <f>IF(H403="02.09 : Outras Saídas", IF(OR(ISNUMBER(SEARCH("CHEQUE COMPE SICREDI", F403)), ISNUMBER(SEARCH("aniversario", F403)), ISNUMBER(SEARCH("churrasco", F403)), ISNUMBER(SEARCH("bolo", F403)), ISNUMBER(SEARCH("SUPERMERCADO", F403))), "6.1 Despesas Administrativas (Pessoal)", IF(OR(ISNUMBER(SEARCH("DLKNET", F403)), ISNUMBER(SEARCH("TESTE", F403))), "6.1 Despesas Administrativas (Gerais)", IFERROR(VLOOKUP(H403, De_Para!A:B, 2, FALSE), "NÃO MAPEADO"))), IFERROR(VLOOKUP(H403, De_Para!A:B, 2, FALSE), "NÃO MAPEADO"))</f>
        <v/>
      </c>
    </row>
    <row r="404">
      <c r="A404" s="2" t="inlineStr">
        <is>
          <t>69283</t>
        </is>
      </c>
      <c r="B404" s="2" t="inlineStr">
        <is>
          <t>Sicoob</t>
        </is>
      </c>
      <c r="C404" s="2" t="inlineStr">
        <is>
          <t>22/06/2026</t>
        </is>
      </c>
      <c r="D404" s="2" t="inlineStr">
        <is>
          <t>15/06/2026</t>
        </is>
      </c>
      <c r="E404" s="2" t="inlineStr">
        <is>
          <t>Débito em Conta</t>
        </is>
      </c>
      <c r="F404" s="2" t="inlineStr">
        <is>
          <t>TARIFA COBRANÇA</t>
        </is>
      </c>
      <c r="G404" s="2" t="inlineStr">
        <is>
          <t>clau</t>
        </is>
      </c>
      <c r="H404" s="2" t="inlineStr">
        <is>
          <t>02.03.03.01 : Tarifas Bancarias</t>
        </is>
      </c>
      <c r="I404" s="2" t="n"/>
      <c r="J404" s="3" t="n">
        <v>-24.42</v>
      </c>
      <c r="K404" s="2">
        <f>IF(H404="02.09 : Outras Saídas", IF(OR(ISNUMBER(SEARCH("CHEQUE COMPE SICREDI", F404)), ISNUMBER(SEARCH("aniversario", F404)), ISNUMBER(SEARCH("churrasco", F404)), ISNUMBER(SEARCH("bolo", F404)), ISNUMBER(SEARCH("SUPERMERCADO", F404))), "6.1 Despesas Administrativas (Pessoal)", IF(OR(ISNUMBER(SEARCH("DLKNET", F404)), ISNUMBER(SEARCH("TESTE", F404))), "6.1 Despesas Administrativas (Gerais)", IFERROR(VLOOKUP(H404, De_Para!A:B, 2, FALSE), "NÃO MAPEADO"))), IFERROR(VLOOKUP(H404, De_Para!A:B, 2, FALSE), "NÃO MAPEADO"))</f>
        <v/>
      </c>
    </row>
    <row r="405">
      <c r="A405" s="2" t="inlineStr">
        <is>
          <t>69282</t>
        </is>
      </c>
      <c r="B405" s="2" t="inlineStr">
        <is>
          <t>Sicoob</t>
        </is>
      </c>
      <c r="C405" s="2" t="inlineStr">
        <is>
          <t>22/06/2026</t>
        </is>
      </c>
      <c r="D405" s="2" t="inlineStr">
        <is>
          <t>12/06/2026</t>
        </is>
      </c>
      <c r="E405" s="2" t="inlineStr">
        <is>
          <t>Débito em Conta</t>
        </is>
      </c>
      <c r="F405" s="2" t="inlineStr">
        <is>
          <t>TARIFA COBRANÇA</t>
        </is>
      </c>
      <c r="G405" s="2" t="inlineStr">
        <is>
          <t>clau</t>
        </is>
      </c>
      <c r="H405" s="2" t="inlineStr">
        <is>
          <t>02.03.03.01 : Tarifas Bancarias</t>
        </is>
      </c>
      <c r="I405" s="2" t="n"/>
      <c r="J405" s="3" t="n">
        <v>-9.220000000000001</v>
      </c>
      <c r="K405" s="2">
        <f>IF(H405="02.09 : Outras Saídas", IF(OR(ISNUMBER(SEARCH("CHEQUE COMPE SICREDI", F405)), ISNUMBER(SEARCH("aniversario", F405)), ISNUMBER(SEARCH("churrasco", F405)), ISNUMBER(SEARCH("bolo", F405)), ISNUMBER(SEARCH("SUPERMERCADO", F405))), "6.1 Despesas Administrativas (Pessoal)", IF(OR(ISNUMBER(SEARCH("DLKNET", F405)), ISNUMBER(SEARCH("TESTE", F405))), "6.1 Despesas Administrativas (Gerais)", IFERROR(VLOOKUP(H405, De_Para!A:B, 2, FALSE), "NÃO MAPEADO"))), IFERROR(VLOOKUP(H405, De_Para!A:B, 2, FALSE), "NÃO MAPEADO"))</f>
        <v/>
      </c>
    </row>
    <row r="406">
      <c r="A406" s="2" t="inlineStr">
        <is>
          <t>69281</t>
        </is>
      </c>
      <c r="B406" s="2" t="inlineStr">
        <is>
          <t>Sicoob</t>
        </is>
      </c>
      <c r="C406" s="2" t="inlineStr">
        <is>
          <t>22/06/2026</t>
        </is>
      </c>
      <c r="D406" s="2" t="inlineStr">
        <is>
          <t>11/06/2026</t>
        </is>
      </c>
      <c r="E406" s="2" t="inlineStr">
        <is>
          <t>Débito em Conta</t>
        </is>
      </c>
      <c r="F406" s="2" t="inlineStr">
        <is>
          <t>TARIFA COBRANÇA</t>
        </is>
      </c>
      <c r="G406" s="2" t="inlineStr">
        <is>
          <t>clau</t>
        </is>
      </c>
      <c r="H406" s="2" t="inlineStr">
        <is>
          <t>02.03.03.01 : Tarifas Bancarias</t>
        </is>
      </c>
      <c r="I406" s="2" t="n"/>
      <c r="J406" s="3" t="n">
        <v>-9.119999999999999</v>
      </c>
      <c r="K406" s="2">
        <f>IF(H406="02.09 : Outras Saídas", IF(OR(ISNUMBER(SEARCH("CHEQUE COMPE SICREDI", F406)), ISNUMBER(SEARCH("aniversario", F406)), ISNUMBER(SEARCH("churrasco", F406)), ISNUMBER(SEARCH("bolo", F406)), ISNUMBER(SEARCH("SUPERMERCADO", F406))), "6.1 Despesas Administrativas (Pessoal)", IF(OR(ISNUMBER(SEARCH("DLKNET", F406)), ISNUMBER(SEARCH("TESTE", F406))), "6.1 Despesas Administrativas (Gerais)", IFERROR(VLOOKUP(H406, De_Para!A:B, 2, FALSE), "NÃO MAPEADO"))), IFERROR(VLOOKUP(H406, De_Para!A:B, 2, FALSE), "NÃO MAPEADO"))</f>
        <v/>
      </c>
    </row>
    <row r="407">
      <c r="A407" s="2" t="inlineStr">
        <is>
          <t>69280</t>
        </is>
      </c>
      <c r="B407" s="2" t="inlineStr">
        <is>
          <t>Sicoob</t>
        </is>
      </c>
      <c r="C407" s="2" t="inlineStr">
        <is>
          <t>22/06/2026</t>
        </is>
      </c>
      <c r="D407" s="2" t="inlineStr">
        <is>
          <t>05/06/2026</t>
        </is>
      </c>
      <c r="E407" s="2" t="inlineStr">
        <is>
          <t>Débito em Conta</t>
        </is>
      </c>
      <c r="F407" s="2" t="inlineStr">
        <is>
          <t>TARIFA COBRANÇA</t>
        </is>
      </c>
      <c r="G407" s="2" t="inlineStr">
        <is>
          <t>clau</t>
        </is>
      </c>
      <c r="H407" s="2" t="inlineStr">
        <is>
          <t>02.03.03.01 : Tarifas Bancarias</t>
        </is>
      </c>
      <c r="I407" s="2" t="n"/>
      <c r="J407" s="3" t="n">
        <v>-23.54</v>
      </c>
      <c r="K407" s="2">
        <f>IF(H407="02.09 : Outras Saídas", IF(OR(ISNUMBER(SEARCH("CHEQUE COMPE SICREDI", F407)), ISNUMBER(SEARCH("aniversario", F407)), ISNUMBER(SEARCH("churrasco", F407)), ISNUMBER(SEARCH("bolo", F407)), ISNUMBER(SEARCH("SUPERMERCADO", F407))), "6.1 Despesas Administrativas (Pessoal)", IF(OR(ISNUMBER(SEARCH("DLKNET", F407)), ISNUMBER(SEARCH("TESTE", F407))), "6.1 Despesas Administrativas (Gerais)", IFERROR(VLOOKUP(H407, De_Para!A:B, 2, FALSE), "NÃO MAPEADO"))), IFERROR(VLOOKUP(H407, De_Para!A:B, 2, FALSE), "NÃO MAPEADO"))</f>
        <v/>
      </c>
    </row>
    <row r="408">
      <c r="A408" s="2" t="inlineStr">
        <is>
          <t>69279</t>
        </is>
      </c>
      <c r="B408" s="2" t="inlineStr">
        <is>
          <t>Sicoob</t>
        </is>
      </c>
      <c r="C408" s="2" t="inlineStr">
        <is>
          <t>22/06/2026</t>
        </is>
      </c>
      <c r="D408" s="2" t="inlineStr">
        <is>
          <t>02/06/2026</t>
        </is>
      </c>
      <c r="E408" s="2" t="inlineStr">
        <is>
          <t>Débito em Conta</t>
        </is>
      </c>
      <c r="F408" s="2" t="inlineStr">
        <is>
          <t>JUROS CONTA GARANTIDA</t>
        </is>
      </c>
      <c r="G408" s="2" t="inlineStr">
        <is>
          <t>clau</t>
        </is>
      </c>
      <c r="H408" s="2" t="inlineStr">
        <is>
          <t>02.03.03.11 : JUROS CONTA GARANTIDA</t>
        </is>
      </c>
      <c r="I408" s="2" t="n"/>
      <c r="J408" s="3" t="n">
        <v>-433.12</v>
      </c>
      <c r="K408" s="2">
        <f>IF(H408="02.09 : Outras Saídas", IF(OR(ISNUMBER(SEARCH("CHEQUE COMPE SICREDI", F408)), ISNUMBER(SEARCH("aniversario", F408)), ISNUMBER(SEARCH("churrasco", F408)), ISNUMBER(SEARCH("bolo", F408)), ISNUMBER(SEARCH("SUPERMERCADO", F408))), "6.1 Despesas Administrativas (Pessoal)", IF(OR(ISNUMBER(SEARCH("DLKNET", F408)), ISNUMBER(SEARCH("TESTE", F408))), "6.1 Despesas Administrativas (Gerais)", IFERROR(VLOOKUP(H408, De_Para!A:B, 2, FALSE), "NÃO MAPEADO"))), IFERROR(VLOOKUP(H408, De_Para!A:B, 2, FALSE), "NÃO MAPEADO"))</f>
        <v/>
      </c>
    </row>
    <row r="409">
      <c r="A409" s="2" t="inlineStr">
        <is>
          <t>69278</t>
        </is>
      </c>
      <c r="B409" s="2" t="inlineStr">
        <is>
          <t>Sicoob</t>
        </is>
      </c>
      <c r="C409" s="2" t="inlineStr">
        <is>
          <t>22/06/2026</t>
        </is>
      </c>
      <c r="D409" s="2" t="inlineStr">
        <is>
          <t>01/06/2026</t>
        </is>
      </c>
      <c r="E409" s="2" t="inlineStr">
        <is>
          <t>Débito em Conta</t>
        </is>
      </c>
      <c r="F409" s="2" t="inlineStr">
        <is>
          <t>JUROS CONTA GARANTIDA</t>
        </is>
      </c>
      <c r="G409" s="2" t="inlineStr">
        <is>
          <t>clau</t>
        </is>
      </c>
      <c r="H409" s="2" t="inlineStr">
        <is>
          <t>02.03.03.11 : JUROS CONTA GARANTIDA</t>
        </is>
      </c>
      <c r="I409" s="2" t="n"/>
      <c r="J409" s="3" t="n">
        <v>-185.89</v>
      </c>
      <c r="K409" s="2">
        <f>IF(H409="02.09 : Outras Saídas", IF(OR(ISNUMBER(SEARCH("CHEQUE COMPE SICREDI", F409)), ISNUMBER(SEARCH("aniversario", F409)), ISNUMBER(SEARCH("churrasco", F409)), ISNUMBER(SEARCH("bolo", F409)), ISNUMBER(SEARCH("SUPERMERCADO", F409))), "6.1 Despesas Administrativas (Pessoal)", IF(OR(ISNUMBER(SEARCH("DLKNET", F409)), ISNUMBER(SEARCH("TESTE", F409))), "6.1 Despesas Administrativas (Gerais)", IFERROR(VLOOKUP(H409, De_Para!A:B, 2, FALSE), "NÃO MAPEADO"))), IFERROR(VLOOKUP(H409, De_Para!A:B, 2, FALSE), "NÃO MAPEADO"))</f>
        <v/>
      </c>
    </row>
    <row r="410">
      <c r="A410" s="2" t="inlineStr">
        <is>
          <t>69277</t>
        </is>
      </c>
      <c r="B410" s="2" t="inlineStr">
        <is>
          <t>Sicoob</t>
        </is>
      </c>
      <c r="C410" s="2" t="inlineStr">
        <is>
          <t>22/06/2026</t>
        </is>
      </c>
      <c r="D410" s="2" t="inlineStr">
        <is>
          <t>01/06/2026</t>
        </is>
      </c>
      <c r="E410" s="2" t="inlineStr">
        <is>
          <t>Débito em Conta</t>
        </is>
      </c>
      <c r="F410" s="2" t="inlineStr">
        <is>
          <t>DÉB.IOF</t>
        </is>
      </c>
      <c r="G410" s="2" t="inlineStr">
        <is>
          <t>clau</t>
        </is>
      </c>
      <c r="H410" s="2" t="inlineStr">
        <is>
          <t>DÉB.IOF : 02.03.09</t>
        </is>
      </c>
      <c r="I410" s="2" t="n"/>
      <c r="J410" s="3" t="n">
        <v>-61.7</v>
      </c>
      <c r="K410" s="2">
        <f>IF(H410="02.09 : Outras Saídas", IF(OR(ISNUMBER(SEARCH("CHEQUE COMPE SICREDI", F410)), ISNUMBER(SEARCH("aniversario", F410)), ISNUMBER(SEARCH("churrasco", F410)), ISNUMBER(SEARCH("bolo", F410)), ISNUMBER(SEARCH("SUPERMERCADO", F410))), "6.1 Despesas Administrativas (Pessoal)", IF(OR(ISNUMBER(SEARCH("DLKNET", F410)), ISNUMBER(SEARCH("TESTE", F410))), "6.1 Despesas Administrativas (Gerais)", IFERROR(VLOOKUP(H410, De_Para!A:B, 2, FALSE), "NÃO MAPEADO"))), IFERROR(VLOOKUP(H410, De_Para!A:B, 2, FALSE), "NÃO MAPEADO"))</f>
        <v/>
      </c>
    </row>
    <row r="411">
      <c r="A411" s="2" t="inlineStr">
        <is>
          <t>69276</t>
        </is>
      </c>
      <c r="B411" s="2" t="inlineStr">
        <is>
          <t>Sicoob</t>
        </is>
      </c>
      <c r="C411" s="2" t="inlineStr">
        <is>
          <t>22/06/2026</t>
        </is>
      </c>
      <c r="D411" s="2" t="inlineStr">
        <is>
          <t>01/06/2026</t>
        </is>
      </c>
      <c r="E411" s="2" t="inlineStr">
        <is>
          <t>Débito em Conta</t>
        </is>
      </c>
      <c r="F411" s="2" t="inlineStr">
        <is>
          <t>DÉB.IOF</t>
        </is>
      </c>
      <c r="G411" s="2" t="inlineStr">
        <is>
          <t>clau</t>
        </is>
      </c>
      <c r="H411" s="2" t="inlineStr">
        <is>
          <t>DÉB.IOF : 02.03.09</t>
        </is>
      </c>
      <c r="I411" s="2" t="n"/>
      <c r="J411" s="3" t="n">
        <v>-15.26</v>
      </c>
      <c r="K411" s="2">
        <f>IF(H411="02.09 : Outras Saídas", IF(OR(ISNUMBER(SEARCH("CHEQUE COMPE SICREDI", F411)), ISNUMBER(SEARCH("aniversario", F411)), ISNUMBER(SEARCH("churrasco", F411)), ISNUMBER(SEARCH("bolo", F411)), ISNUMBER(SEARCH("SUPERMERCADO", F411))), "6.1 Despesas Administrativas (Pessoal)", IF(OR(ISNUMBER(SEARCH("DLKNET", F411)), ISNUMBER(SEARCH("TESTE", F411))), "6.1 Despesas Administrativas (Gerais)", IFERROR(VLOOKUP(H411, De_Para!A:B, 2, FALSE), "NÃO MAPEADO"))), IFERROR(VLOOKUP(H411, De_Para!A:B, 2, FALSE), "NÃO MAPEADO"))</f>
        <v/>
      </c>
    </row>
    <row r="412">
      <c r="A412" s="2" t="inlineStr">
        <is>
          <t>69275</t>
        </is>
      </c>
      <c r="B412" s="2" t="inlineStr">
        <is>
          <t>Sicoob</t>
        </is>
      </c>
      <c r="C412" s="2" t="inlineStr">
        <is>
          <t>22/06/2026</t>
        </is>
      </c>
      <c r="D412" s="2" t="inlineStr">
        <is>
          <t>01/06/2026</t>
        </is>
      </c>
      <c r="E412" s="2" t="inlineStr">
        <is>
          <t>Débito em Conta</t>
        </is>
      </c>
      <c r="F412" s="2" t="inlineStr">
        <is>
          <t>DÉB.IOF EMPRÉSTIMOS</t>
        </is>
      </c>
      <c r="G412" s="2" t="inlineStr">
        <is>
          <t>clau</t>
        </is>
      </c>
      <c r="H412" s="2" t="inlineStr">
        <is>
          <t>02.03.03.07 : IOF BASICO CH PJ</t>
        </is>
      </c>
      <c r="I412" s="2" t="n"/>
      <c r="J412" s="3" t="n">
        <v>-196.18</v>
      </c>
      <c r="K412" s="2">
        <f>IF(H412="02.09 : Outras Saídas", IF(OR(ISNUMBER(SEARCH("CHEQUE COMPE SICREDI", F412)), ISNUMBER(SEARCH("aniversario", F412)), ISNUMBER(SEARCH("churrasco", F412)), ISNUMBER(SEARCH("bolo", F412)), ISNUMBER(SEARCH("SUPERMERCADO", F412))), "6.1 Despesas Administrativas (Pessoal)", IF(OR(ISNUMBER(SEARCH("DLKNET", F412)), ISNUMBER(SEARCH("TESTE", F412))), "6.1 Despesas Administrativas (Gerais)", IFERROR(VLOOKUP(H412, De_Para!A:B, 2, FALSE), "NÃO MAPEADO"))), IFERROR(VLOOKUP(H412, De_Para!A:B, 2, FALSE), "NÃO MAPEADO"))</f>
        <v/>
      </c>
    </row>
    <row r="413">
      <c r="A413" s="2" t="inlineStr">
        <is>
          <t>69274</t>
        </is>
      </c>
      <c r="B413" s="2" t="inlineStr">
        <is>
          <t>Sicoob</t>
        </is>
      </c>
      <c r="C413" s="2" t="inlineStr">
        <is>
          <t>22/06/2026</t>
        </is>
      </c>
      <c r="D413" s="2" t="inlineStr">
        <is>
          <t>16/06/2026</t>
        </is>
      </c>
      <c r="E413" s="2" t="inlineStr">
        <is>
          <t>Débito em Conta</t>
        </is>
      </c>
      <c r="F413" s="2" t="inlineStr">
        <is>
          <t>TARIFA COBRANÇA</t>
        </is>
      </c>
      <c r="G413" s="2" t="inlineStr">
        <is>
          <t>clau</t>
        </is>
      </c>
      <c r="H413" s="2" t="inlineStr">
        <is>
          <t>02.03.03.01 : Tarifas Bancarias</t>
        </is>
      </c>
      <c r="I413" s="2" t="n"/>
      <c r="J413" s="3" t="n">
        <v>-1.8</v>
      </c>
      <c r="K413" s="2">
        <f>IF(H413="02.09 : Outras Saídas", IF(OR(ISNUMBER(SEARCH("CHEQUE COMPE SICREDI", F413)), ISNUMBER(SEARCH("aniversario", F413)), ISNUMBER(SEARCH("churrasco", F413)), ISNUMBER(SEARCH("bolo", F413)), ISNUMBER(SEARCH("SUPERMERCADO", F413))), "6.1 Despesas Administrativas (Pessoal)", IF(OR(ISNUMBER(SEARCH("DLKNET", F413)), ISNUMBER(SEARCH("TESTE", F413))), "6.1 Despesas Administrativas (Gerais)", IFERROR(VLOOKUP(H413, De_Para!A:B, 2, FALSE), "NÃO MAPEADO"))), IFERROR(VLOOKUP(H413, De_Para!A:B, 2, FALSE), "NÃO MAPEADO"))</f>
        <v/>
      </c>
    </row>
    <row r="414">
      <c r="A414" s="2" t="inlineStr">
        <is>
          <t>69273</t>
        </is>
      </c>
      <c r="B414" s="2" t="inlineStr">
        <is>
          <t>Sicoob</t>
        </is>
      </c>
      <c r="C414" s="2" t="inlineStr">
        <is>
          <t>22/06/2026</t>
        </is>
      </c>
      <c r="D414" s="2" t="inlineStr">
        <is>
          <t>17/06/2026</t>
        </is>
      </c>
      <c r="E414" s="2" t="inlineStr">
        <is>
          <t>Débito em Conta</t>
        </is>
      </c>
      <c r="F414" s="2" t="inlineStr">
        <is>
          <t>TARIFA COBRANÇA</t>
        </is>
      </c>
      <c r="G414" s="2" t="inlineStr">
        <is>
          <t>clau</t>
        </is>
      </c>
      <c r="H414" s="2" t="inlineStr">
        <is>
          <t>02.03.03.01 : Tarifas Bancarias</t>
        </is>
      </c>
      <c r="I414" s="2" t="n"/>
      <c r="J414" s="3" t="n">
        <v>-5.02</v>
      </c>
      <c r="K414" s="2">
        <f>IF(H414="02.09 : Outras Saídas", IF(OR(ISNUMBER(SEARCH("CHEQUE COMPE SICREDI", F414)), ISNUMBER(SEARCH("aniversario", F414)), ISNUMBER(SEARCH("churrasco", F414)), ISNUMBER(SEARCH("bolo", F414)), ISNUMBER(SEARCH("SUPERMERCADO", F414))), "6.1 Despesas Administrativas (Pessoal)", IF(OR(ISNUMBER(SEARCH("DLKNET", F414)), ISNUMBER(SEARCH("TESTE", F414))), "6.1 Despesas Administrativas (Gerais)", IFERROR(VLOOKUP(H414, De_Para!A:B, 2, FALSE), "NÃO MAPEADO"))), IFERROR(VLOOKUP(H414, De_Para!A:B, 2, FALSE), "NÃO MAPEADO"))</f>
        <v/>
      </c>
    </row>
    <row r="415">
      <c r="A415" s="2" t="inlineStr">
        <is>
          <t>69272</t>
        </is>
      </c>
      <c r="B415" s="2" t="inlineStr">
        <is>
          <t>Sicoob</t>
        </is>
      </c>
      <c r="C415" s="2" t="inlineStr">
        <is>
          <t>22/06/2026</t>
        </is>
      </c>
      <c r="D415" s="2" t="inlineStr">
        <is>
          <t>18/06/2026</t>
        </is>
      </c>
      <c r="E415" s="2" t="inlineStr">
        <is>
          <t>Débito em Conta</t>
        </is>
      </c>
      <c r="F415" s="2" t="inlineStr">
        <is>
          <t>DÉB.EMPRÉSTIMO</t>
        </is>
      </c>
      <c r="G415" s="2" t="inlineStr">
        <is>
          <t>clau</t>
        </is>
      </c>
      <c r="H415" s="2" t="inlineStr">
        <is>
          <t>02,07 : DÉB.EMPRÉSTIMO</t>
        </is>
      </c>
      <c r="I415" s="2" t="n"/>
      <c r="J415" s="3" t="n">
        <v>-2362.07</v>
      </c>
      <c r="K415" s="2">
        <f>IF(H415="02.09 : Outras Saídas", IF(OR(ISNUMBER(SEARCH("CHEQUE COMPE SICREDI", F415)), ISNUMBER(SEARCH("aniversario", F415)), ISNUMBER(SEARCH("churrasco", F415)), ISNUMBER(SEARCH("bolo", F415)), ISNUMBER(SEARCH("SUPERMERCADO", F415))), "6.1 Despesas Administrativas (Pessoal)", IF(OR(ISNUMBER(SEARCH("DLKNET", F415)), ISNUMBER(SEARCH("TESTE", F415))), "6.1 Despesas Administrativas (Gerais)", IFERROR(VLOOKUP(H415, De_Para!A:B, 2, FALSE), "NÃO MAPEADO"))), IFERROR(VLOOKUP(H415, De_Para!A:B, 2, FALSE), "NÃO MAPEADO"))</f>
        <v/>
      </c>
    </row>
    <row r="416">
      <c r="A416" s="2" t="inlineStr">
        <is>
          <t>69271</t>
        </is>
      </c>
      <c r="B416" s="2" t="inlineStr">
        <is>
          <t>Sicoob</t>
        </is>
      </c>
      <c r="C416" s="2" t="inlineStr">
        <is>
          <t>22/06/2026</t>
        </is>
      </c>
      <c r="D416" s="2" t="inlineStr">
        <is>
          <t>18/06/2026</t>
        </is>
      </c>
      <c r="E416" s="2" t="inlineStr">
        <is>
          <t>Débito em Conta</t>
        </is>
      </c>
      <c r="F416" s="2" t="inlineStr">
        <is>
          <t>TARIFA COBRANÇA</t>
        </is>
      </c>
      <c r="G416" s="2" t="inlineStr">
        <is>
          <t>clau</t>
        </is>
      </c>
      <c r="H416" s="2" t="inlineStr">
        <is>
          <t>02.03.03.01 : Tarifas Bancarias</t>
        </is>
      </c>
      <c r="I416" s="2" t="n"/>
      <c r="J416" s="3" t="n">
        <v>-6.54</v>
      </c>
      <c r="K416" s="2">
        <f>IF(H416="02.09 : Outras Saídas", IF(OR(ISNUMBER(SEARCH("CHEQUE COMPE SICREDI", F416)), ISNUMBER(SEARCH("aniversario", F416)), ISNUMBER(SEARCH("churrasco", F416)), ISNUMBER(SEARCH("bolo", F416)), ISNUMBER(SEARCH("SUPERMERCADO", F416))), "6.1 Despesas Administrativas (Pessoal)", IF(OR(ISNUMBER(SEARCH("DLKNET", F416)), ISNUMBER(SEARCH("TESTE", F416))), "6.1 Despesas Administrativas (Gerais)", IFERROR(VLOOKUP(H416, De_Para!A:B, 2, FALSE), "NÃO MAPEADO"))), IFERROR(VLOOKUP(H416, De_Para!A:B, 2, FALSE), "NÃO MAPEADO"))</f>
        <v/>
      </c>
    </row>
    <row r="417">
      <c r="A417" s="2" t="inlineStr">
        <is>
          <t>69270</t>
        </is>
      </c>
      <c r="B417" s="2" t="inlineStr">
        <is>
          <t>Sicoob</t>
        </is>
      </c>
      <c r="C417" s="2" t="inlineStr">
        <is>
          <t>22/06/2026</t>
        </is>
      </c>
      <c r="D417" s="2" t="inlineStr">
        <is>
          <t>19/06/2026</t>
        </is>
      </c>
      <c r="E417" s="2" t="inlineStr">
        <is>
          <t>PIX</t>
        </is>
      </c>
      <c r="F417" s="2" t="inlineStr">
        <is>
          <t>PIX EMITIDO OUTRA IF_x000D_
Pagamento Pix_x000D_
00.360.305 0001-04</t>
        </is>
      </c>
      <c r="G417" s="2" t="inlineStr">
        <is>
          <t>clau</t>
        </is>
      </c>
      <c r="H417" s="2" t="inlineStr">
        <is>
          <t>02.02.05 : DARF</t>
        </is>
      </c>
      <c r="I417" s="2" t="n"/>
      <c r="J417" s="3" t="n">
        <v>-1425.97</v>
      </c>
      <c r="K417" s="2">
        <f>IF(H417="02.09 : Outras Saídas", IF(OR(ISNUMBER(SEARCH("CHEQUE COMPE SICREDI", F417)), ISNUMBER(SEARCH("aniversario", F417)), ISNUMBER(SEARCH("churrasco", F417)), ISNUMBER(SEARCH("bolo", F417)), ISNUMBER(SEARCH("SUPERMERCADO", F417))), "6.1 Despesas Administrativas (Pessoal)", IF(OR(ISNUMBER(SEARCH("DLKNET", F417)), ISNUMBER(SEARCH("TESTE", F417))), "6.1 Despesas Administrativas (Gerais)", IFERROR(VLOOKUP(H417, De_Para!A:B, 2, FALSE), "NÃO MAPEADO"))), IFERROR(VLOOKUP(H417, De_Para!A:B, 2, FALSE), "NÃO MAPEADO"))</f>
        <v/>
      </c>
    </row>
    <row r="418">
      <c r="A418" s="2" t="inlineStr">
        <is>
          <t>69269</t>
        </is>
      </c>
      <c r="B418" s="2" t="inlineStr">
        <is>
          <t>Sicoob</t>
        </is>
      </c>
      <c r="C418" s="2" t="inlineStr">
        <is>
          <t>22/06/2026</t>
        </is>
      </c>
      <c r="D418" s="2" t="inlineStr">
        <is>
          <t>19/06/2026</t>
        </is>
      </c>
      <c r="E418" s="2" t="inlineStr">
        <is>
          <t>PIX</t>
        </is>
      </c>
      <c r="F418" s="2" t="inlineStr">
        <is>
          <t>PIX EMITIDO OUTRA IF_x000D_
Pagamento Pix_x000D_
00.394.460 0058-87_x000D_
Solicitacao Pix</t>
        </is>
      </c>
      <c r="G418" s="2" t="inlineStr">
        <is>
          <t>clau</t>
        </is>
      </c>
      <c r="H418" s="2" t="inlineStr">
        <is>
          <t>02.02.05 : DARF</t>
        </is>
      </c>
      <c r="I418" s="2" t="n"/>
      <c r="J418" s="3" t="n">
        <v>-1399.45</v>
      </c>
      <c r="K418" s="2">
        <f>IF(H418="02.09 : Outras Saídas", IF(OR(ISNUMBER(SEARCH("CHEQUE COMPE SICREDI", F418)), ISNUMBER(SEARCH("aniversario", F418)), ISNUMBER(SEARCH("churrasco", F418)), ISNUMBER(SEARCH("bolo", F418)), ISNUMBER(SEARCH("SUPERMERCADO", F418))), "6.1 Despesas Administrativas (Pessoal)", IF(OR(ISNUMBER(SEARCH("DLKNET", F418)), ISNUMBER(SEARCH("TESTE", F418))), "6.1 Despesas Administrativas (Gerais)", IFERROR(VLOOKUP(H418, De_Para!A:B, 2, FALSE), "NÃO MAPEADO"))), IFERROR(VLOOKUP(H418, De_Para!A:B, 2, FALSE), "NÃO MAPEADO"))</f>
        <v/>
      </c>
    </row>
    <row r="419">
      <c r="A419" s="2" t="inlineStr">
        <is>
          <t>69268</t>
        </is>
      </c>
      <c r="B419" s="2" t="inlineStr">
        <is>
          <t>Sicoob</t>
        </is>
      </c>
      <c r="C419" s="2" t="inlineStr">
        <is>
          <t>22/06/2026</t>
        </is>
      </c>
      <c r="D419" s="2" t="inlineStr">
        <is>
          <t>19/06/2026</t>
        </is>
      </c>
      <c r="E419" s="2" t="inlineStr">
        <is>
          <t>PIX</t>
        </is>
      </c>
      <c r="F419" s="2" t="inlineStr">
        <is>
          <t>PIX EMITIDO OUTRA IF_x000D_
Pagamento Pix_x000D_
00.394.460 0058-87 Darf Beer</t>
        </is>
      </c>
      <c r="G419" s="2" t="inlineStr">
        <is>
          <t>clau</t>
        </is>
      </c>
      <c r="H419" s="2" t="inlineStr">
        <is>
          <t>02.03.02.07 : Pro-Labore</t>
        </is>
      </c>
      <c r="I419" s="2" t="n"/>
      <c r="J419" s="3" t="n">
        <v>-460.75</v>
      </c>
      <c r="K419" s="2">
        <f>IF(H419="02.09 : Outras Saídas", IF(OR(ISNUMBER(SEARCH("CHEQUE COMPE SICREDI", F419)), ISNUMBER(SEARCH("aniversario", F419)), ISNUMBER(SEARCH("churrasco", F419)), ISNUMBER(SEARCH("bolo", F419)), ISNUMBER(SEARCH("SUPERMERCADO", F419))), "6.1 Despesas Administrativas (Pessoal)", IF(OR(ISNUMBER(SEARCH("DLKNET", F419)), ISNUMBER(SEARCH("TESTE", F419))), "6.1 Despesas Administrativas (Gerais)", IFERROR(VLOOKUP(H419, De_Para!A:B, 2, FALSE), "NÃO MAPEADO"))), IFERROR(VLOOKUP(H419, De_Para!A:B, 2, FALSE), "NÃO MAPEADO"))</f>
        <v/>
      </c>
    </row>
    <row r="420">
      <c r="A420" s="2" t="inlineStr">
        <is>
          <t>69267</t>
        </is>
      </c>
      <c r="B420" s="2" t="inlineStr">
        <is>
          <t>Sicoob</t>
        </is>
      </c>
      <c r="C420" s="2" t="inlineStr">
        <is>
          <t>22/06/2026</t>
        </is>
      </c>
      <c r="D420" s="2" t="inlineStr">
        <is>
          <t>19/06/2026</t>
        </is>
      </c>
      <c r="E420" s="2" t="inlineStr">
        <is>
          <t>PIX</t>
        </is>
      </c>
      <c r="F420" s="2" t="inlineStr">
        <is>
          <t>PIX EMITIDO OUTRA IF_x000D_
Pagamento Pix_x000D_
00.360.305 0001-04  fgts beer</t>
        </is>
      </c>
      <c r="G420" s="2" t="inlineStr">
        <is>
          <t>clau</t>
        </is>
      </c>
      <c r="H420" s="2" t="inlineStr">
        <is>
          <t>02.03.02.07 : Pro-Labore</t>
        </is>
      </c>
      <c r="I420" s="2" t="n"/>
      <c r="J420" s="3" t="n">
        <v>-262.5</v>
      </c>
      <c r="K420" s="2">
        <f>IF(H420="02.09 : Outras Saídas", IF(OR(ISNUMBER(SEARCH("CHEQUE COMPE SICREDI", F420)), ISNUMBER(SEARCH("aniversario", F420)), ISNUMBER(SEARCH("churrasco", F420)), ISNUMBER(SEARCH("bolo", F420)), ISNUMBER(SEARCH("SUPERMERCADO", F420))), "6.1 Despesas Administrativas (Pessoal)", IF(OR(ISNUMBER(SEARCH("DLKNET", F420)), ISNUMBER(SEARCH("TESTE", F420))), "6.1 Despesas Administrativas (Gerais)", IFERROR(VLOOKUP(H420, De_Para!A:B, 2, FALSE), "NÃO MAPEADO"))), IFERROR(VLOOKUP(H420, De_Para!A:B, 2, FALSE), "NÃO MAPEADO"))</f>
        <v/>
      </c>
    </row>
    <row r="421">
      <c r="A421" s="2" t="inlineStr">
        <is>
          <t>69266</t>
        </is>
      </c>
      <c r="B421" s="2" t="inlineStr">
        <is>
          <t>Sicredi SNI</t>
        </is>
      </c>
      <c r="C421" s="2" t="inlineStr">
        <is>
          <t>22/06/2026</t>
        </is>
      </c>
      <c r="D421" s="2" t="inlineStr">
        <is>
          <t>22/06/2026</t>
        </is>
      </c>
      <c r="E421" s="2" t="inlineStr">
        <is>
          <t>Dinheiro</t>
        </is>
      </c>
      <c r="F421" s="2" t="inlineStr">
        <is>
          <t>Boleto "64508" do cliente "VALDIR FERREIRA DE PROENÇA"</t>
        </is>
      </c>
      <c r="G421" s="2" t="inlineStr">
        <is>
          <t>system</t>
        </is>
      </c>
      <c r="H421" s="2" t="inlineStr">
        <is>
          <t>02.03.02.01 : Cobrança Bancaria</t>
        </is>
      </c>
      <c r="I421" s="2" t="n"/>
      <c r="J421" s="3" t="n">
        <v>-1.08</v>
      </c>
      <c r="K421" s="2">
        <f>IF(H421="02.09 : Outras Saídas", IF(OR(ISNUMBER(SEARCH("CHEQUE COMPE SICREDI", F421)), ISNUMBER(SEARCH("aniversario", F421)), ISNUMBER(SEARCH("churrasco", F421)), ISNUMBER(SEARCH("bolo", F421)), ISNUMBER(SEARCH("SUPERMERCADO", F421))), "6.1 Despesas Administrativas (Pessoal)", IF(OR(ISNUMBER(SEARCH("DLKNET", F421)), ISNUMBER(SEARCH("TESTE", F421))), "6.1 Despesas Administrativas (Gerais)", IFERROR(VLOOKUP(H421, De_Para!A:B, 2, FALSE), "NÃO MAPEADO"))), IFERROR(VLOOKUP(H421, De_Para!A:B, 2, FALSE), "NÃO MAPEADO"))</f>
        <v/>
      </c>
    </row>
    <row r="422">
      <c r="A422" s="2" t="inlineStr">
        <is>
          <t>69265</t>
        </is>
      </c>
      <c r="B422" s="2" t="inlineStr">
        <is>
          <t>Sicredi SNI</t>
        </is>
      </c>
      <c r="C422" s="2" t="inlineStr">
        <is>
          <t>22/06/2026</t>
        </is>
      </c>
      <c r="D422" s="2" t="inlineStr">
        <is>
          <t>22/06/2026</t>
        </is>
      </c>
      <c r="E422" s="2" t="inlineStr">
        <is>
          <t>Dinheiro</t>
        </is>
      </c>
      <c r="F422" s="2" t="inlineStr">
        <is>
          <t>Boleto "64508" do cliente "VALDIR FERREIRA DE PROENÇA"</t>
        </is>
      </c>
      <c r="G422" s="2" t="inlineStr">
        <is>
          <t>system</t>
        </is>
      </c>
      <c r="H422" s="2" t="inlineStr">
        <is>
          <t>01.01.01 : Mensalidade</t>
        </is>
      </c>
      <c r="I422" s="3" t="n">
        <v>107.36</v>
      </c>
      <c r="J422" s="2" t="n"/>
      <c r="K422" s="2">
        <f>IF(H422="02.09 : Outras Saídas", IF(OR(ISNUMBER(SEARCH("CHEQUE COMPE SICREDI", F422)), ISNUMBER(SEARCH("aniversario", F422)), ISNUMBER(SEARCH("churrasco", F422)), ISNUMBER(SEARCH("bolo", F422)), ISNUMBER(SEARCH("SUPERMERCADO", F422))), "6.1 Despesas Administrativas (Pessoal)", IF(OR(ISNUMBER(SEARCH("DLKNET", F422)), ISNUMBER(SEARCH("TESTE", F422))), "6.1 Despesas Administrativas (Gerais)", IFERROR(VLOOKUP(H422, De_Para!A:B, 2, FALSE), "NÃO MAPEADO"))), IFERROR(VLOOKUP(H422, De_Para!A:B, 2, FALSE), "NÃO MAPEADO"))</f>
        <v/>
      </c>
    </row>
    <row r="423">
      <c r="A423" s="2" t="inlineStr">
        <is>
          <t>69264</t>
        </is>
      </c>
      <c r="B423" s="2" t="inlineStr">
        <is>
          <t>Sicredi SNI</t>
        </is>
      </c>
      <c r="C423" s="2" t="inlineStr">
        <is>
          <t>22/06/2026</t>
        </is>
      </c>
      <c r="D423" s="2" t="inlineStr">
        <is>
          <t>22/06/2026</t>
        </is>
      </c>
      <c r="E423" s="2" t="inlineStr">
        <is>
          <t>Dinheiro</t>
        </is>
      </c>
      <c r="F423" s="2" t="inlineStr">
        <is>
          <t>Boleto "63581" do cliente "ROGERIO GALO"</t>
        </is>
      </c>
      <c r="G423" s="2" t="inlineStr">
        <is>
          <t>system</t>
        </is>
      </c>
      <c r="H423" s="2" t="inlineStr">
        <is>
          <t>02.03.02.01 : Cobrança Bancaria</t>
        </is>
      </c>
      <c r="I423" s="2" t="n"/>
      <c r="J423" s="3" t="n">
        <v>-1.08</v>
      </c>
      <c r="K423" s="2">
        <f>IF(H423="02.09 : Outras Saídas", IF(OR(ISNUMBER(SEARCH("CHEQUE COMPE SICREDI", F423)), ISNUMBER(SEARCH("aniversario", F423)), ISNUMBER(SEARCH("churrasco", F423)), ISNUMBER(SEARCH("bolo", F423)), ISNUMBER(SEARCH("SUPERMERCADO", F423))), "6.1 Despesas Administrativas (Pessoal)", IF(OR(ISNUMBER(SEARCH("DLKNET", F423)), ISNUMBER(SEARCH("TESTE", F423))), "6.1 Despesas Administrativas (Gerais)", IFERROR(VLOOKUP(H423, De_Para!A:B, 2, FALSE), "NÃO MAPEADO"))), IFERROR(VLOOKUP(H423, De_Para!A:B, 2, FALSE), "NÃO MAPEADO"))</f>
        <v/>
      </c>
    </row>
    <row r="424">
      <c r="A424" s="2" t="inlineStr">
        <is>
          <t>69263</t>
        </is>
      </c>
      <c r="B424" s="2" t="inlineStr">
        <is>
          <t>Sicredi SNI</t>
        </is>
      </c>
      <c r="C424" s="2" t="inlineStr">
        <is>
          <t>22/06/2026</t>
        </is>
      </c>
      <c r="D424" s="2" t="inlineStr">
        <is>
          <t>22/06/2026</t>
        </is>
      </c>
      <c r="E424" s="2" t="inlineStr">
        <is>
          <t>Dinheiro</t>
        </is>
      </c>
      <c r="F424" s="2" t="inlineStr">
        <is>
          <t>Boleto "63581" do cliente "ROGERIO GALO"</t>
        </is>
      </c>
      <c r="G424" s="2" t="inlineStr">
        <is>
          <t>system</t>
        </is>
      </c>
      <c r="H424" s="2" t="inlineStr">
        <is>
          <t>01.01.01 : Mensalidade</t>
        </is>
      </c>
      <c r="I424" s="3" t="n">
        <v>109.9</v>
      </c>
      <c r="J424" s="2" t="n"/>
      <c r="K424" s="2">
        <f>IF(H424="02.09 : Outras Saídas", IF(OR(ISNUMBER(SEARCH("CHEQUE COMPE SICREDI", F424)), ISNUMBER(SEARCH("aniversario", F424)), ISNUMBER(SEARCH("churrasco", F424)), ISNUMBER(SEARCH("bolo", F424)), ISNUMBER(SEARCH("SUPERMERCADO", F424))), "6.1 Despesas Administrativas (Pessoal)", IF(OR(ISNUMBER(SEARCH("DLKNET", F424)), ISNUMBER(SEARCH("TESTE", F424))), "6.1 Despesas Administrativas (Gerais)", IFERROR(VLOOKUP(H424, De_Para!A:B, 2, FALSE), "NÃO MAPEADO"))), IFERROR(VLOOKUP(H424, De_Para!A:B, 2, FALSE), "NÃO MAPEADO"))</f>
        <v/>
      </c>
    </row>
    <row r="425">
      <c r="A425" s="2" t="inlineStr">
        <is>
          <t>69262</t>
        </is>
      </c>
      <c r="B425" s="2" t="inlineStr">
        <is>
          <t>Sicredi SNI</t>
        </is>
      </c>
      <c r="C425" s="2" t="inlineStr">
        <is>
          <t>22/06/2026</t>
        </is>
      </c>
      <c r="D425" s="2" t="inlineStr">
        <is>
          <t>22/06/2026</t>
        </is>
      </c>
      <c r="E425" s="2" t="inlineStr">
        <is>
          <t>Dinheiro</t>
        </is>
      </c>
      <c r="F425" s="2" t="inlineStr">
        <is>
          <t>Boleto "63523" do cliente "JOSE AILTON SIMEAO"</t>
        </is>
      </c>
      <c r="G425" s="2" t="inlineStr">
        <is>
          <t>system</t>
        </is>
      </c>
      <c r="H425" s="2" t="inlineStr">
        <is>
          <t>02.03.02.01 : Cobrança Bancaria</t>
        </is>
      </c>
      <c r="I425" s="2" t="n"/>
      <c r="J425" s="3" t="n">
        <v>-1.08</v>
      </c>
      <c r="K425" s="2">
        <f>IF(H425="02.09 : Outras Saídas", IF(OR(ISNUMBER(SEARCH("CHEQUE COMPE SICREDI", F425)), ISNUMBER(SEARCH("aniversario", F425)), ISNUMBER(SEARCH("churrasco", F425)), ISNUMBER(SEARCH("bolo", F425)), ISNUMBER(SEARCH("SUPERMERCADO", F425))), "6.1 Despesas Administrativas (Pessoal)", IF(OR(ISNUMBER(SEARCH("DLKNET", F425)), ISNUMBER(SEARCH("TESTE", F425))), "6.1 Despesas Administrativas (Gerais)", IFERROR(VLOOKUP(H425, De_Para!A:B, 2, FALSE), "NÃO MAPEADO"))), IFERROR(VLOOKUP(H425, De_Para!A:B, 2, FALSE), "NÃO MAPEADO"))</f>
        <v/>
      </c>
    </row>
    <row r="426">
      <c r="A426" s="2" t="inlineStr">
        <is>
          <t>69261</t>
        </is>
      </c>
      <c r="B426" s="2" t="inlineStr">
        <is>
          <t>Sicredi SNI</t>
        </is>
      </c>
      <c r="C426" s="2" t="inlineStr">
        <is>
          <t>22/06/2026</t>
        </is>
      </c>
      <c r="D426" s="2" t="inlineStr">
        <is>
          <t>22/06/2026</t>
        </is>
      </c>
      <c r="E426" s="2" t="inlineStr">
        <is>
          <t>Dinheiro</t>
        </is>
      </c>
      <c r="F426" s="2" t="inlineStr">
        <is>
          <t>Boleto "63523" do cliente "JOSE AILTON SIMEAO"</t>
        </is>
      </c>
      <c r="G426" s="2" t="inlineStr">
        <is>
          <t>system</t>
        </is>
      </c>
      <c r="H426" s="2" t="inlineStr">
        <is>
          <t>01.01.01 : Mensalidade</t>
        </is>
      </c>
      <c r="I426" s="3" t="n">
        <v>104.9</v>
      </c>
      <c r="J426" s="2" t="n"/>
      <c r="K426" s="2">
        <f>IF(H426="02.09 : Outras Saídas", IF(OR(ISNUMBER(SEARCH("CHEQUE COMPE SICREDI", F426)), ISNUMBER(SEARCH("aniversario", F426)), ISNUMBER(SEARCH("churrasco", F426)), ISNUMBER(SEARCH("bolo", F426)), ISNUMBER(SEARCH("SUPERMERCADO", F426))), "6.1 Despesas Administrativas (Pessoal)", IF(OR(ISNUMBER(SEARCH("DLKNET", F426)), ISNUMBER(SEARCH("TESTE", F426))), "6.1 Despesas Administrativas (Gerais)", IFERROR(VLOOKUP(H426, De_Para!A:B, 2, FALSE), "NÃO MAPEADO"))), IFERROR(VLOOKUP(H426, De_Para!A:B, 2, FALSE), "NÃO MAPEADO"))</f>
        <v/>
      </c>
    </row>
    <row r="427">
      <c r="A427" s="2" t="inlineStr">
        <is>
          <t>69260</t>
        </is>
      </c>
      <c r="B427" s="2" t="inlineStr">
        <is>
          <t>Sicredi SNI</t>
        </is>
      </c>
      <c r="C427" s="2" t="inlineStr">
        <is>
          <t>22/06/2026</t>
        </is>
      </c>
      <c r="D427" s="2" t="inlineStr">
        <is>
          <t>22/06/2026</t>
        </is>
      </c>
      <c r="E427" s="2" t="inlineStr">
        <is>
          <t>Dinheiro</t>
        </is>
      </c>
      <c r="F427" s="2" t="inlineStr">
        <is>
          <t>Boleto "54548" do cliente "REGINA CELIA TAKAHASHI"</t>
        </is>
      </c>
      <c r="G427" s="2" t="inlineStr">
        <is>
          <t>system</t>
        </is>
      </c>
      <c r="H427" s="2" t="inlineStr">
        <is>
          <t>02.03.02.01 : Cobrança Bancaria</t>
        </is>
      </c>
      <c r="I427" s="2" t="n"/>
      <c r="J427" s="3" t="n">
        <v>-1.08</v>
      </c>
      <c r="K427" s="2">
        <f>IF(H427="02.09 : Outras Saídas", IF(OR(ISNUMBER(SEARCH("CHEQUE COMPE SICREDI", F427)), ISNUMBER(SEARCH("aniversario", F427)), ISNUMBER(SEARCH("churrasco", F427)), ISNUMBER(SEARCH("bolo", F427)), ISNUMBER(SEARCH("SUPERMERCADO", F427))), "6.1 Despesas Administrativas (Pessoal)", IF(OR(ISNUMBER(SEARCH("DLKNET", F427)), ISNUMBER(SEARCH("TESTE", F427))), "6.1 Despesas Administrativas (Gerais)", IFERROR(VLOOKUP(H427, De_Para!A:B, 2, FALSE), "NÃO MAPEADO"))), IFERROR(VLOOKUP(H427, De_Para!A:B, 2, FALSE), "NÃO MAPEADO"))</f>
        <v/>
      </c>
    </row>
    <row r="428">
      <c r="A428" s="2" t="inlineStr">
        <is>
          <t>69259</t>
        </is>
      </c>
      <c r="B428" s="2" t="inlineStr">
        <is>
          <t>Sicredi SNI</t>
        </is>
      </c>
      <c r="C428" s="2" t="inlineStr">
        <is>
          <t>22/06/2026</t>
        </is>
      </c>
      <c r="D428" s="2" t="inlineStr">
        <is>
          <t>22/06/2026</t>
        </is>
      </c>
      <c r="E428" s="2" t="inlineStr">
        <is>
          <t>Dinheiro</t>
        </is>
      </c>
      <c r="F428" s="2" t="inlineStr">
        <is>
          <t>Boleto "54548" do cliente "REGINA CELIA TAKAHASHI"</t>
        </is>
      </c>
      <c r="G428" s="2" t="inlineStr">
        <is>
          <t>system</t>
        </is>
      </c>
      <c r="H428" s="2" t="inlineStr">
        <is>
          <t>01.01.01 : Mensalidade</t>
        </is>
      </c>
      <c r="I428" s="3" t="n">
        <v>105</v>
      </c>
      <c r="J428" s="2" t="n"/>
      <c r="K428" s="2">
        <f>IF(H428="02.09 : Outras Saídas", IF(OR(ISNUMBER(SEARCH("CHEQUE COMPE SICREDI", F428)), ISNUMBER(SEARCH("aniversario", F428)), ISNUMBER(SEARCH("churrasco", F428)), ISNUMBER(SEARCH("bolo", F428)), ISNUMBER(SEARCH("SUPERMERCADO", F428))), "6.1 Despesas Administrativas (Pessoal)", IF(OR(ISNUMBER(SEARCH("DLKNET", F428)), ISNUMBER(SEARCH("TESTE", F428))), "6.1 Despesas Administrativas (Gerais)", IFERROR(VLOOKUP(H428, De_Para!A:B, 2, FALSE), "NÃO MAPEADO"))), IFERROR(VLOOKUP(H428, De_Para!A:B, 2, FALSE), "NÃO MAPEADO"))</f>
        <v/>
      </c>
    </row>
    <row r="429">
      <c r="A429" s="2" t="inlineStr">
        <is>
          <t>69258</t>
        </is>
      </c>
      <c r="B429" s="2" t="inlineStr">
        <is>
          <t>Sicoob</t>
        </is>
      </c>
      <c r="C429" s="2" t="inlineStr">
        <is>
          <t>22/06/2026</t>
        </is>
      </c>
      <c r="D429" s="2" t="inlineStr">
        <is>
          <t>22/06/2026</t>
        </is>
      </c>
      <c r="E429" s="2" t="inlineStr">
        <is>
          <t>Dinheiro</t>
        </is>
      </c>
      <c r="F429" s="2" t="inlineStr">
        <is>
          <t>Boleto "56495" do cliente "IURI NABITI DE LIMA CATARINO"</t>
        </is>
      </c>
      <c r="G429" s="2" t="inlineStr">
        <is>
          <t>system</t>
        </is>
      </c>
      <c r="H429" s="2" t="inlineStr">
        <is>
          <t>02.03.02.01 : Cobrança Bancaria</t>
        </is>
      </c>
      <c r="I429" s="2" t="n"/>
      <c r="J429" s="3" t="n">
        <v>-0.88</v>
      </c>
      <c r="K429" s="2">
        <f>IF(H429="02.09 : Outras Saídas", IF(OR(ISNUMBER(SEARCH("CHEQUE COMPE SICREDI", F429)), ISNUMBER(SEARCH("aniversario", F429)), ISNUMBER(SEARCH("churrasco", F429)), ISNUMBER(SEARCH("bolo", F429)), ISNUMBER(SEARCH("SUPERMERCADO", F429))), "6.1 Despesas Administrativas (Pessoal)", IF(OR(ISNUMBER(SEARCH("DLKNET", F429)), ISNUMBER(SEARCH("TESTE", F429))), "6.1 Despesas Administrativas (Gerais)", IFERROR(VLOOKUP(H429, De_Para!A:B, 2, FALSE), "NÃO MAPEADO"))), IFERROR(VLOOKUP(H429, De_Para!A:B, 2, FALSE), "NÃO MAPEADO"))</f>
        <v/>
      </c>
    </row>
    <row r="430">
      <c r="A430" s="2" t="inlineStr">
        <is>
          <t>69257</t>
        </is>
      </c>
      <c r="B430" s="2" t="inlineStr">
        <is>
          <t>Sicoob</t>
        </is>
      </c>
      <c r="C430" s="2" t="inlineStr">
        <is>
          <t>22/06/2026</t>
        </is>
      </c>
      <c r="D430" s="2" t="inlineStr">
        <is>
          <t>22/06/2026</t>
        </is>
      </c>
      <c r="E430" s="2" t="inlineStr">
        <is>
          <t>Dinheiro</t>
        </is>
      </c>
      <c r="F430" s="2" t="inlineStr">
        <is>
          <t>Boleto "56495" do cliente "IURI NABITI DE LIMA CATARINO"</t>
        </is>
      </c>
      <c r="G430" s="2" t="inlineStr">
        <is>
          <t>system</t>
        </is>
      </c>
      <c r="H430" s="2" t="inlineStr">
        <is>
          <t>01.01.01 : Mensalidade</t>
        </is>
      </c>
      <c r="I430" s="3" t="n">
        <v>107.51</v>
      </c>
      <c r="J430" s="2" t="n"/>
      <c r="K430" s="2">
        <f>IF(H430="02.09 : Outras Saídas", IF(OR(ISNUMBER(SEARCH("CHEQUE COMPE SICREDI", F430)), ISNUMBER(SEARCH("aniversario", F430)), ISNUMBER(SEARCH("churrasco", F430)), ISNUMBER(SEARCH("bolo", F430)), ISNUMBER(SEARCH("SUPERMERCADO", F430))), "6.1 Despesas Administrativas (Pessoal)", IF(OR(ISNUMBER(SEARCH("DLKNET", F430)), ISNUMBER(SEARCH("TESTE", F430))), "6.1 Despesas Administrativas (Gerais)", IFERROR(VLOOKUP(H430, De_Para!A:B, 2, FALSE), "NÃO MAPEADO"))), IFERROR(VLOOKUP(H430, De_Para!A:B, 2, FALSE), "NÃO MAPEADO"))</f>
        <v/>
      </c>
    </row>
    <row r="431">
      <c r="A431" s="2" t="inlineStr">
        <is>
          <t>69256</t>
        </is>
      </c>
      <c r="B431" s="2" t="inlineStr">
        <is>
          <t>Sicoob</t>
        </is>
      </c>
      <c r="C431" s="2" t="inlineStr">
        <is>
          <t>22/06/2026</t>
        </is>
      </c>
      <c r="D431" s="2" t="inlineStr">
        <is>
          <t>22/06/2026</t>
        </is>
      </c>
      <c r="E431" s="2" t="inlineStr">
        <is>
          <t>Dinheiro</t>
        </is>
      </c>
      <c r="F431" s="2" t="inlineStr">
        <is>
          <t>Boleto "54355" do cliente "SABRINA DOS SANTOS MACHADO"</t>
        </is>
      </c>
      <c r="G431" s="2" t="inlineStr">
        <is>
          <t>system</t>
        </is>
      </c>
      <c r="H431" s="2" t="inlineStr">
        <is>
          <t>02.03.02.01 : Cobrança Bancaria</t>
        </is>
      </c>
      <c r="I431" s="2" t="n"/>
      <c r="J431" s="3" t="n">
        <v>-0.88</v>
      </c>
      <c r="K431" s="2">
        <f>IF(H431="02.09 : Outras Saídas", IF(OR(ISNUMBER(SEARCH("CHEQUE COMPE SICREDI", F431)), ISNUMBER(SEARCH("aniversario", F431)), ISNUMBER(SEARCH("churrasco", F431)), ISNUMBER(SEARCH("bolo", F431)), ISNUMBER(SEARCH("SUPERMERCADO", F431))), "6.1 Despesas Administrativas (Pessoal)", IF(OR(ISNUMBER(SEARCH("DLKNET", F431)), ISNUMBER(SEARCH("TESTE", F431))), "6.1 Despesas Administrativas (Gerais)", IFERROR(VLOOKUP(H431, De_Para!A:B, 2, FALSE), "NÃO MAPEADO"))), IFERROR(VLOOKUP(H431, De_Para!A:B, 2, FALSE), "NÃO MAPEADO"))</f>
        <v/>
      </c>
    </row>
    <row r="432">
      <c r="A432" s="2" t="inlineStr">
        <is>
          <t>69255</t>
        </is>
      </c>
      <c r="B432" s="2" t="inlineStr">
        <is>
          <t>Sicoob</t>
        </is>
      </c>
      <c r="C432" s="2" t="inlineStr">
        <is>
          <t>22/06/2026</t>
        </is>
      </c>
      <c r="D432" s="2" t="inlineStr">
        <is>
          <t>22/06/2026</t>
        </is>
      </c>
      <c r="E432" s="2" t="inlineStr">
        <is>
          <t>Dinheiro</t>
        </is>
      </c>
      <c r="F432" s="2" t="inlineStr">
        <is>
          <t>Boleto "54355" do cliente "SABRINA DOS SANTOS MACHADO"</t>
        </is>
      </c>
      <c r="G432" s="2" t="inlineStr">
        <is>
          <t>system</t>
        </is>
      </c>
      <c r="H432" s="2" t="inlineStr">
        <is>
          <t>01.01.01 : Mensalidade</t>
        </is>
      </c>
      <c r="I432" s="3" t="n">
        <v>105</v>
      </c>
      <c r="J432" s="2" t="n"/>
      <c r="K432" s="2">
        <f>IF(H432="02.09 : Outras Saídas", IF(OR(ISNUMBER(SEARCH("CHEQUE COMPE SICREDI", F432)), ISNUMBER(SEARCH("aniversario", F432)), ISNUMBER(SEARCH("churrasco", F432)), ISNUMBER(SEARCH("bolo", F432)), ISNUMBER(SEARCH("SUPERMERCADO", F432))), "6.1 Despesas Administrativas (Pessoal)", IF(OR(ISNUMBER(SEARCH("DLKNET", F432)), ISNUMBER(SEARCH("TESTE", F432))), "6.1 Despesas Administrativas (Gerais)", IFERROR(VLOOKUP(H432, De_Para!A:B, 2, FALSE), "NÃO MAPEADO"))), IFERROR(VLOOKUP(H432, De_Para!A:B, 2, FALSE), "NÃO MAPEADO"))</f>
        <v/>
      </c>
    </row>
    <row r="433">
      <c r="A433" s="2" t="inlineStr">
        <is>
          <t>69254</t>
        </is>
      </c>
      <c r="B433" s="2" t="inlineStr">
        <is>
          <t>Sicoob</t>
        </is>
      </c>
      <c r="C433" s="2" t="inlineStr">
        <is>
          <t>22/06/2026</t>
        </is>
      </c>
      <c r="D433" s="2" t="inlineStr">
        <is>
          <t>22/06/2026</t>
        </is>
      </c>
      <c r="E433" s="2" t="inlineStr">
        <is>
          <t>Dinheiro</t>
        </is>
      </c>
      <c r="F433" s="2" t="inlineStr">
        <is>
          <t>Boleto "68348" do cliente "JOSE TIAGO SANTOS"</t>
        </is>
      </c>
      <c r="G433" s="2" t="inlineStr">
        <is>
          <t>system</t>
        </is>
      </c>
      <c r="H433" s="2" t="inlineStr">
        <is>
          <t>02.03.02.01 : Cobrança Bancaria</t>
        </is>
      </c>
      <c r="I433" s="2" t="n"/>
      <c r="J433" s="3" t="n">
        <v>-0.88</v>
      </c>
      <c r="K433" s="2">
        <f>IF(H433="02.09 : Outras Saídas", IF(OR(ISNUMBER(SEARCH("CHEQUE COMPE SICREDI", F433)), ISNUMBER(SEARCH("aniversario", F433)), ISNUMBER(SEARCH("churrasco", F433)), ISNUMBER(SEARCH("bolo", F433)), ISNUMBER(SEARCH("SUPERMERCADO", F433))), "6.1 Despesas Administrativas (Pessoal)", IF(OR(ISNUMBER(SEARCH("DLKNET", F433)), ISNUMBER(SEARCH("TESTE", F433))), "6.1 Despesas Administrativas (Gerais)", IFERROR(VLOOKUP(H433, De_Para!A:B, 2, FALSE), "NÃO MAPEADO"))), IFERROR(VLOOKUP(H433, De_Para!A:B, 2, FALSE), "NÃO MAPEADO"))</f>
        <v/>
      </c>
    </row>
    <row r="434">
      <c r="A434" s="2" t="inlineStr">
        <is>
          <t>69253</t>
        </is>
      </c>
      <c r="B434" s="2" t="inlineStr">
        <is>
          <t>Sicoob</t>
        </is>
      </c>
      <c r="C434" s="2" t="inlineStr">
        <is>
          <t>22/06/2026</t>
        </is>
      </c>
      <c r="D434" s="2" t="inlineStr">
        <is>
          <t>22/06/2026</t>
        </is>
      </c>
      <c r="E434" s="2" t="inlineStr">
        <is>
          <t>Dinheiro</t>
        </is>
      </c>
      <c r="F434" s="2" t="inlineStr">
        <is>
          <t>Boleto "68348" do cliente "JOSE TIAGO SANTOS"</t>
        </is>
      </c>
      <c r="G434" s="2" t="inlineStr">
        <is>
          <t>system</t>
        </is>
      </c>
      <c r="H434" s="2" t="inlineStr">
        <is>
          <t>01.01.01 : Mensalidade</t>
        </is>
      </c>
      <c r="I434" s="3" t="n">
        <v>112.52</v>
      </c>
      <c r="J434" s="2" t="n"/>
      <c r="K434" s="2">
        <f>IF(H434="02.09 : Outras Saídas", IF(OR(ISNUMBER(SEARCH("CHEQUE COMPE SICREDI", F434)), ISNUMBER(SEARCH("aniversario", F434)), ISNUMBER(SEARCH("churrasco", F434)), ISNUMBER(SEARCH("bolo", F434)), ISNUMBER(SEARCH("SUPERMERCADO", F434))), "6.1 Despesas Administrativas (Pessoal)", IF(OR(ISNUMBER(SEARCH("DLKNET", F434)), ISNUMBER(SEARCH("TESTE", F434))), "6.1 Despesas Administrativas (Gerais)", IFERROR(VLOOKUP(H434, De_Para!A:B, 2, FALSE), "NÃO MAPEADO"))), IFERROR(VLOOKUP(H434, De_Para!A:B, 2, FALSE), "NÃO MAPEADO"))</f>
        <v/>
      </c>
    </row>
    <row r="435">
      <c r="A435" s="2" t="inlineStr">
        <is>
          <t>69252</t>
        </is>
      </c>
      <c r="B435" s="2" t="inlineStr">
        <is>
          <t>Sicoob</t>
        </is>
      </c>
      <c r="C435" s="2" t="inlineStr">
        <is>
          <t>22/06/2026</t>
        </is>
      </c>
      <c r="D435" s="2" t="inlineStr">
        <is>
          <t>22/06/2026</t>
        </is>
      </c>
      <c r="E435" s="2" t="inlineStr">
        <is>
          <t>Dinheiro</t>
        </is>
      </c>
      <c r="F435" s="2" t="inlineStr">
        <is>
          <t>Boleto "59126" do cliente "NAIR RIBEIRO DO VALE"</t>
        </is>
      </c>
      <c r="G435" s="2" t="inlineStr">
        <is>
          <t>system</t>
        </is>
      </c>
      <c r="H435" s="2" t="inlineStr">
        <is>
          <t>02.03.02.01 : Cobrança Bancaria</t>
        </is>
      </c>
      <c r="I435" s="2" t="n"/>
      <c r="J435" s="3" t="n">
        <v>-0.88</v>
      </c>
      <c r="K435" s="2">
        <f>IF(H435="02.09 : Outras Saídas", IF(OR(ISNUMBER(SEARCH("CHEQUE COMPE SICREDI", F435)), ISNUMBER(SEARCH("aniversario", F435)), ISNUMBER(SEARCH("churrasco", F435)), ISNUMBER(SEARCH("bolo", F435)), ISNUMBER(SEARCH("SUPERMERCADO", F435))), "6.1 Despesas Administrativas (Pessoal)", IF(OR(ISNUMBER(SEARCH("DLKNET", F435)), ISNUMBER(SEARCH("TESTE", F435))), "6.1 Despesas Administrativas (Gerais)", IFERROR(VLOOKUP(H435, De_Para!A:B, 2, FALSE), "NÃO MAPEADO"))), IFERROR(VLOOKUP(H435, De_Para!A:B, 2, FALSE), "NÃO MAPEADO"))</f>
        <v/>
      </c>
    </row>
    <row r="436">
      <c r="A436" s="2" t="inlineStr">
        <is>
          <t>69251</t>
        </is>
      </c>
      <c r="B436" s="2" t="inlineStr">
        <is>
          <t>Sicoob</t>
        </is>
      </c>
      <c r="C436" s="2" t="inlineStr">
        <is>
          <t>22/06/2026</t>
        </is>
      </c>
      <c r="D436" s="2" t="inlineStr">
        <is>
          <t>22/06/2026</t>
        </is>
      </c>
      <c r="E436" s="2" t="inlineStr">
        <is>
          <t>Dinheiro</t>
        </is>
      </c>
      <c r="F436" s="2" t="inlineStr">
        <is>
          <t>Boleto "59126" do cliente "NAIR RIBEIRO DO VALE"</t>
        </is>
      </c>
      <c r="G436" s="2" t="inlineStr">
        <is>
          <t>system</t>
        </is>
      </c>
      <c r="H436" s="2" t="inlineStr">
        <is>
          <t>01.01.01 : Mensalidade</t>
        </is>
      </c>
      <c r="I436" s="3" t="n">
        <v>80</v>
      </c>
      <c r="J436" s="2" t="n"/>
      <c r="K436" s="2">
        <f>IF(H436="02.09 : Outras Saídas", IF(OR(ISNUMBER(SEARCH("CHEQUE COMPE SICREDI", F436)), ISNUMBER(SEARCH("aniversario", F436)), ISNUMBER(SEARCH("churrasco", F436)), ISNUMBER(SEARCH("bolo", F436)), ISNUMBER(SEARCH("SUPERMERCADO", F436))), "6.1 Despesas Administrativas (Pessoal)", IF(OR(ISNUMBER(SEARCH("DLKNET", F436)), ISNUMBER(SEARCH("TESTE", F436))), "6.1 Despesas Administrativas (Gerais)", IFERROR(VLOOKUP(H436, De_Para!A:B, 2, FALSE), "NÃO MAPEADO"))), IFERROR(VLOOKUP(H436, De_Para!A:B, 2, FALSE), "NÃO MAPEADO"))</f>
        <v/>
      </c>
    </row>
    <row r="437">
      <c r="A437" s="2" t="inlineStr">
        <is>
          <t>69250</t>
        </is>
      </c>
      <c r="B437" s="2" t="inlineStr">
        <is>
          <t>Sicoob</t>
        </is>
      </c>
      <c r="C437" s="2" t="inlineStr">
        <is>
          <t>22/06/2026</t>
        </is>
      </c>
      <c r="D437" s="2" t="inlineStr">
        <is>
          <t>19/06/2026</t>
        </is>
      </c>
      <c r="E437" s="2" t="inlineStr">
        <is>
          <t>Débito em Conta</t>
        </is>
      </c>
      <c r="F437" s="2" t="inlineStr">
        <is>
          <t>TARIFA COBRANÇA</t>
        </is>
      </c>
      <c r="G437" s="2" t="inlineStr">
        <is>
          <t>clau</t>
        </is>
      </c>
      <c r="H437" s="2" t="inlineStr">
        <is>
          <t>02.03.03.01 : Tarifas Bancarias</t>
        </is>
      </c>
      <c r="I437" s="2" t="n"/>
      <c r="J437" s="3" t="n">
        <v>-12.02</v>
      </c>
      <c r="K437" s="2">
        <f>IF(H437="02.09 : Outras Saídas", IF(OR(ISNUMBER(SEARCH("CHEQUE COMPE SICREDI", F437)), ISNUMBER(SEARCH("aniversario", F437)), ISNUMBER(SEARCH("churrasco", F437)), ISNUMBER(SEARCH("bolo", F437)), ISNUMBER(SEARCH("SUPERMERCADO", F437))), "6.1 Despesas Administrativas (Pessoal)", IF(OR(ISNUMBER(SEARCH("DLKNET", F437)), ISNUMBER(SEARCH("TESTE", F437))), "6.1 Despesas Administrativas (Gerais)", IFERROR(VLOOKUP(H437, De_Para!A:B, 2, FALSE), "NÃO MAPEADO"))), IFERROR(VLOOKUP(H437, De_Para!A:B, 2, FALSE), "NÃO MAPEADO"))</f>
        <v/>
      </c>
    </row>
    <row r="438">
      <c r="A438" s="2" t="inlineStr">
        <is>
          <t>69249</t>
        </is>
      </c>
      <c r="B438" s="2" t="inlineStr">
        <is>
          <t>Sicoob</t>
        </is>
      </c>
      <c r="C438" s="2" t="inlineStr">
        <is>
          <t>22/06/2026</t>
        </is>
      </c>
      <c r="D438" s="2" t="inlineStr">
        <is>
          <t>22/06/2026</t>
        </is>
      </c>
      <c r="E438" s="2" t="inlineStr">
        <is>
          <t>PIX</t>
        </is>
      </c>
      <c r="F438" s="2" t="inlineStr">
        <is>
          <t>PIX EMITIDO OUTRA IF - MESMA TIT._x000D_
Pagamento Pix_x000D_
10.145.409 0001-50_x000D_
transferencia entr contas</t>
        </is>
      </c>
      <c r="G438" s="2" t="inlineStr">
        <is>
          <t>clau</t>
        </is>
      </c>
      <c r="H438" s="2" t="inlineStr">
        <is>
          <t>03.02 : TRANSFERENCIA ENTRE CONTAS</t>
        </is>
      </c>
      <c r="I438" s="2" t="n"/>
      <c r="J438" s="3" t="n">
        <v>-4680</v>
      </c>
      <c r="K438" s="2">
        <f>IF(H438="02.09 : Outras Saídas", IF(OR(ISNUMBER(SEARCH("CHEQUE COMPE SICREDI", F438)), ISNUMBER(SEARCH("aniversario", F438)), ISNUMBER(SEARCH("churrasco", F438)), ISNUMBER(SEARCH("bolo", F438)), ISNUMBER(SEARCH("SUPERMERCADO", F438))), "6.1 Despesas Administrativas (Pessoal)", IF(OR(ISNUMBER(SEARCH("DLKNET", F438)), ISNUMBER(SEARCH("TESTE", F438))), "6.1 Despesas Administrativas (Gerais)", IFERROR(VLOOKUP(H438, De_Para!A:B, 2, FALSE), "NÃO MAPEADO"))), IFERROR(VLOOKUP(H438, De_Para!A:B, 2, FALSE), "NÃO MAPEADO"))</f>
        <v/>
      </c>
    </row>
    <row r="439">
      <c r="A439" s="2" t="inlineStr">
        <is>
          <t>69248</t>
        </is>
      </c>
      <c r="B439" s="2" t="inlineStr">
        <is>
          <t>Sicredi SNI</t>
        </is>
      </c>
      <c r="C439" s="2" t="inlineStr">
        <is>
          <t>22/06/2026</t>
        </is>
      </c>
      <c r="D439" s="2" t="inlineStr">
        <is>
          <t>22/06/2026</t>
        </is>
      </c>
      <c r="E439" s="2" t="inlineStr">
        <is>
          <t>PIX</t>
        </is>
      </c>
      <c r="F439" s="2" t="inlineStr">
        <is>
          <t>RECEBIMENTO PIX 10145409000150 SNI TELECOM LTDA SICOOB</t>
        </is>
      </c>
      <c r="G439" s="2" t="inlineStr">
        <is>
          <t>clau</t>
        </is>
      </c>
      <c r="H439" s="2" t="inlineStr">
        <is>
          <t>TRANSF.ENTRE CONTAS : 02.12</t>
        </is>
      </c>
      <c r="I439" s="3" t="n">
        <v>4680</v>
      </c>
      <c r="J439" s="2" t="n"/>
      <c r="K439" s="2">
        <f>IF(H439="02.09 : Outras Saídas", IF(OR(ISNUMBER(SEARCH("CHEQUE COMPE SICREDI", F439)), ISNUMBER(SEARCH("aniversario", F439)), ISNUMBER(SEARCH("churrasco", F439)), ISNUMBER(SEARCH("bolo", F439)), ISNUMBER(SEARCH("SUPERMERCADO", F439))), "6.1 Despesas Administrativas (Pessoal)", IF(OR(ISNUMBER(SEARCH("DLKNET", F439)), ISNUMBER(SEARCH("TESTE", F439))), "6.1 Despesas Administrativas (Gerais)", IFERROR(VLOOKUP(H439, De_Para!A:B, 2, FALSE), "NÃO MAPEADO"))), IFERROR(VLOOKUP(H439, De_Para!A:B, 2, FALSE), "NÃO MAPEADO"))</f>
        <v/>
      </c>
    </row>
    <row r="440">
      <c r="A440" s="2" t="inlineStr">
        <is>
          <t>69247</t>
        </is>
      </c>
      <c r="B440" s="2" t="inlineStr">
        <is>
          <t>Sicredi SNI</t>
        </is>
      </c>
      <c r="C440" s="2" t="inlineStr">
        <is>
          <t>22/06/2026</t>
        </is>
      </c>
      <c r="D440" s="2" t="inlineStr">
        <is>
          <t>16/06/2026</t>
        </is>
      </c>
      <c r="E440" s="2" t="inlineStr">
        <is>
          <t>Débito em Conta</t>
        </is>
      </c>
      <c r="F440" s="2" t="inlineStr">
        <is>
          <t>TARIFA COM R LIQUIDACAO</t>
        </is>
      </c>
      <c r="G440" s="2" t="inlineStr">
        <is>
          <t>clau</t>
        </is>
      </c>
      <c r="H440" s="2" t="inlineStr">
        <is>
          <t>02.03.03.09 : TARIFA COM R LIQUIDACAO</t>
        </is>
      </c>
      <c r="I440" s="2" t="n"/>
      <c r="J440" s="3" t="n">
        <v>-0.85</v>
      </c>
      <c r="K440" s="2">
        <f>IF(H440="02.09 : Outras Saídas", IF(OR(ISNUMBER(SEARCH("CHEQUE COMPE SICREDI", F440)), ISNUMBER(SEARCH("aniversario", F440)), ISNUMBER(SEARCH("churrasco", F440)), ISNUMBER(SEARCH("bolo", F440)), ISNUMBER(SEARCH("SUPERMERCADO", F440))), "6.1 Despesas Administrativas (Pessoal)", IF(OR(ISNUMBER(SEARCH("DLKNET", F440)), ISNUMBER(SEARCH("TESTE", F440))), "6.1 Despesas Administrativas (Gerais)", IFERROR(VLOOKUP(H440, De_Para!A:B, 2, FALSE), "NÃO MAPEADO"))), IFERROR(VLOOKUP(H440, De_Para!A:B, 2, FALSE), "NÃO MAPEADO"))</f>
        <v/>
      </c>
    </row>
    <row r="441">
      <c r="A441" s="2" t="inlineStr">
        <is>
          <t>69246</t>
        </is>
      </c>
      <c r="B441" s="2" t="inlineStr">
        <is>
          <t>Sicredi SNI</t>
        </is>
      </c>
      <c r="C441" s="2" t="inlineStr">
        <is>
          <t>22/06/2026</t>
        </is>
      </c>
      <c r="D441" s="2" t="inlineStr">
        <is>
          <t>17/06/2026</t>
        </is>
      </c>
      <c r="E441" s="2" t="inlineStr">
        <is>
          <t>Débito em Conta</t>
        </is>
      </c>
      <c r="F441" s="2" t="inlineStr">
        <is>
          <t>TARIFA COM R LIQUIDACAO</t>
        </is>
      </c>
      <c r="G441" s="2" t="inlineStr">
        <is>
          <t>clau</t>
        </is>
      </c>
      <c r="H441" s="2" t="inlineStr">
        <is>
          <t>02.03.03.09 : TARIFA COM R LIQUIDACAO</t>
        </is>
      </c>
      <c r="I441" s="2" t="n"/>
      <c r="J441" s="3" t="n">
        <v>-3.4</v>
      </c>
      <c r="K441" s="2">
        <f>IF(H441="02.09 : Outras Saídas", IF(OR(ISNUMBER(SEARCH("CHEQUE COMPE SICREDI", F441)), ISNUMBER(SEARCH("aniversario", F441)), ISNUMBER(SEARCH("churrasco", F441)), ISNUMBER(SEARCH("bolo", F441)), ISNUMBER(SEARCH("SUPERMERCADO", F441))), "6.1 Despesas Administrativas (Pessoal)", IF(OR(ISNUMBER(SEARCH("DLKNET", F441)), ISNUMBER(SEARCH("TESTE", F441))), "6.1 Despesas Administrativas (Gerais)", IFERROR(VLOOKUP(H441, De_Para!A:B, 2, FALSE), "NÃO MAPEADO"))), IFERROR(VLOOKUP(H441, De_Para!A:B, 2, FALSE), "NÃO MAPEADO"))</f>
        <v/>
      </c>
    </row>
    <row r="442">
      <c r="A442" s="2" t="inlineStr">
        <is>
          <t>69245</t>
        </is>
      </c>
      <c r="B442" s="2" t="inlineStr">
        <is>
          <t>Sicredi SNI</t>
        </is>
      </c>
      <c r="C442" s="2" t="inlineStr">
        <is>
          <t>22/06/2026</t>
        </is>
      </c>
      <c r="D442" s="2" t="inlineStr">
        <is>
          <t>17/06/2026</t>
        </is>
      </c>
      <c r="E442" s="2" t="inlineStr">
        <is>
          <t>Boleto</t>
        </is>
      </c>
      <c r="F442" s="2" t="inlineStr">
        <is>
          <t>LIQUIDACAO BOLETO SICREDI 84966084000102 NOROEST Bateria SNI</t>
        </is>
      </c>
      <c r="G442" s="2" t="inlineStr">
        <is>
          <t>clau</t>
        </is>
      </c>
      <c r="H442" s="2" t="inlineStr">
        <is>
          <t>02.01.03.01 : Reposição de Ferramentas</t>
        </is>
      </c>
      <c r="I442" s="2" t="n"/>
      <c r="J442" s="3" t="n">
        <v>-541</v>
      </c>
      <c r="K442" s="2">
        <f>IF(H442="02.09 : Outras Saídas", IF(OR(ISNUMBER(SEARCH("CHEQUE COMPE SICREDI", F442)), ISNUMBER(SEARCH("aniversario", F442)), ISNUMBER(SEARCH("churrasco", F442)), ISNUMBER(SEARCH("bolo", F442)), ISNUMBER(SEARCH("SUPERMERCADO", F442))), "6.1 Despesas Administrativas (Pessoal)", IF(OR(ISNUMBER(SEARCH("DLKNET", F442)), ISNUMBER(SEARCH("TESTE", F442))), "6.1 Despesas Administrativas (Gerais)", IFERROR(VLOOKUP(H442, De_Para!A:B, 2, FALSE), "NÃO MAPEADO"))), IFERROR(VLOOKUP(H442, De_Para!A:B, 2, FALSE), "NÃO MAPEADO"))</f>
        <v/>
      </c>
    </row>
    <row r="443">
      <c r="A443" s="2" t="inlineStr">
        <is>
          <t>69244</t>
        </is>
      </c>
      <c r="B443" s="2" t="inlineStr">
        <is>
          <t>Sicredi SNI</t>
        </is>
      </c>
      <c r="C443" s="2" t="inlineStr">
        <is>
          <t>22/06/2026</t>
        </is>
      </c>
      <c r="D443" s="2" t="inlineStr">
        <is>
          <t>17/06/2026</t>
        </is>
      </c>
      <c r="E443" s="2" t="inlineStr">
        <is>
          <t>PIX</t>
        </is>
      </c>
      <c r="F443" s="2" t="inlineStr">
        <is>
          <t>PAGAMENTO PIX 00974731000138 FRANGOS PIONEIRO IN	 Maná Beer</t>
        </is>
      </c>
      <c r="G443" s="2" t="inlineStr">
        <is>
          <t>clau</t>
        </is>
      </c>
      <c r="H443" s="2" t="inlineStr">
        <is>
          <t>02.03.02.07 : Pro-Labore</t>
        </is>
      </c>
      <c r="I443" s="2" t="n"/>
      <c r="J443" s="3" t="n">
        <v>-486.36</v>
      </c>
      <c r="K443" s="2">
        <f>IF(H443="02.09 : Outras Saídas", IF(OR(ISNUMBER(SEARCH("CHEQUE COMPE SICREDI", F443)), ISNUMBER(SEARCH("aniversario", F443)), ISNUMBER(SEARCH("churrasco", F443)), ISNUMBER(SEARCH("bolo", F443)), ISNUMBER(SEARCH("SUPERMERCADO", F443))), "6.1 Despesas Administrativas (Pessoal)", IF(OR(ISNUMBER(SEARCH("DLKNET", F443)), ISNUMBER(SEARCH("TESTE", F443))), "6.1 Despesas Administrativas (Gerais)", IFERROR(VLOOKUP(H443, De_Para!A:B, 2, FALSE), "NÃO MAPEADO"))), IFERROR(VLOOKUP(H443, De_Para!A:B, 2, FALSE), "NÃO MAPEADO"))</f>
        <v/>
      </c>
    </row>
    <row r="444">
      <c r="A444" s="2" t="inlineStr">
        <is>
          <t>69243</t>
        </is>
      </c>
      <c r="B444" s="2" t="inlineStr">
        <is>
          <t>Sicredi SNI</t>
        </is>
      </c>
      <c r="C444" s="2" t="inlineStr">
        <is>
          <t>22/06/2026</t>
        </is>
      </c>
      <c r="D444" s="2" t="inlineStr">
        <is>
          <t>18/06/2026</t>
        </is>
      </c>
      <c r="E444" s="2" t="inlineStr">
        <is>
          <t>Débito em Conta</t>
        </is>
      </c>
      <c r="F444" s="2" t="inlineStr">
        <is>
          <t>TARIFA COM R LIQUIDACAO</t>
        </is>
      </c>
      <c r="G444" s="2" t="inlineStr">
        <is>
          <t>clau</t>
        </is>
      </c>
      <c r="H444" s="2" t="inlineStr">
        <is>
          <t>02.03.03.09 : TARIFA COM R LIQUIDACAO</t>
        </is>
      </c>
      <c r="I444" s="2" t="n"/>
      <c r="J444" s="3" t="n">
        <v>-0.85</v>
      </c>
      <c r="K444" s="2">
        <f>IF(H444="02.09 : Outras Saídas", IF(OR(ISNUMBER(SEARCH("CHEQUE COMPE SICREDI", F444)), ISNUMBER(SEARCH("aniversario", F444)), ISNUMBER(SEARCH("churrasco", F444)), ISNUMBER(SEARCH("bolo", F444)), ISNUMBER(SEARCH("SUPERMERCADO", F444))), "6.1 Despesas Administrativas (Pessoal)", IF(OR(ISNUMBER(SEARCH("DLKNET", F444)), ISNUMBER(SEARCH("TESTE", F444))), "6.1 Despesas Administrativas (Gerais)", IFERROR(VLOOKUP(H444, De_Para!A:B, 2, FALSE), "NÃO MAPEADO"))), IFERROR(VLOOKUP(H444, De_Para!A:B, 2, FALSE), "NÃO MAPEADO"))</f>
        <v/>
      </c>
    </row>
    <row r="445">
      <c r="A445" s="2" t="inlineStr">
        <is>
          <t>69242</t>
        </is>
      </c>
      <c r="B445" s="2" t="inlineStr">
        <is>
          <t>Sicredi SNI</t>
        </is>
      </c>
      <c r="C445" s="2" t="inlineStr">
        <is>
          <t>22/06/2026</t>
        </is>
      </c>
      <c r="D445" s="2" t="inlineStr">
        <is>
          <t>18/06/2026</t>
        </is>
      </c>
      <c r="E445" s="2" t="inlineStr">
        <is>
          <t>Débito em Conta</t>
        </is>
      </c>
      <c r="F445" s="2" t="inlineStr">
        <is>
          <t>TARIFA COM R LIQUIDACAO</t>
        </is>
      </c>
      <c r="G445" s="2" t="inlineStr">
        <is>
          <t>clau</t>
        </is>
      </c>
      <c r="H445" s="2" t="inlineStr">
        <is>
          <t>02.03.03.09 : TARIFA COM R LIQUIDACAO</t>
        </is>
      </c>
      <c r="I445" s="2" t="n"/>
      <c r="J445" s="3" t="n">
        <v>-0.85</v>
      </c>
      <c r="K445" s="2">
        <f>IF(H445="02.09 : Outras Saídas", IF(OR(ISNUMBER(SEARCH("CHEQUE COMPE SICREDI", F445)), ISNUMBER(SEARCH("aniversario", F445)), ISNUMBER(SEARCH("churrasco", F445)), ISNUMBER(SEARCH("bolo", F445)), ISNUMBER(SEARCH("SUPERMERCADO", F445))), "6.1 Despesas Administrativas (Pessoal)", IF(OR(ISNUMBER(SEARCH("DLKNET", F445)), ISNUMBER(SEARCH("TESTE", F445))), "6.1 Despesas Administrativas (Gerais)", IFERROR(VLOOKUP(H445, De_Para!A:B, 2, FALSE), "NÃO MAPEADO"))), IFERROR(VLOOKUP(H445, De_Para!A:B, 2, FALSE), "NÃO MAPEADO"))</f>
        <v/>
      </c>
    </row>
    <row r="446">
      <c r="A446" s="2" t="inlineStr">
        <is>
          <t>69241</t>
        </is>
      </c>
      <c r="B446" s="2" t="inlineStr">
        <is>
          <t>Sicredi SNI</t>
        </is>
      </c>
      <c r="C446" s="2" t="inlineStr">
        <is>
          <t>22/06/2026</t>
        </is>
      </c>
      <c r="D446" s="2" t="inlineStr">
        <is>
          <t>18/06/2026</t>
        </is>
      </c>
      <c r="E446" s="2" t="inlineStr">
        <is>
          <t>PIX</t>
        </is>
      </c>
      <c r="F446" s="2" t="inlineStr">
        <is>
          <t>PAGAMENTO PIX 50716983000135 COONECTA</t>
        </is>
      </c>
      <c r="G446" s="2" t="inlineStr">
        <is>
          <t>clau</t>
        </is>
      </c>
      <c r="H446" s="2" t="inlineStr">
        <is>
          <t>02.10.01 : SEGURO CARRO</t>
        </is>
      </c>
      <c r="I446" s="2" t="n"/>
      <c r="J446" s="3" t="n">
        <v>-239</v>
      </c>
      <c r="K446" s="2">
        <f>IF(H446="02.09 : Outras Saídas", IF(OR(ISNUMBER(SEARCH("CHEQUE COMPE SICREDI", F446)), ISNUMBER(SEARCH("aniversario", F446)), ISNUMBER(SEARCH("churrasco", F446)), ISNUMBER(SEARCH("bolo", F446)), ISNUMBER(SEARCH("SUPERMERCADO", F446))), "6.1 Despesas Administrativas (Pessoal)", IF(OR(ISNUMBER(SEARCH("DLKNET", F446)), ISNUMBER(SEARCH("TESTE", F446))), "6.1 Despesas Administrativas (Gerais)", IFERROR(VLOOKUP(H446, De_Para!A:B, 2, FALSE), "NÃO MAPEADO"))), IFERROR(VLOOKUP(H446, De_Para!A:B, 2, FALSE), "NÃO MAPEADO"))</f>
        <v/>
      </c>
    </row>
    <row r="447">
      <c r="A447" s="2" t="inlineStr">
        <is>
          <t>69240</t>
        </is>
      </c>
      <c r="B447" s="2" t="inlineStr">
        <is>
          <t>Sicredi SNI</t>
        </is>
      </c>
      <c r="C447" s="2" t="inlineStr">
        <is>
          <t>22/06/2026</t>
        </is>
      </c>
      <c r="D447" s="2" t="inlineStr">
        <is>
          <t>18/06/2026</t>
        </is>
      </c>
      <c r="E447" s="2" t="inlineStr">
        <is>
          <t>PIX</t>
        </is>
      </c>
      <c r="F447" s="2" t="inlineStr">
        <is>
          <t>PAGAMENTO PIX 02690815931 BRIGIDA APARECIDA DOS</t>
        </is>
      </c>
      <c r="G447" s="2" t="inlineStr">
        <is>
          <t>clau</t>
        </is>
      </c>
      <c r="H447" s="2" t="inlineStr">
        <is>
          <t>02.03.02.26 : Diarista</t>
        </is>
      </c>
      <c r="I447" s="2" t="n"/>
      <c r="J447" s="3" t="n">
        <v>-140</v>
      </c>
      <c r="K447" s="2">
        <f>IF(H447="02.09 : Outras Saídas", IF(OR(ISNUMBER(SEARCH("CHEQUE COMPE SICREDI", F447)), ISNUMBER(SEARCH("aniversario", F447)), ISNUMBER(SEARCH("churrasco", F447)), ISNUMBER(SEARCH("bolo", F447)), ISNUMBER(SEARCH("SUPERMERCADO", F447))), "6.1 Despesas Administrativas (Pessoal)", IF(OR(ISNUMBER(SEARCH("DLKNET", F447)), ISNUMBER(SEARCH("TESTE", F447))), "6.1 Despesas Administrativas (Gerais)", IFERROR(VLOOKUP(H447, De_Para!A:B, 2, FALSE), "NÃO MAPEADO"))), IFERROR(VLOOKUP(H447, De_Para!A:B, 2, FALSE), "NÃO MAPEADO"))</f>
        <v/>
      </c>
    </row>
    <row r="448">
      <c r="A448" s="2" t="inlineStr">
        <is>
          <t>69239</t>
        </is>
      </c>
      <c r="B448" s="2" t="inlineStr">
        <is>
          <t>Sicredi SNI</t>
        </is>
      </c>
      <c r="C448" s="2" t="inlineStr">
        <is>
          <t>22/06/2026</t>
        </is>
      </c>
      <c r="D448" s="2" t="inlineStr">
        <is>
          <t>18/06/2026</t>
        </is>
      </c>
      <c r="E448" s="2" t="inlineStr">
        <is>
          <t>Boleto</t>
        </is>
      </c>
      <c r="F448" s="2" t="inlineStr">
        <is>
          <t>LIQUIDACAO BOLETO SICREDI 05923676000170 DIST EN</t>
        </is>
      </c>
      <c r="G448" s="2" t="inlineStr">
        <is>
          <t>clau</t>
        </is>
      </c>
      <c r="H448" s="2" t="inlineStr">
        <is>
          <t>02.03.02.07 : Pro-Labore</t>
        </is>
      </c>
      <c r="I448" s="2" t="n"/>
      <c r="J448" s="3" t="n">
        <v>-293.76</v>
      </c>
      <c r="K448" s="2">
        <f>IF(H448="02.09 : Outras Saídas", IF(OR(ISNUMBER(SEARCH("CHEQUE COMPE SICREDI", F448)), ISNUMBER(SEARCH("aniversario", F448)), ISNUMBER(SEARCH("churrasco", F448)), ISNUMBER(SEARCH("bolo", F448)), ISNUMBER(SEARCH("SUPERMERCADO", F448))), "6.1 Despesas Administrativas (Pessoal)", IF(OR(ISNUMBER(SEARCH("DLKNET", F448)), ISNUMBER(SEARCH("TESTE", F448))), "6.1 Despesas Administrativas (Gerais)", IFERROR(VLOOKUP(H448, De_Para!A:B, 2, FALSE), "NÃO MAPEADO"))), IFERROR(VLOOKUP(H448, De_Para!A:B, 2, FALSE), "NÃO MAPEADO"))</f>
        <v/>
      </c>
    </row>
    <row r="449">
      <c r="A449" s="2" t="inlineStr">
        <is>
          <t>69238</t>
        </is>
      </c>
      <c r="B449" s="2" t="inlineStr">
        <is>
          <t>Sicredi SNI</t>
        </is>
      </c>
      <c r="C449" s="2" t="inlineStr">
        <is>
          <t>22/06/2026</t>
        </is>
      </c>
      <c r="D449" s="2" t="inlineStr">
        <is>
          <t>19/06/2026</t>
        </is>
      </c>
      <c r="E449" s="2" t="inlineStr">
        <is>
          <t>Débito em Conta</t>
        </is>
      </c>
      <c r="F449" s="2" t="inlineStr">
        <is>
          <t>TARIFA COM R LIQUIDACAO</t>
        </is>
      </c>
      <c r="G449" s="2" t="inlineStr">
        <is>
          <t>clau</t>
        </is>
      </c>
      <c r="H449" s="2" t="inlineStr">
        <is>
          <t>02.03.03.09 : TARIFA COM R LIQUIDACAO</t>
        </is>
      </c>
      <c r="I449" s="2" t="n"/>
      <c r="J449" s="3" t="n">
        <v>-4.25</v>
      </c>
      <c r="K449" s="2">
        <f>IF(H449="02.09 : Outras Saídas", IF(OR(ISNUMBER(SEARCH("CHEQUE COMPE SICREDI", F449)), ISNUMBER(SEARCH("aniversario", F449)), ISNUMBER(SEARCH("churrasco", F449)), ISNUMBER(SEARCH("bolo", F449)), ISNUMBER(SEARCH("SUPERMERCADO", F449))), "6.1 Despesas Administrativas (Pessoal)", IF(OR(ISNUMBER(SEARCH("DLKNET", F449)), ISNUMBER(SEARCH("TESTE", F449))), "6.1 Despesas Administrativas (Gerais)", IFERROR(VLOOKUP(H449, De_Para!A:B, 2, FALSE), "NÃO MAPEADO"))), IFERROR(VLOOKUP(H449, De_Para!A:B, 2, FALSE), "NÃO MAPEADO"))</f>
        <v/>
      </c>
    </row>
    <row r="450">
      <c r="A450" s="2" t="inlineStr">
        <is>
          <t>69237</t>
        </is>
      </c>
      <c r="B450" s="2" t="inlineStr">
        <is>
          <t>Sicredi SNI</t>
        </is>
      </c>
      <c r="C450" s="2" t="inlineStr">
        <is>
          <t>22/06/2026</t>
        </is>
      </c>
      <c r="D450" s="2" t="inlineStr">
        <is>
          <t>22/06/2026</t>
        </is>
      </c>
      <c r="E450" s="2" t="inlineStr">
        <is>
          <t>PIX</t>
        </is>
      </c>
      <c r="F450" s="2" t="inlineStr">
        <is>
          <t>PAGAMENTO PIX 00394460005887 RECEITA FEDERAL beer</t>
        </is>
      </c>
      <c r="G450" s="2" t="inlineStr">
        <is>
          <t>clau</t>
        </is>
      </c>
      <c r="H450" s="2" t="inlineStr">
        <is>
          <t>02.03.02.07 : Pro-Labore</t>
        </is>
      </c>
      <c r="I450" s="2" t="n"/>
      <c r="J450" s="3" t="n">
        <v>-36.72</v>
      </c>
      <c r="K450" s="2">
        <f>IF(H450="02.09 : Outras Saídas", IF(OR(ISNUMBER(SEARCH("CHEQUE COMPE SICREDI", F450)), ISNUMBER(SEARCH("aniversario", F450)), ISNUMBER(SEARCH("churrasco", F450)), ISNUMBER(SEARCH("bolo", F450)), ISNUMBER(SEARCH("SUPERMERCADO", F450))), "6.1 Despesas Administrativas (Pessoal)", IF(OR(ISNUMBER(SEARCH("DLKNET", F450)), ISNUMBER(SEARCH("TESTE", F450))), "6.1 Despesas Administrativas (Gerais)", IFERROR(VLOOKUP(H450, De_Para!A:B, 2, FALSE), "NÃO MAPEADO"))), IFERROR(VLOOKUP(H450, De_Para!A:B, 2, FALSE), "NÃO MAPEADO"))</f>
        <v/>
      </c>
    </row>
    <row r="451">
      <c r="A451" s="2" t="inlineStr">
        <is>
          <t>69236</t>
        </is>
      </c>
      <c r="B451" s="2" t="inlineStr">
        <is>
          <t>Sicredi SNI</t>
        </is>
      </c>
      <c r="C451" s="2" t="inlineStr">
        <is>
          <t>22/06/2026</t>
        </is>
      </c>
      <c r="D451" s="2" t="inlineStr">
        <is>
          <t>22/06/2026</t>
        </is>
      </c>
      <c r="E451" s="2" t="inlineStr">
        <is>
          <t>PIX</t>
        </is>
      </c>
      <c r="F451" s="2" t="inlineStr">
        <is>
          <t>Pagamento entrada acordo   ref a duas faturas em aberto aluguel poste Copel</t>
        </is>
      </c>
      <c r="G451" s="2" t="inlineStr">
        <is>
          <t>clau</t>
        </is>
      </c>
      <c r="H451" s="2" t="inlineStr">
        <is>
          <t>02.03.04.07 : ALUGUEL POSTE</t>
        </is>
      </c>
      <c r="I451" s="2" t="n"/>
      <c r="J451" s="3" t="n">
        <v>-3780</v>
      </c>
      <c r="K451" s="2">
        <f>IF(H451="02.09 : Outras Saídas", IF(OR(ISNUMBER(SEARCH("CHEQUE COMPE SICREDI", F451)), ISNUMBER(SEARCH("aniversario", F451)), ISNUMBER(SEARCH("churrasco", F451)), ISNUMBER(SEARCH("bolo", F451)), ISNUMBER(SEARCH("SUPERMERCADO", F451))), "6.1 Despesas Administrativas (Pessoal)", IF(OR(ISNUMBER(SEARCH("DLKNET", F451)), ISNUMBER(SEARCH("TESTE", F451))), "6.1 Despesas Administrativas (Gerais)", IFERROR(VLOOKUP(H451, De_Para!A:B, 2, FALSE), "NÃO MAPEADO"))), IFERROR(VLOOKUP(H451, De_Para!A:B, 2, FALSE), "NÃO MAPEADO"))</f>
        <v/>
      </c>
    </row>
    <row r="452">
      <c r="A452" s="2" t="inlineStr">
        <is>
          <t>69235</t>
        </is>
      </c>
      <c r="B452" s="2" t="inlineStr">
        <is>
          <t>Sicredi SNI</t>
        </is>
      </c>
      <c r="C452" s="2" t="inlineStr">
        <is>
          <t>22/06/2026</t>
        </is>
      </c>
      <c r="D452" s="2" t="inlineStr">
        <is>
          <t>22/06/2026</t>
        </is>
      </c>
      <c r="E452" s="2" t="inlineStr">
        <is>
          <t>PIX</t>
        </is>
      </c>
      <c r="F452" s="2" t="inlineStr">
        <is>
          <t>PAGAMENTO PIX 00394460005887 RECEITA FEDERAL SIMPLES BEER</t>
        </is>
      </c>
      <c r="G452" s="2" t="inlineStr">
        <is>
          <t>clau</t>
        </is>
      </c>
      <c r="H452" s="2" t="inlineStr">
        <is>
          <t>02.03.02.07 : Pro-Labore</t>
        </is>
      </c>
      <c r="I452" s="2" t="n"/>
      <c r="J452" s="3" t="n">
        <v>-36.04</v>
      </c>
      <c r="K452" s="2">
        <f>IF(H452="02.09 : Outras Saídas", IF(OR(ISNUMBER(SEARCH("CHEQUE COMPE SICREDI", F452)), ISNUMBER(SEARCH("aniversario", F452)), ISNUMBER(SEARCH("churrasco", F452)), ISNUMBER(SEARCH("bolo", F452)), ISNUMBER(SEARCH("SUPERMERCADO", F452))), "6.1 Despesas Administrativas (Pessoal)", IF(OR(ISNUMBER(SEARCH("DLKNET", F452)), ISNUMBER(SEARCH("TESTE", F452))), "6.1 Despesas Administrativas (Gerais)", IFERROR(VLOOKUP(H452, De_Para!A:B, 2, FALSE), "NÃO MAPEADO"))), IFERROR(VLOOKUP(H452, De_Para!A:B, 2, FALSE), "NÃO MAPEADO"))</f>
        <v/>
      </c>
    </row>
    <row r="453">
      <c r="A453" s="2" t="inlineStr">
        <is>
          <t>69234</t>
        </is>
      </c>
      <c r="B453" s="2" t="inlineStr">
        <is>
          <t>Sicredi SNI</t>
        </is>
      </c>
      <c r="C453" s="2" t="inlineStr">
        <is>
          <t>22/06/2026</t>
        </is>
      </c>
      <c r="D453" s="2" t="inlineStr">
        <is>
          <t>22/06/2026</t>
        </is>
      </c>
      <c r="E453" s="2" t="inlineStr">
        <is>
          <t>PIX</t>
        </is>
      </c>
      <c r="F453" s="2" t="inlineStr">
        <is>
          <t>PAGAMENTO PIX 08454436405 EDIEKES DE SOUSA LOPES</t>
        </is>
      </c>
      <c r="G453" s="2" t="inlineStr">
        <is>
          <t>clau</t>
        </is>
      </c>
      <c r="H453" s="2" t="inlineStr">
        <is>
          <t>02.03.02.25 : Acessoria</t>
        </is>
      </c>
      <c r="I453" s="2" t="n"/>
      <c r="J453" s="3" t="n">
        <v>-800</v>
      </c>
      <c r="K453" s="2">
        <f>IF(H453="02.09 : Outras Saídas", IF(OR(ISNUMBER(SEARCH("CHEQUE COMPE SICREDI", F453)), ISNUMBER(SEARCH("aniversario", F453)), ISNUMBER(SEARCH("churrasco", F453)), ISNUMBER(SEARCH("bolo", F453)), ISNUMBER(SEARCH("SUPERMERCADO", F453))), "6.1 Despesas Administrativas (Pessoal)", IF(OR(ISNUMBER(SEARCH("DLKNET", F453)), ISNUMBER(SEARCH("TESTE", F453))), "6.1 Despesas Administrativas (Gerais)", IFERROR(VLOOKUP(H453, De_Para!A:B, 2, FALSE), "NÃO MAPEADO"))), IFERROR(VLOOKUP(H453, De_Para!A:B, 2, FALSE), "NÃO MAPEADO"))</f>
        <v/>
      </c>
    </row>
    <row r="454">
      <c r="A454" s="2" t="inlineStr">
        <is>
          <t>69233</t>
        </is>
      </c>
      <c r="B454" s="2" t="inlineStr">
        <is>
          <t>Sicredi SNI</t>
        </is>
      </c>
      <c r="C454" s="2" t="inlineStr">
        <is>
          <t>22/06/2026</t>
        </is>
      </c>
      <c r="D454" s="2" t="inlineStr">
        <is>
          <t>22/06/2026</t>
        </is>
      </c>
      <c r="E454" s="2" t="inlineStr">
        <is>
          <t>Débito em Conta</t>
        </is>
      </c>
      <c r="F454" s="2" t="inlineStr">
        <is>
          <t>MANUTENCAO DE TITULOS</t>
        </is>
      </c>
      <c r="G454" s="2" t="inlineStr">
        <is>
          <t>clau</t>
        </is>
      </c>
      <c r="H454" s="2" t="inlineStr">
        <is>
          <t>02.03.03.06 : MANUTENCAO DE TITULOS</t>
        </is>
      </c>
      <c r="I454" s="2" t="n"/>
      <c r="J454" s="3" t="n">
        <v>-5.83</v>
      </c>
      <c r="K454" s="2">
        <f>IF(H454="02.09 : Outras Saídas", IF(OR(ISNUMBER(SEARCH("CHEQUE COMPE SICREDI", F454)), ISNUMBER(SEARCH("aniversario", F454)), ISNUMBER(SEARCH("churrasco", F454)), ISNUMBER(SEARCH("bolo", F454)), ISNUMBER(SEARCH("SUPERMERCADO", F454))), "6.1 Despesas Administrativas (Pessoal)", IF(OR(ISNUMBER(SEARCH("DLKNET", F454)), ISNUMBER(SEARCH("TESTE", F454))), "6.1 Despesas Administrativas (Gerais)", IFERROR(VLOOKUP(H454, De_Para!A:B, 2, FALSE), "NÃO MAPEADO"))), IFERROR(VLOOKUP(H454, De_Para!A:B, 2, FALSE), "NÃO MAPEADO"))</f>
        <v/>
      </c>
    </row>
    <row r="455">
      <c r="A455" s="2" t="inlineStr">
        <is>
          <t>69232</t>
        </is>
      </c>
      <c r="B455" s="2" t="inlineStr">
        <is>
          <t>Sicredi SNI</t>
        </is>
      </c>
      <c r="C455" s="2" t="inlineStr">
        <is>
          <t>22/06/2026</t>
        </is>
      </c>
      <c r="D455" s="2" t="inlineStr">
        <is>
          <t>22/06/2026</t>
        </is>
      </c>
      <c r="E455" s="2" t="inlineStr">
        <is>
          <t>Dinheiro</t>
        </is>
      </c>
      <c r="F455" s="2" t="inlineStr">
        <is>
          <t>Boleto "63487" do cliente "MARINALVA RESENDE MOREIRA"</t>
        </is>
      </c>
      <c r="G455" s="2" t="inlineStr">
        <is>
          <t>system</t>
        </is>
      </c>
      <c r="H455" s="2" t="inlineStr">
        <is>
          <t>02.03.02.01 : Cobrança Bancaria</t>
        </is>
      </c>
      <c r="I455" s="2" t="n"/>
      <c r="J455" s="3" t="n">
        <v>-1.08</v>
      </c>
      <c r="K455" s="2">
        <f>IF(H455="02.09 : Outras Saídas", IF(OR(ISNUMBER(SEARCH("CHEQUE COMPE SICREDI", F455)), ISNUMBER(SEARCH("aniversario", F455)), ISNUMBER(SEARCH("churrasco", F455)), ISNUMBER(SEARCH("bolo", F455)), ISNUMBER(SEARCH("SUPERMERCADO", F455))), "6.1 Despesas Administrativas (Pessoal)", IF(OR(ISNUMBER(SEARCH("DLKNET", F455)), ISNUMBER(SEARCH("TESTE", F455))), "6.1 Despesas Administrativas (Gerais)", IFERROR(VLOOKUP(H455, De_Para!A:B, 2, FALSE), "NÃO MAPEADO"))), IFERROR(VLOOKUP(H455, De_Para!A:B, 2, FALSE), "NÃO MAPEADO"))</f>
        <v/>
      </c>
    </row>
    <row r="456">
      <c r="A456" s="2" t="inlineStr">
        <is>
          <t>69231</t>
        </is>
      </c>
      <c r="B456" s="2" t="inlineStr">
        <is>
          <t>Sicredi SNI</t>
        </is>
      </c>
      <c r="C456" s="2" t="inlineStr">
        <is>
          <t>22/06/2026</t>
        </is>
      </c>
      <c r="D456" s="2" t="inlineStr">
        <is>
          <t>22/06/2026</t>
        </is>
      </c>
      <c r="E456" s="2" t="inlineStr">
        <is>
          <t>Dinheiro</t>
        </is>
      </c>
      <c r="F456" s="2" t="inlineStr">
        <is>
          <t>Boleto "63487" do cliente "MARINALVA RESENDE MOREIRA"</t>
        </is>
      </c>
      <c r="G456" s="2" t="inlineStr">
        <is>
          <t>system</t>
        </is>
      </c>
      <c r="H456" s="2" t="inlineStr">
        <is>
          <t>01.01.01 : Mensalidade</t>
        </is>
      </c>
      <c r="I456" s="3" t="n">
        <v>104.9</v>
      </c>
      <c r="J456" s="2" t="n"/>
      <c r="K456" s="2">
        <f>IF(H456="02.09 : Outras Saídas", IF(OR(ISNUMBER(SEARCH("CHEQUE COMPE SICREDI", F456)), ISNUMBER(SEARCH("aniversario", F456)), ISNUMBER(SEARCH("churrasco", F456)), ISNUMBER(SEARCH("bolo", F456)), ISNUMBER(SEARCH("SUPERMERCADO", F456))), "6.1 Despesas Administrativas (Pessoal)", IF(OR(ISNUMBER(SEARCH("DLKNET", F456)), ISNUMBER(SEARCH("TESTE", F456))), "6.1 Despesas Administrativas (Gerais)", IFERROR(VLOOKUP(H456, De_Para!A:B, 2, FALSE), "NÃO MAPEADO"))), IFERROR(VLOOKUP(H456, De_Para!A:B, 2, FALSE), "NÃO MAPEADO"))</f>
        <v/>
      </c>
    </row>
    <row r="457">
      <c r="A457" s="2" t="inlineStr">
        <is>
          <t>69230</t>
        </is>
      </c>
      <c r="B457" s="2" t="inlineStr">
        <is>
          <t>Sicredi SNI</t>
        </is>
      </c>
      <c r="C457" s="2" t="inlineStr">
        <is>
          <t>22/06/2026</t>
        </is>
      </c>
      <c r="D457" s="2" t="inlineStr">
        <is>
          <t>22/06/2026</t>
        </is>
      </c>
      <c r="E457" s="2" t="inlineStr">
        <is>
          <t>Dinheiro</t>
        </is>
      </c>
      <c r="F457" s="2" t="inlineStr">
        <is>
          <t>Boleto "55778" do cliente "JEVERSON VIEIRA TERSOLD"</t>
        </is>
      </c>
      <c r="G457" s="2" t="inlineStr">
        <is>
          <t>system</t>
        </is>
      </c>
      <c r="H457" s="2" t="inlineStr">
        <is>
          <t>02.03.02.01 : Cobrança Bancaria</t>
        </is>
      </c>
      <c r="I457" s="2" t="n"/>
      <c r="J457" s="3" t="n">
        <v>-1.08</v>
      </c>
      <c r="K457" s="2">
        <f>IF(H457="02.09 : Outras Saídas", IF(OR(ISNUMBER(SEARCH("CHEQUE COMPE SICREDI", F457)), ISNUMBER(SEARCH("aniversario", F457)), ISNUMBER(SEARCH("churrasco", F457)), ISNUMBER(SEARCH("bolo", F457)), ISNUMBER(SEARCH("SUPERMERCADO", F457))), "6.1 Despesas Administrativas (Pessoal)", IF(OR(ISNUMBER(SEARCH("DLKNET", F457)), ISNUMBER(SEARCH("TESTE", F457))), "6.1 Despesas Administrativas (Gerais)", IFERROR(VLOOKUP(H457, De_Para!A:B, 2, FALSE), "NÃO MAPEADO"))), IFERROR(VLOOKUP(H457, De_Para!A:B, 2, FALSE), "NÃO MAPEADO"))</f>
        <v/>
      </c>
    </row>
    <row r="458">
      <c r="A458" s="2" t="inlineStr">
        <is>
          <t>69229</t>
        </is>
      </c>
      <c r="B458" s="2" t="inlineStr">
        <is>
          <t>Sicredi SNI</t>
        </is>
      </c>
      <c r="C458" s="2" t="inlineStr">
        <is>
          <t>22/06/2026</t>
        </is>
      </c>
      <c r="D458" s="2" t="inlineStr">
        <is>
          <t>22/06/2026</t>
        </is>
      </c>
      <c r="E458" s="2" t="inlineStr">
        <is>
          <t>Dinheiro</t>
        </is>
      </c>
      <c r="F458" s="2" t="inlineStr">
        <is>
          <t>Boleto "55778" do cliente "JEVERSON VIEIRA TERSOLD"</t>
        </is>
      </c>
      <c r="G458" s="2" t="inlineStr">
        <is>
          <t>system</t>
        </is>
      </c>
      <c r="H458" s="2" t="inlineStr">
        <is>
          <t>01.01.01 : Mensalidade</t>
        </is>
      </c>
      <c r="I458" s="3" t="n">
        <v>107.58</v>
      </c>
      <c r="J458" s="2" t="n"/>
      <c r="K458" s="2">
        <f>IF(H458="02.09 : Outras Saídas", IF(OR(ISNUMBER(SEARCH("CHEQUE COMPE SICREDI", F458)), ISNUMBER(SEARCH("aniversario", F458)), ISNUMBER(SEARCH("churrasco", F458)), ISNUMBER(SEARCH("bolo", F458)), ISNUMBER(SEARCH("SUPERMERCADO", F458))), "6.1 Despesas Administrativas (Pessoal)", IF(OR(ISNUMBER(SEARCH("DLKNET", F458)), ISNUMBER(SEARCH("TESTE", F458))), "6.1 Despesas Administrativas (Gerais)", IFERROR(VLOOKUP(H458, De_Para!A:B, 2, FALSE), "NÃO MAPEADO"))), IFERROR(VLOOKUP(H458, De_Para!A:B, 2, FALSE), "NÃO MAPEADO"))</f>
        <v/>
      </c>
    </row>
    <row r="459">
      <c r="A459" s="2" t="inlineStr">
        <is>
          <t>69228</t>
        </is>
      </c>
      <c r="B459" s="2" t="inlineStr">
        <is>
          <t>Sicoob</t>
        </is>
      </c>
      <c r="C459" s="2" t="inlineStr">
        <is>
          <t>22/06/2026</t>
        </is>
      </c>
      <c r="D459" s="2" t="inlineStr">
        <is>
          <t>22/06/2026</t>
        </is>
      </c>
      <c r="E459" s="2" t="inlineStr">
        <is>
          <t>Dinheiro</t>
        </is>
      </c>
      <c r="F459" s="2" t="inlineStr">
        <is>
          <t>Boleto "67640" do cliente "LUCINEIA TEIXEIRA DE CASTRO"</t>
        </is>
      </c>
      <c r="G459" s="2" t="inlineStr">
        <is>
          <t>system</t>
        </is>
      </c>
      <c r="H459" s="2" t="inlineStr">
        <is>
          <t>02.03.02.01 : Cobrança Bancaria</t>
        </is>
      </c>
      <c r="I459" s="2" t="n"/>
      <c r="J459" s="3" t="n">
        <v>-0.88</v>
      </c>
      <c r="K459" s="2">
        <f>IF(H459="02.09 : Outras Saídas", IF(OR(ISNUMBER(SEARCH("CHEQUE COMPE SICREDI", F459)), ISNUMBER(SEARCH("aniversario", F459)), ISNUMBER(SEARCH("churrasco", F459)), ISNUMBER(SEARCH("bolo", F459)), ISNUMBER(SEARCH("SUPERMERCADO", F459))), "6.1 Despesas Administrativas (Pessoal)", IF(OR(ISNUMBER(SEARCH("DLKNET", F459)), ISNUMBER(SEARCH("TESTE", F459))), "6.1 Despesas Administrativas (Gerais)", IFERROR(VLOOKUP(H459, De_Para!A:B, 2, FALSE), "NÃO MAPEADO"))), IFERROR(VLOOKUP(H459, De_Para!A:B, 2, FALSE), "NÃO MAPEADO"))</f>
        <v/>
      </c>
    </row>
    <row r="460">
      <c r="A460" s="2" t="inlineStr">
        <is>
          <t>69227</t>
        </is>
      </c>
      <c r="B460" s="2" t="inlineStr">
        <is>
          <t>Sicoob</t>
        </is>
      </c>
      <c r="C460" s="2" t="inlineStr">
        <is>
          <t>22/06/2026</t>
        </is>
      </c>
      <c r="D460" s="2" t="inlineStr">
        <is>
          <t>22/06/2026</t>
        </is>
      </c>
      <c r="E460" s="2" t="inlineStr">
        <is>
          <t>Dinheiro</t>
        </is>
      </c>
      <c r="F460" s="2" t="inlineStr">
        <is>
          <t>Boleto "67640" do cliente "LUCINEIA TEIXEIRA DE CASTRO"</t>
        </is>
      </c>
      <c r="G460" s="2" t="inlineStr">
        <is>
          <t>system</t>
        </is>
      </c>
      <c r="H460" s="2" t="inlineStr">
        <is>
          <t>01.01.01 : Mensalidade</t>
        </is>
      </c>
      <c r="I460" s="3" t="n">
        <v>104.9</v>
      </c>
      <c r="J460" s="2" t="n"/>
      <c r="K460" s="2">
        <f>IF(H460="02.09 : Outras Saídas", IF(OR(ISNUMBER(SEARCH("CHEQUE COMPE SICREDI", F460)), ISNUMBER(SEARCH("aniversario", F460)), ISNUMBER(SEARCH("churrasco", F460)), ISNUMBER(SEARCH("bolo", F460)), ISNUMBER(SEARCH("SUPERMERCADO", F460))), "6.1 Despesas Administrativas (Pessoal)", IF(OR(ISNUMBER(SEARCH("DLKNET", F460)), ISNUMBER(SEARCH("TESTE", F460))), "6.1 Despesas Administrativas (Gerais)", IFERROR(VLOOKUP(H460, De_Para!A:B, 2, FALSE), "NÃO MAPEADO"))), IFERROR(VLOOKUP(H460, De_Para!A:B, 2, FALSE), "NÃO MAPEADO"))</f>
        <v/>
      </c>
    </row>
    <row r="461">
      <c r="A461" s="2" t="inlineStr">
        <is>
          <t>69226</t>
        </is>
      </c>
      <c r="B461" s="2" t="inlineStr">
        <is>
          <t>Sicoob</t>
        </is>
      </c>
      <c r="C461" s="2" t="inlineStr">
        <is>
          <t>22/06/2026</t>
        </is>
      </c>
      <c r="D461" s="2" t="inlineStr">
        <is>
          <t>22/06/2026</t>
        </is>
      </c>
      <c r="E461" s="2" t="inlineStr">
        <is>
          <t>Dinheiro</t>
        </is>
      </c>
      <c r="F461" s="2" t="inlineStr">
        <is>
          <t>Boleto "67204" do cliente "JAN WILLEM SALOMONS"</t>
        </is>
      </c>
      <c r="G461" s="2" t="inlineStr">
        <is>
          <t>system</t>
        </is>
      </c>
      <c r="H461" s="2" t="inlineStr">
        <is>
          <t>02.03.02.01 : Cobrança Bancaria</t>
        </is>
      </c>
      <c r="I461" s="2" t="n"/>
      <c r="J461" s="3" t="n">
        <v>-0.88</v>
      </c>
      <c r="K461" s="2">
        <f>IF(H461="02.09 : Outras Saídas", IF(OR(ISNUMBER(SEARCH("CHEQUE COMPE SICREDI", F461)), ISNUMBER(SEARCH("aniversario", F461)), ISNUMBER(SEARCH("churrasco", F461)), ISNUMBER(SEARCH("bolo", F461)), ISNUMBER(SEARCH("SUPERMERCADO", F461))), "6.1 Despesas Administrativas (Pessoal)", IF(OR(ISNUMBER(SEARCH("DLKNET", F461)), ISNUMBER(SEARCH("TESTE", F461))), "6.1 Despesas Administrativas (Gerais)", IFERROR(VLOOKUP(H461, De_Para!A:B, 2, FALSE), "NÃO MAPEADO"))), IFERROR(VLOOKUP(H461, De_Para!A:B, 2, FALSE), "NÃO MAPEADO"))</f>
        <v/>
      </c>
    </row>
    <row r="462">
      <c r="A462" s="2" t="inlineStr">
        <is>
          <t>69225</t>
        </is>
      </c>
      <c r="B462" s="2" t="inlineStr">
        <is>
          <t>Sicoob</t>
        </is>
      </c>
      <c r="C462" s="2" t="inlineStr">
        <is>
          <t>22/06/2026</t>
        </is>
      </c>
      <c r="D462" s="2" t="inlineStr">
        <is>
          <t>22/06/2026</t>
        </is>
      </c>
      <c r="E462" s="2" t="inlineStr">
        <is>
          <t>Dinheiro</t>
        </is>
      </c>
      <c r="F462" s="2" t="inlineStr">
        <is>
          <t>Boleto "67204" do cliente "JAN WILLEM SALOMONS"</t>
        </is>
      </c>
      <c r="G462" s="2" t="inlineStr">
        <is>
          <t>system</t>
        </is>
      </c>
      <c r="H462" s="2" t="inlineStr">
        <is>
          <t>01.01.01 : Mensalidade</t>
        </is>
      </c>
      <c r="I462" s="3" t="n">
        <v>104.9</v>
      </c>
      <c r="J462" s="2" t="n"/>
      <c r="K462" s="2">
        <f>IF(H462="02.09 : Outras Saídas", IF(OR(ISNUMBER(SEARCH("CHEQUE COMPE SICREDI", F462)), ISNUMBER(SEARCH("aniversario", F462)), ISNUMBER(SEARCH("churrasco", F462)), ISNUMBER(SEARCH("bolo", F462)), ISNUMBER(SEARCH("SUPERMERCADO", F462))), "6.1 Despesas Administrativas (Pessoal)", IF(OR(ISNUMBER(SEARCH("DLKNET", F462)), ISNUMBER(SEARCH("TESTE", F462))), "6.1 Despesas Administrativas (Gerais)", IFERROR(VLOOKUP(H462, De_Para!A:B, 2, FALSE), "NÃO MAPEADO"))), IFERROR(VLOOKUP(H462, De_Para!A:B, 2, FALSE), "NÃO MAPEADO"))</f>
        <v/>
      </c>
    </row>
    <row r="463">
      <c r="A463" s="2" t="inlineStr">
        <is>
          <t>69224</t>
        </is>
      </c>
      <c r="B463" s="2" t="inlineStr">
        <is>
          <t>Sicoob</t>
        </is>
      </c>
      <c r="C463" s="2" t="inlineStr">
        <is>
          <t>22/06/2026</t>
        </is>
      </c>
      <c r="D463" s="2" t="inlineStr">
        <is>
          <t>22/06/2026</t>
        </is>
      </c>
      <c r="E463" s="2" t="inlineStr">
        <is>
          <t>Dinheiro</t>
        </is>
      </c>
      <c r="F463" s="2" t="inlineStr">
        <is>
          <t>Boleto "62473" do cliente "SERGIO RODRIGUES BRIZOLA"</t>
        </is>
      </c>
      <c r="G463" s="2" t="inlineStr">
        <is>
          <t>system</t>
        </is>
      </c>
      <c r="H463" s="2" t="inlineStr">
        <is>
          <t>02.03.02.01 : Cobrança Bancaria</t>
        </is>
      </c>
      <c r="I463" s="2" t="n"/>
      <c r="J463" s="3" t="n">
        <v>-0.88</v>
      </c>
      <c r="K463" s="2">
        <f>IF(H463="02.09 : Outras Saídas", IF(OR(ISNUMBER(SEARCH("CHEQUE COMPE SICREDI", F463)), ISNUMBER(SEARCH("aniversario", F463)), ISNUMBER(SEARCH("churrasco", F463)), ISNUMBER(SEARCH("bolo", F463)), ISNUMBER(SEARCH("SUPERMERCADO", F463))), "6.1 Despesas Administrativas (Pessoal)", IF(OR(ISNUMBER(SEARCH("DLKNET", F463)), ISNUMBER(SEARCH("TESTE", F463))), "6.1 Despesas Administrativas (Gerais)", IFERROR(VLOOKUP(H463, De_Para!A:B, 2, FALSE), "NÃO MAPEADO"))), IFERROR(VLOOKUP(H463, De_Para!A:B, 2, FALSE), "NÃO MAPEADO"))</f>
        <v/>
      </c>
    </row>
    <row r="464">
      <c r="A464" s="2" t="inlineStr">
        <is>
          <t>69223</t>
        </is>
      </c>
      <c r="B464" s="2" t="inlineStr">
        <is>
          <t>Sicoob</t>
        </is>
      </c>
      <c r="C464" s="2" t="inlineStr">
        <is>
          <t>22/06/2026</t>
        </is>
      </c>
      <c r="D464" s="2" t="inlineStr">
        <is>
          <t>22/06/2026</t>
        </is>
      </c>
      <c r="E464" s="2" t="inlineStr">
        <is>
          <t>Dinheiro</t>
        </is>
      </c>
      <c r="F464" s="2" t="inlineStr">
        <is>
          <t>Boleto "62473" do cliente "SERGIO RODRIGUES BRIZOLA"</t>
        </is>
      </c>
      <c r="G464" s="2" t="inlineStr">
        <is>
          <t>system</t>
        </is>
      </c>
      <c r="H464" s="2" t="inlineStr">
        <is>
          <t>01.03.01 : Mensalidade</t>
        </is>
      </c>
      <c r="I464" s="3" t="n">
        <v>107.51</v>
      </c>
      <c r="J464" s="2" t="n"/>
      <c r="K464" s="2">
        <f>IF(H464="02.09 : Outras Saídas", IF(OR(ISNUMBER(SEARCH("CHEQUE COMPE SICREDI", F464)), ISNUMBER(SEARCH("aniversario", F464)), ISNUMBER(SEARCH("churrasco", F464)), ISNUMBER(SEARCH("bolo", F464)), ISNUMBER(SEARCH("SUPERMERCADO", F464))), "6.1 Despesas Administrativas (Pessoal)", IF(OR(ISNUMBER(SEARCH("DLKNET", F464)), ISNUMBER(SEARCH("TESTE", F464))), "6.1 Despesas Administrativas (Gerais)", IFERROR(VLOOKUP(H464, De_Para!A:B, 2, FALSE), "NÃO MAPEADO"))), IFERROR(VLOOKUP(H464, De_Para!A:B, 2, FALSE), "NÃO MAPEADO"))</f>
        <v/>
      </c>
    </row>
    <row r="465">
      <c r="A465" s="2" t="inlineStr">
        <is>
          <t>69222</t>
        </is>
      </c>
      <c r="B465" s="2" t="inlineStr">
        <is>
          <t>Sicoob</t>
        </is>
      </c>
      <c r="C465" s="2" t="inlineStr">
        <is>
          <t>22/06/2026</t>
        </is>
      </c>
      <c r="D465" s="2" t="inlineStr">
        <is>
          <t>22/06/2026</t>
        </is>
      </c>
      <c r="E465" s="2" t="inlineStr">
        <is>
          <t>Dinheiro</t>
        </is>
      </c>
      <c r="F465" s="2" t="inlineStr">
        <is>
          <t>Boleto "59015" do cliente "LUCAS EDUARDO DOMICIANO"</t>
        </is>
      </c>
      <c r="G465" s="2" t="inlineStr">
        <is>
          <t>system</t>
        </is>
      </c>
      <c r="H465" s="2" t="inlineStr">
        <is>
          <t>02.03.02.01 : Cobrança Bancaria</t>
        </is>
      </c>
      <c r="I465" s="2" t="n"/>
      <c r="J465" s="3" t="n">
        <v>-0.88</v>
      </c>
      <c r="K465" s="2">
        <f>IF(H465="02.09 : Outras Saídas", IF(OR(ISNUMBER(SEARCH("CHEQUE COMPE SICREDI", F465)), ISNUMBER(SEARCH("aniversario", F465)), ISNUMBER(SEARCH("churrasco", F465)), ISNUMBER(SEARCH("bolo", F465)), ISNUMBER(SEARCH("SUPERMERCADO", F465))), "6.1 Despesas Administrativas (Pessoal)", IF(OR(ISNUMBER(SEARCH("DLKNET", F465)), ISNUMBER(SEARCH("TESTE", F465))), "6.1 Despesas Administrativas (Gerais)", IFERROR(VLOOKUP(H465, De_Para!A:B, 2, FALSE), "NÃO MAPEADO"))), IFERROR(VLOOKUP(H465, De_Para!A:B, 2, FALSE), "NÃO MAPEADO"))</f>
        <v/>
      </c>
    </row>
    <row r="466">
      <c r="A466" s="2" t="inlineStr">
        <is>
          <t>69221</t>
        </is>
      </c>
      <c r="B466" s="2" t="inlineStr">
        <is>
          <t>Sicoob</t>
        </is>
      </c>
      <c r="C466" s="2" t="inlineStr">
        <is>
          <t>22/06/2026</t>
        </is>
      </c>
      <c r="D466" s="2" t="inlineStr">
        <is>
          <t>22/06/2026</t>
        </is>
      </c>
      <c r="E466" s="2" t="inlineStr">
        <is>
          <t>Dinheiro</t>
        </is>
      </c>
      <c r="F466" s="2" t="inlineStr">
        <is>
          <t>Boleto "59015" do cliente "LUCAS EDUARDO DOMICIANO"</t>
        </is>
      </c>
      <c r="G466" s="2" t="inlineStr">
        <is>
          <t>system</t>
        </is>
      </c>
      <c r="H466" s="2" t="inlineStr">
        <is>
          <t>01.01.01 : Mensalidade</t>
        </is>
      </c>
      <c r="I466" s="3" t="n">
        <v>102.4</v>
      </c>
      <c r="J466" s="2" t="n"/>
      <c r="K466" s="2">
        <f>IF(H466="02.09 : Outras Saídas", IF(OR(ISNUMBER(SEARCH("CHEQUE COMPE SICREDI", F466)), ISNUMBER(SEARCH("aniversario", F466)), ISNUMBER(SEARCH("churrasco", F466)), ISNUMBER(SEARCH("bolo", F466)), ISNUMBER(SEARCH("SUPERMERCADO", F466))), "6.1 Despesas Administrativas (Pessoal)", IF(OR(ISNUMBER(SEARCH("DLKNET", F466)), ISNUMBER(SEARCH("TESTE", F466))), "6.1 Despesas Administrativas (Gerais)", IFERROR(VLOOKUP(H466, De_Para!A:B, 2, FALSE), "NÃO MAPEADO"))), IFERROR(VLOOKUP(H466, De_Para!A:B, 2, FALSE), "NÃO MAPEADO"))</f>
        <v/>
      </c>
    </row>
    <row r="467">
      <c r="A467" s="2" t="inlineStr">
        <is>
          <t>69220</t>
        </is>
      </c>
      <c r="B467" s="2" t="inlineStr">
        <is>
          <t>Sicoob</t>
        </is>
      </c>
      <c r="C467" s="2" t="inlineStr">
        <is>
          <t>22/06/2026</t>
        </is>
      </c>
      <c r="D467" s="2" t="inlineStr">
        <is>
          <t>22/06/2026</t>
        </is>
      </c>
      <c r="E467" s="2" t="inlineStr">
        <is>
          <t>Dinheiro</t>
        </is>
      </c>
      <c r="F467" s="2" t="inlineStr">
        <is>
          <t>Boleto "58914" do cliente "VALDIRENE DE JESUS DO VALE"</t>
        </is>
      </c>
      <c r="G467" s="2" t="inlineStr">
        <is>
          <t>system</t>
        </is>
      </c>
      <c r="H467" s="2" t="inlineStr">
        <is>
          <t>02.03.02.01 : Cobrança Bancaria</t>
        </is>
      </c>
      <c r="I467" s="2" t="n"/>
      <c r="J467" s="3" t="n">
        <v>-0.88</v>
      </c>
      <c r="K467" s="2">
        <f>IF(H467="02.09 : Outras Saídas", IF(OR(ISNUMBER(SEARCH("CHEQUE COMPE SICREDI", F467)), ISNUMBER(SEARCH("aniversario", F467)), ISNUMBER(SEARCH("churrasco", F467)), ISNUMBER(SEARCH("bolo", F467)), ISNUMBER(SEARCH("SUPERMERCADO", F467))), "6.1 Despesas Administrativas (Pessoal)", IF(OR(ISNUMBER(SEARCH("DLKNET", F467)), ISNUMBER(SEARCH("TESTE", F467))), "6.1 Despesas Administrativas (Gerais)", IFERROR(VLOOKUP(H467, De_Para!A:B, 2, FALSE), "NÃO MAPEADO"))), IFERROR(VLOOKUP(H467, De_Para!A:B, 2, FALSE), "NÃO MAPEADO"))</f>
        <v/>
      </c>
    </row>
    <row r="468">
      <c r="A468" s="2" t="inlineStr">
        <is>
          <t>69219</t>
        </is>
      </c>
      <c r="B468" s="2" t="inlineStr">
        <is>
          <t>Sicoob</t>
        </is>
      </c>
      <c r="C468" s="2" t="inlineStr">
        <is>
          <t>22/06/2026</t>
        </is>
      </c>
      <c r="D468" s="2" t="inlineStr">
        <is>
          <t>22/06/2026</t>
        </is>
      </c>
      <c r="E468" s="2" t="inlineStr">
        <is>
          <t>Dinheiro</t>
        </is>
      </c>
      <c r="F468" s="2" t="inlineStr">
        <is>
          <t>Boleto "58914" do cliente "VALDIRENE DE JESUS DO VALE"</t>
        </is>
      </c>
      <c r="G468" s="2" t="inlineStr">
        <is>
          <t>system</t>
        </is>
      </c>
      <c r="H468" s="2" t="inlineStr">
        <is>
          <t>01.01.01 : Mensalidade</t>
        </is>
      </c>
      <c r="I468" s="3" t="n">
        <v>107.51</v>
      </c>
      <c r="J468" s="2" t="n"/>
      <c r="K468" s="2">
        <f>IF(H468="02.09 : Outras Saídas", IF(OR(ISNUMBER(SEARCH("CHEQUE COMPE SICREDI", F468)), ISNUMBER(SEARCH("aniversario", F468)), ISNUMBER(SEARCH("churrasco", F468)), ISNUMBER(SEARCH("bolo", F468)), ISNUMBER(SEARCH("SUPERMERCADO", F468))), "6.1 Despesas Administrativas (Pessoal)", IF(OR(ISNUMBER(SEARCH("DLKNET", F468)), ISNUMBER(SEARCH("TESTE", F468))), "6.1 Despesas Administrativas (Gerais)", IFERROR(VLOOKUP(H468, De_Para!A:B, 2, FALSE), "NÃO MAPEADO"))), IFERROR(VLOOKUP(H468, De_Para!A:B, 2, FALSE), "NÃO MAPEADO"))</f>
        <v/>
      </c>
    </row>
    <row r="469">
      <c r="A469" s="2" t="inlineStr">
        <is>
          <t>69218</t>
        </is>
      </c>
      <c r="B469" s="2" t="inlineStr">
        <is>
          <t>Sicoob</t>
        </is>
      </c>
      <c r="C469" s="2" t="inlineStr">
        <is>
          <t>22/06/2026</t>
        </is>
      </c>
      <c r="D469" s="2" t="inlineStr">
        <is>
          <t>22/06/2026</t>
        </is>
      </c>
      <c r="E469" s="2" t="inlineStr">
        <is>
          <t>Dinheiro</t>
        </is>
      </c>
      <c r="F469" s="2" t="inlineStr">
        <is>
          <t>Boleto "54128" do cliente "ANTONIO ESTEVAN DE SANTANA"</t>
        </is>
      </c>
      <c r="G469" s="2" t="inlineStr">
        <is>
          <t>system</t>
        </is>
      </c>
      <c r="H469" s="2" t="inlineStr">
        <is>
          <t>02.03.02.01 : Cobrança Bancaria</t>
        </is>
      </c>
      <c r="I469" s="2" t="n"/>
      <c r="J469" s="3" t="n">
        <v>-0.88</v>
      </c>
      <c r="K469" s="2">
        <f>IF(H469="02.09 : Outras Saídas", IF(OR(ISNUMBER(SEARCH("CHEQUE COMPE SICREDI", F469)), ISNUMBER(SEARCH("aniversario", F469)), ISNUMBER(SEARCH("churrasco", F469)), ISNUMBER(SEARCH("bolo", F469)), ISNUMBER(SEARCH("SUPERMERCADO", F469))), "6.1 Despesas Administrativas (Pessoal)", IF(OR(ISNUMBER(SEARCH("DLKNET", F469)), ISNUMBER(SEARCH("TESTE", F469))), "6.1 Despesas Administrativas (Gerais)", IFERROR(VLOOKUP(H469, De_Para!A:B, 2, FALSE), "NÃO MAPEADO"))), IFERROR(VLOOKUP(H469, De_Para!A:B, 2, FALSE), "NÃO MAPEADO"))</f>
        <v/>
      </c>
    </row>
    <row r="470">
      <c r="A470" s="2" t="inlineStr">
        <is>
          <t>69217</t>
        </is>
      </c>
      <c r="B470" s="2" t="inlineStr">
        <is>
          <t>Sicoob</t>
        </is>
      </c>
      <c r="C470" s="2" t="inlineStr">
        <is>
          <t>22/06/2026</t>
        </is>
      </c>
      <c r="D470" s="2" t="inlineStr">
        <is>
          <t>22/06/2026</t>
        </is>
      </c>
      <c r="E470" s="2" t="inlineStr">
        <is>
          <t>Dinheiro</t>
        </is>
      </c>
      <c r="F470" s="2" t="inlineStr">
        <is>
          <t>Boleto "54128" do cliente "ANTONIO ESTEVAN DE SANTANA"</t>
        </is>
      </c>
      <c r="G470" s="2" t="inlineStr">
        <is>
          <t>system</t>
        </is>
      </c>
      <c r="H470" s="2" t="inlineStr">
        <is>
          <t>01.01.01 : Mensalidade</t>
        </is>
      </c>
      <c r="I470" s="3" t="n">
        <v>105</v>
      </c>
      <c r="J470" s="2" t="n"/>
      <c r="K470" s="2">
        <f>IF(H470="02.09 : Outras Saídas", IF(OR(ISNUMBER(SEARCH("CHEQUE COMPE SICREDI", F470)), ISNUMBER(SEARCH("aniversario", F470)), ISNUMBER(SEARCH("churrasco", F470)), ISNUMBER(SEARCH("bolo", F470)), ISNUMBER(SEARCH("SUPERMERCADO", F470))), "6.1 Despesas Administrativas (Pessoal)", IF(OR(ISNUMBER(SEARCH("DLKNET", F470)), ISNUMBER(SEARCH("TESTE", F470))), "6.1 Despesas Administrativas (Gerais)", IFERROR(VLOOKUP(H470, De_Para!A:B, 2, FALSE), "NÃO MAPEADO"))), IFERROR(VLOOKUP(H470, De_Para!A:B, 2, FALSE), "NÃO MAPEADO"))</f>
        <v/>
      </c>
    </row>
    <row r="471">
      <c r="A471" s="2" t="inlineStr">
        <is>
          <t>69216</t>
        </is>
      </c>
      <c r="B471" s="2" t="inlineStr">
        <is>
          <t>Sicoob</t>
        </is>
      </c>
      <c r="C471" s="2" t="inlineStr">
        <is>
          <t>22/06/2026</t>
        </is>
      </c>
      <c r="D471" s="2" t="inlineStr">
        <is>
          <t>22/06/2026</t>
        </is>
      </c>
      <c r="E471" s="2" t="inlineStr">
        <is>
          <t>Dinheiro</t>
        </is>
      </c>
      <c r="F471" s="2" t="inlineStr">
        <is>
          <t>Boleto "54029" do cliente "DANIEL INOCENCIO DA SILVA"</t>
        </is>
      </c>
      <c r="G471" s="2" t="inlineStr">
        <is>
          <t>system</t>
        </is>
      </c>
      <c r="H471" s="2" t="inlineStr">
        <is>
          <t>02.03.02.01 : Cobrança Bancaria</t>
        </is>
      </c>
      <c r="I471" s="2" t="n"/>
      <c r="J471" s="3" t="n">
        <v>-0.88</v>
      </c>
      <c r="K471" s="2">
        <f>IF(H471="02.09 : Outras Saídas", IF(OR(ISNUMBER(SEARCH("CHEQUE COMPE SICREDI", F471)), ISNUMBER(SEARCH("aniversario", F471)), ISNUMBER(SEARCH("churrasco", F471)), ISNUMBER(SEARCH("bolo", F471)), ISNUMBER(SEARCH("SUPERMERCADO", F471))), "6.1 Despesas Administrativas (Pessoal)", IF(OR(ISNUMBER(SEARCH("DLKNET", F471)), ISNUMBER(SEARCH("TESTE", F471))), "6.1 Despesas Administrativas (Gerais)", IFERROR(VLOOKUP(H471, De_Para!A:B, 2, FALSE), "NÃO MAPEADO"))), IFERROR(VLOOKUP(H471, De_Para!A:B, 2, FALSE), "NÃO MAPEADO"))</f>
        <v/>
      </c>
    </row>
    <row r="472">
      <c r="A472" s="2" t="inlineStr">
        <is>
          <t>69215</t>
        </is>
      </c>
      <c r="B472" s="2" t="inlineStr">
        <is>
          <t>Sicoob</t>
        </is>
      </c>
      <c r="C472" s="2" t="inlineStr">
        <is>
          <t>22/06/2026</t>
        </is>
      </c>
      <c r="D472" s="2" t="inlineStr">
        <is>
          <t>22/06/2026</t>
        </is>
      </c>
      <c r="E472" s="2" t="inlineStr">
        <is>
          <t>Dinheiro</t>
        </is>
      </c>
      <c r="F472" s="2" t="inlineStr">
        <is>
          <t>Boleto "54029" do cliente "DANIEL INOCENCIO DA SILVA"</t>
        </is>
      </c>
      <c r="G472" s="2" t="inlineStr">
        <is>
          <t>system</t>
        </is>
      </c>
      <c r="H472" s="2" t="inlineStr">
        <is>
          <t>01.01.01 : Mensalidade</t>
        </is>
      </c>
      <c r="I472" s="3" t="n">
        <v>105</v>
      </c>
      <c r="J472" s="2" t="n"/>
      <c r="K472" s="2">
        <f>IF(H472="02.09 : Outras Saídas", IF(OR(ISNUMBER(SEARCH("CHEQUE COMPE SICREDI", F472)), ISNUMBER(SEARCH("aniversario", F472)), ISNUMBER(SEARCH("churrasco", F472)), ISNUMBER(SEARCH("bolo", F472)), ISNUMBER(SEARCH("SUPERMERCADO", F472))), "6.1 Despesas Administrativas (Pessoal)", IF(OR(ISNUMBER(SEARCH("DLKNET", F472)), ISNUMBER(SEARCH("TESTE", F472))), "6.1 Despesas Administrativas (Gerais)", IFERROR(VLOOKUP(H472, De_Para!A:B, 2, FALSE), "NÃO MAPEADO"))), IFERROR(VLOOKUP(H472, De_Para!A:B, 2, FALSE), "NÃO MAPEADO"))</f>
        <v/>
      </c>
    </row>
    <row r="473">
      <c r="A473" s="2" t="inlineStr">
        <is>
          <t>69214</t>
        </is>
      </c>
      <c r="B473" s="2" t="inlineStr">
        <is>
          <t>Sicredi SNI</t>
        </is>
      </c>
      <c r="C473" s="2" t="inlineStr">
        <is>
          <t>22/06/2026</t>
        </is>
      </c>
      <c r="D473" s="2" t="inlineStr">
        <is>
          <t>21/06/2026</t>
        </is>
      </c>
      <c r="E473" s="2" t="inlineStr">
        <is>
          <t>PIX</t>
        </is>
      </c>
      <c r="F473" s="2" t="inlineStr">
        <is>
          <t>Boleto "63454" do cliente "VANUSA BALBINO PEREIRA"</t>
        </is>
      </c>
      <c r="G473" s="2" t="inlineStr">
        <is>
          <t>system</t>
        </is>
      </c>
      <c r="H473" s="2" t="inlineStr">
        <is>
          <t>02.03.02.01 : Cobrança Bancaria</t>
        </is>
      </c>
      <c r="I473" s="2" t="n"/>
      <c r="J473" s="3" t="n">
        <v>-0.49</v>
      </c>
      <c r="K473" s="2">
        <f>IF(H473="02.09 : Outras Saídas", IF(OR(ISNUMBER(SEARCH("CHEQUE COMPE SICREDI", F473)), ISNUMBER(SEARCH("aniversario", F473)), ISNUMBER(SEARCH("churrasco", F473)), ISNUMBER(SEARCH("bolo", F473)), ISNUMBER(SEARCH("SUPERMERCADO", F473))), "6.1 Despesas Administrativas (Pessoal)", IF(OR(ISNUMBER(SEARCH("DLKNET", F473)), ISNUMBER(SEARCH("TESTE", F473))), "6.1 Despesas Administrativas (Gerais)", IFERROR(VLOOKUP(H473, De_Para!A:B, 2, FALSE), "NÃO MAPEADO"))), IFERROR(VLOOKUP(H473, De_Para!A:B, 2, FALSE), "NÃO MAPEADO"))</f>
        <v/>
      </c>
    </row>
    <row r="474">
      <c r="A474" s="2" t="inlineStr">
        <is>
          <t>69213</t>
        </is>
      </c>
      <c r="B474" s="2" t="inlineStr">
        <is>
          <t>Sicredi SNI</t>
        </is>
      </c>
      <c r="C474" s="2" t="inlineStr">
        <is>
          <t>22/06/2026</t>
        </is>
      </c>
      <c r="D474" s="2" t="inlineStr">
        <is>
          <t>21/06/2026</t>
        </is>
      </c>
      <c r="E474" s="2" t="inlineStr">
        <is>
          <t>PIX</t>
        </is>
      </c>
      <c r="F474" s="2" t="inlineStr">
        <is>
          <t>Boleto "63454" do cliente "VANUSA BALBINO PEREIRA"</t>
        </is>
      </c>
      <c r="G474" s="2" t="inlineStr">
        <is>
          <t>system</t>
        </is>
      </c>
      <c r="H474" s="2" t="inlineStr">
        <is>
          <t>01.01.01 : Mensalidade</t>
        </is>
      </c>
      <c r="I474" s="3" t="n">
        <v>100</v>
      </c>
      <c r="J474" s="2" t="n"/>
      <c r="K474" s="2">
        <f>IF(H474="02.09 : Outras Saídas", IF(OR(ISNUMBER(SEARCH("CHEQUE COMPE SICREDI", F474)), ISNUMBER(SEARCH("aniversario", F474)), ISNUMBER(SEARCH("churrasco", F474)), ISNUMBER(SEARCH("bolo", F474)), ISNUMBER(SEARCH("SUPERMERCADO", F474))), "6.1 Despesas Administrativas (Pessoal)", IF(OR(ISNUMBER(SEARCH("DLKNET", F474)), ISNUMBER(SEARCH("TESTE", F474))), "6.1 Despesas Administrativas (Gerais)", IFERROR(VLOOKUP(H474, De_Para!A:B, 2, FALSE), "NÃO MAPEADO"))), IFERROR(VLOOKUP(H474, De_Para!A:B, 2, FALSE), "NÃO MAPEADO"))</f>
        <v/>
      </c>
    </row>
    <row r="475">
      <c r="A475" s="2" t="inlineStr">
        <is>
          <t>69212</t>
        </is>
      </c>
      <c r="B475" s="2" t="inlineStr">
        <is>
          <t>Sicoob</t>
        </is>
      </c>
      <c r="C475" s="2" t="inlineStr">
        <is>
          <t>22/06/2026</t>
        </is>
      </c>
      <c r="D475" s="2" t="inlineStr">
        <is>
          <t>22/06/2026</t>
        </is>
      </c>
      <c r="E475" s="2" t="inlineStr">
        <is>
          <t>Dinheiro</t>
        </is>
      </c>
      <c r="F475" s="2" t="inlineStr">
        <is>
          <t>Boleto "59137" do cliente "VALDEMIRO RODOLFO DE MELO"</t>
        </is>
      </c>
      <c r="G475" s="2" t="inlineStr">
        <is>
          <t>system</t>
        </is>
      </c>
      <c r="H475" s="2" t="inlineStr">
        <is>
          <t>02.03.02.01 : Cobrança Bancaria</t>
        </is>
      </c>
      <c r="I475" s="2" t="n"/>
      <c r="J475" s="3" t="n">
        <v>-0.88</v>
      </c>
      <c r="K475" s="2">
        <f>IF(H475="02.09 : Outras Saídas", IF(OR(ISNUMBER(SEARCH("CHEQUE COMPE SICREDI", F475)), ISNUMBER(SEARCH("aniversario", F475)), ISNUMBER(SEARCH("churrasco", F475)), ISNUMBER(SEARCH("bolo", F475)), ISNUMBER(SEARCH("SUPERMERCADO", F475))), "6.1 Despesas Administrativas (Pessoal)", IF(OR(ISNUMBER(SEARCH("DLKNET", F475)), ISNUMBER(SEARCH("TESTE", F475))), "6.1 Despesas Administrativas (Gerais)", IFERROR(VLOOKUP(H475, De_Para!A:B, 2, FALSE), "NÃO MAPEADO"))), IFERROR(VLOOKUP(H475, De_Para!A:B, 2, FALSE), "NÃO MAPEADO"))</f>
        <v/>
      </c>
    </row>
    <row r="476">
      <c r="A476" s="2" t="inlineStr">
        <is>
          <t>69211</t>
        </is>
      </c>
      <c r="B476" s="2" t="inlineStr">
        <is>
          <t>Sicoob</t>
        </is>
      </c>
      <c r="C476" s="2" t="inlineStr">
        <is>
          <t>22/06/2026</t>
        </is>
      </c>
      <c r="D476" s="2" t="inlineStr">
        <is>
          <t>22/06/2026</t>
        </is>
      </c>
      <c r="E476" s="2" t="inlineStr">
        <is>
          <t>Dinheiro</t>
        </is>
      </c>
      <c r="F476" s="2" t="inlineStr">
        <is>
          <t>Boleto "59137" do cliente "VALDEMIRO RODOLFO DE MELO"</t>
        </is>
      </c>
      <c r="G476" s="2" t="inlineStr">
        <is>
          <t>system</t>
        </is>
      </c>
      <c r="H476" s="2" t="inlineStr">
        <is>
          <t>01.01.01 : Mensalidade</t>
        </is>
      </c>
      <c r="I476" s="3" t="n">
        <v>110</v>
      </c>
      <c r="J476" s="2" t="n"/>
      <c r="K476" s="2">
        <f>IF(H476="02.09 : Outras Saídas", IF(OR(ISNUMBER(SEARCH("CHEQUE COMPE SICREDI", F476)), ISNUMBER(SEARCH("aniversario", F476)), ISNUMBER(SEARCH("churrasco", F476)), ISNUMBER(SEARCH("bolo", F476)), ISNUMBER(SEARCH("SUPERMERCADO", F476))), "6.1 Despesas Administrativas (Pessoal)", IF(OR(ISNUMBER(SEARCH("DLKNET", F476)), ISNUMBER(SEARCH("TESTE", F476))), "6.1 Despesas Administrativas (Gerais)", IFERROR(VLOOKUP(H476, De_Para!A:B, 2, FALSE), "NÃO MAPEADO"))), IFERROR(VLOOKUP(H476, De_Para!A:B, 2, FALSE), "NÃO MAPEADO"))</f>
        <v/>
      </c>
    </row>
    <row r="477">
      <c r="A477" s="2" t="inlineStr">
        <is>
          <t>69210</t>
        </is>
      </c>
      <c r="B477" s="2" t="inlineStr">
        <is>
          <t>Sicoob</t>
        </is>
      </c>
      <c r="C477" s="2" t="inlineStr">
        <is>
          <t>22/06/2026</t>
        </is>
      </c>
      <c r="D477" s="2" t="inlineStr">
        <is>
          <t>22/06/2026</t>
        </is>
      </c>
      <c r="E477" s="2" t="inlineStr">
        <is>
          <t>Dinheiro</t>
        </is>
      </c>
      <c r="F477" s="2" t="inlineStr">
        <is>
          <t>Boleto "59004" do cliente "WANDERLUIS BENTO PEREIRA"</t>
        </is>
      </c>
      <c r="G477" s="2" t="inlineStr">
        <is>
          <t>system</t>
        </is>
      </c>
      <c r="H477" s="2" t="inlineStr">
        <is>
          <t>02.03.02.01 : Cobrança Bancaria</t>
        </is>
      </c>
      <c r="I477" s="2" t="n"/>
      <c r="J477" s="3" t="n">
        <v>-0.88</v>
      </c>
      <c r="K477" s="2">
        <f>IF(H477="02.09 : Outras Saídas", IF(OR(ISNUMBER(SEARCH("CHEQUE COMPE SICREDI", F477)), ISNUMBER(SEARCH("aniversario", F477)), ISNUMBER(SEARCH("churrasco", F477)), ISNUMBER(SEARCH("bolo", F477)), ISNUMBER(SEARCH("SUPERMERCADO", F477))), "6.1 Despesas Administrativas (Pessoal)", IF(OR(ISNUMBER(SEARCH("DLKNET", F477)), ISNUMBER(SEARCH("TESTE", F477))), "6.1 Despesas Administrativas (Gerais)", IFERROR(VLOOKUP(H477, De_Para!A:B, 2, FALSE), "NÃO MAPEADO"))), IFERROR(VLOOKUP(H477, De_Para!A:B, 2, FALSE), "NÃO MAPEADO"))</f>
        <v/>
      </c>
    </row>
    <row r="478">
      <c r="A478" s="2" t="inlineStr">
        <is>
          <t>69209</t>
        </is>
      </c>
      <c r="B478" s="2" t="inlineStr">
        <is>
          <t>Sicoob</t>
        </is>
      </c>
      <c r="C478" s="2" t="inlineStr">
        <is>
          <t>22/06/2026</t>
        </is>
      </c>
      <c r="D478" s="2" t="inlineStr">
        <is>
          <t>22/06/2026</t>
        </is>
      </c>
      <c r="E478" s="2" t="inlineStr">
        <is>
          <t>Dinheiro</t>
        </is>
      </c>
      <c r="F478" s="2" t="inlineStr">
        <is>
          <t>Boleto "59004" do cliente "WANDERLUIS BENTO PEREIRA"</t>
        </is>
      </c>
      <c r="G478" s="2" t="inlineStr">
        <is>
          <t>system</t>
        </is>
      </c>
      <c r="H478" s="2" t="inlineStr">
        <is>
          <t>01.01.01 : Mensalidade</t>
        </is>
      </c>
      <c r="I478" s="3" t="n">
        <v>107.51</v>
      </c>
      <c r="J478" s="2" t="n"/>
      <c r="K478" s="2">
        <f>IF(H478="02.09 : Outras Saídas", IF(OR(ISNUMBER(SEARCH("CHEQUE COMPE SICREDI", F478)), ISNUMBER(SEARCH("aniversario", F478)), ISNUMBER(SEARCH("churrasco", F478)), ISNUMBER(SEARCH("bolo", F478)), ISNUMBER(SEARCH("SUPERMERCADO", F478))), "6.1 Despesas Administrativas (Pessoal)", IF(OR(ISNUMBER(SEARCH("DLKNET", F478)), ISNUMBER(SEARCH("TESTE", F478))), "6.1 Despesas Administrativas (Gerais)", IFERROR(VLOOKUP(H478, De_Para!A:B, 2, FALSE), "NÃO MAPEADO"))), IFERROR(VLOOKUP(H478, De_Para!A:B, 2, FALSE), "NÃO MAPEADO"))</f>
        <v/>
      </c>
    </row>
    <row r="479">
      <c r="A479" s="2" t="inlineStr">
        <is>
          <t>69208</t>
        </is>
      </c>
      <c r="B479" s="2" t="inlineStr">
        <is>
          <t>Sicoob</t>
        </is>
      </c>
      <c r="C479" s="2" t="inlineStr">
        <is>
          <t>22/06/2026</t>
        </is>
      </c>
      <c r="D479" s="2" t="inlineStr">
        <is>
          <t>22/06/2026</t>
        </is>
      </c>
      <c r="E479" s="2" t="inlineStr">
        <is>
          <t>Dinheiro</t>
        </is>
      </c>
      <c r="F479" s="2" t="inlineStr">
        <is>
          <t>Boleto "58982" do cliente "DENILSON DE SOUZA"</t>
        </is>
      </c>
      <c r="G479" s="2" t="inlineStr">
        <is>
          <t>system</t>
        </is>
      </c>
      <c r="H479" s="2" t="inlineStr">
        <is>
          <t>02.03.02.01 : Cobrança Bancaria</t>
        </is>
      </c>
      <c r="I479" s="2" t="n"/>
      <c r="J479" s="3" t="n">
        <v>-0.88</v>
      </c>
      <c r="K479" s="2">
        <f>IF(H479="02.09 : Outras Saídas", IF(OR(ISNUMBER(SEARCH("CHEQUE COMPE SICREDI", F479)), ISNUMBER(SEARCH("aniversario", F479)), ISNUMBER(SEARCH("churrasco", F479)), ISNUMBER(SEARCH("bolo", F479)), ISNUMBER(SEARCH("SUPERMERCADO", F479))), "6.1 Despesas Administrativas (Pessoal)", IF(OR(ISNUMBER(SEARCH("DLKNET", F479)), ISNUMBER(SEARCH("TESTE", F479))), "6.1 Despesas Administrativas (Gerais)", IFERROR(VLOOKUP(H479, De_Para!A:B, 2, FALSE), "NÃO MAPEADO"))), IFERROR(VLOOKUP(H479, De_Para!A:B, 2, FALSE), "NÃO MAPEADO"))</f>
        <v/>
      </c>
    </row>
    <row r="480">
      <c r="A480" s="2" t="inlineStr">
        <is>
          <t>69207</t>
        </is>
      </c>
      <c r="B480" s="2" t="inlineStr">
        <is>
          <t>Sicoob</t>
        </is>
      </c>
      <c r="C480" s="2" t="inlineStr">
        <is>
          <t>22/06/2026</t>
        </is>
      </c>
      <c r="D480" s="2" t="inlineStr">
        <is>
          <t>22/06/2026</t>
        </is>
      </c>
      <c r="E480" s="2" t="inlineStr">
        <is>
          <t>Dinheiro</t>
        </is>
      </c>
      <c r="F480" s="2" t="inlineStr">
        <is>
          <t>Boleto "58982" do cliente "DENILSON DE SOUZA"</t>
        </is>
      </c>
      <c r="G480" s="2" t="inlineStr">
        <is>
          <t>system</t>
        </is>
      </c>
      <c r="H480" s="2" t="inlineStr">
        <is>
          <t>01.01.01 : Mensalidade</t>
        </is>
      </c>
      <c r="I480" s="3" t="n">
        <v>102.33</v>
      </c>
      <c r="J480" s="2" t="n"/>
      <c r="K480" s="2">
        <f>IF(H480="02.09 : Outras Saídas", IF(OR(ISNUMBER(SEARCH("CHEQUE COMPE SICREDI", F480)), ISNUMBER(SEARCH("aniversario", F480)), ISNUMBER(SEARCH("churrasco", F480)), ISNUMBER(SEARCH("bolo", F480)), ISNUMBER(SEARCH("SUPERMERCADO", F480))), "6.1 Despesas Administrativas (Pessoal)", IF(OR(ISNUMBER(SEARCH("DLKNET", F480)), ISNUMBER(SEARCH("TESTE", F480))), "6.1 Despesas Administrativas (Gerais)", IFERROR(VLOOKUP(H480, De_Para!A:B, 2, FALSE), "NÃO MAPEADO"))), IFERROR(VLOOKUP(H480, De_Para!A:B, 2, FALSE), "NÃO MAPEADO"))</f>
        <v/>
      </c>
    </row>
    <row r="481">
      <c r="A481" s="2" t="inlineStr">
        <is>
          <t>69206</t>
        </is>
      </c>
      <c r="B481" s="2" t="inlineStr">
        <is>
          <t>Sicoob</t>
        </is>
      </c>
      <c r="C481" s="2" t="inlineStr">
        <is>
          <t>22/06/2026</t>
        </is>
      </c>
      <c r="D481" s="2" t="inlineStr">
        <is>
          <t>22/06/2026</t>
        </is>
      </c>
      <c r="E481" s="2" t="inlineStr">
        <is>
          <t>Dinheiro</t>
        </is>
      </c>
      <c r="F481" s="2" t="inlineStr">
        <is>
          <t>Boleto "58960" do cliente "ODIELI PEREIRA DA CUNHA"</t>
        </is>
      </c>
      <c r="G481" s="2" t="inlineStr">
        <is>
          <t>system</t>
        </is>
      </c>
      <c r="H481" s="2" t="inlineStr">
        <is>
          <t>02.03.02.01 : Cobrança Bancaria</t>
        </is>
      </c>
      <c r="I481" s="2" t="n"/>
      <c r="J481" s="3" t="n">
        <v>-0.88</v>
      </c>
      <c r="K481" s="2">
        <f>IF(H481="02.09 : Outras Saídas", IF(OR(ISNUMBER(SEARCH("CHEQUE COMPE SICREDI", F481)), ISNUMBER(SEARCH("aniversario", F481)), ISNUMBER(SEARCH("churrasco", F481)), ISNUMBER(SEARCH("bolo", F481)), ISNUMBER(SEARCH("SUPERMERCADO", F481))), "6.1 Despesas Administrativas (Pessoal)", IF(OR(ISNUMBER(SEARCH("DLKNET", F481)), ISNUMBER(SEARCH("TESTE", F481))), "6.1 Despesas Administrativas (Gerais)", IFERROR(VLOOKUP(H481, De_Para!A:B, 2, FALSE), "NÃO MAPEADO"))), IFERROR(VLOOKUP(H481, De_Para!A:B, 2, FALSE), "NÃO MAPEADO"))</f>
        <v/>
      </c>
    </row>
    <row r="482">
      <c r="A482" s="2" t="inlineStr">
        <is>
          <t>69205</t>
        </is>
      </c>
      <c r="B482" s="2" t="inlineStr">
        <is>
          <t>Sicoob</t>
        </is>
      </c>
      <c r="C482" s="2" t="inlineStr">
        <is>
          <t>22/06/2026</t>
        </is>
      </c>
      <c r="D482" s="2" t="inlineStr">
        <is>
          <t>22/06/2026</t>
        </is>
      </c>
      <c r="E482" s="2" t="inlineStr">
        <is>
          <t>Dinheiro</t>
        </is>
      </c>
      <c r="F482" s="2" t="inlineStr">
        <is>
          <t>Boleto "58960" do cliente "ODIELI PEREIRA DA CUNHA"</t>
        </is>
      </c>
      <c r="G482" s="2" t="inlineStr">
        <is>
          <t>system</t>
        </is>
      </c>
      <c r="H482" s="2" t="inlineStr">
        <is>
          <t>01.01.01 : Mensalidade</t>
        </is>
      </c>
      <c r="I482" s="3" t="n">
        <v>102.4</v>
      </c>
      <c r="J482" s="2" t="n"/>
      <c r="K482" s="2">
        <f>IF(H482="02.09 : Outras Saídas", IF(OR(ISNUMBER(SEARCH("CHEQUE COMPE SICREDI", F482)), ISNUMBER(SEARCH("aniversario", F482)), ISNUMBER(SEARCH("churrasco", F482)), ISNUMBER(SEARCH("bolo", F482)), ISNUMBER(SEARCH("SUPERMERCADO", F482))), "6.1 Despesas Administrativas (Pessoal)", IF(OR(ISNUMBER(SEARCH("DLKNET", F482)), ISNUMBER(SEARCH("TESTE", F482))), "6.1 Despesas Administrativas (Gerais)", IFERROR(VLOOKUP(H482, De_Para!A:B, 2, FALSE), "NÃO MAPEADO"))), IFERROR(VLOOKUP(H482, De_Para!A:B, 2, FALSE), "NÃO MAPEADO"))</f>
        <v/>
      </c>
    </row>
    <row r="483">
      <c r="A483" s="2" t="inlineStr">
        <is>
          <t>69204</t>
        </is>
      </c>
      <c r="B483" s="2" t="inlineStr">
        <is>
          <t>Sicoob</t>
        </is>
      </c>
      <c r="C483" s="2" t="inlineStr">
        <is>
          <t>22/06/2026</t>
        </is>
      </c>
      <c r="D483" s="2" t="inlineStr">
        <is>
          <t>22/06/2026</t>
        </is>
      </c>
      <c r="E483" s="2" t="inlineStr">
        <is>
          <t>Dinheiro</t>
        </is>
      </c>
      <c r="F483" s="2" t="inlineStr">
        <is>
          <t>Boleto "58925" do cliente "MARCO ANTONIO DA SILVA"</t>
        </is>
      </c>
      <c r="G483" s="2" t="inlineStr">
        <is>
          <t>system</t>
        </is>
      </c>
      <c r="H483" s="2" t="inlineStr">
        <is>
          <t>02.03.02.01 : Cobrança Bancaria</t>
        </is>
      </c>
      <c r="I483" s="2" t="n"/>
      <c r="J483" s="3" t="n">
        <v>-0.88</v>
      </c>
      <c r="K483" s="2">
        <f>IF(H483="02.09 : Outras Saídas", IF(OR(ISNUMBER(SEARCH("CHEQUE COMPE SICREDI", F483)), ISNUMBER(SEARCH("aniversario", F483)), ISNUMBER(SEARCH("churrasco", F483)), ISNUMBER(SEARCH("bolo", F483)), ISNUMBER(SEARCH("SUPERMERCADO", F483))), "6.1 Despesas Administrativas (Pessoal)", IF(OR(ISNUMBER(SEARCH("DLKNET", F483)), ISNUMBER(SEARCH("TESTE", F483))), "6.1 Despesas Administrativas (Gerais)", IFERROR(VLOOKUP(H483, De_Para!A:B, 2, FALSE), "NÃO MAPEADO"))), IFERROR(VLOOKUP(H483, De_Para!A:B, 2, FALSE), "NÃO MAPEADO"))</f>
        <v/>
      </c>
    </row>
    <row r="484">
      <c r="A484" s="2" t="inlineStr">
        <is>
          <t>69203</t>
        </is>
      </c>
      <c r="B484" s="2" t="inlineStr">
        <is>
          <t>Sicoob</t>
        </is>
      </c>
      <c r="C484" s="2" t="inlineStr">
        <is>
          <t>22/06/2026</t>
        </is>
      </c>
      <c r="D484" s="2" t="inlineStr">
        <is>
          <t>22/06/2026</t>
        </is>
      </c>
      <c r="E484" s="2" t="inlineStr">
        <is>
          <t>Dinheiro</t>
        </is>
      </c>
      <c r="F484" s="2" t="inlineStr">
        <is>
          <t>Boleto "58925" do cliente "MARCO ANTONIO DA SILVA"</t>
        </is>
      </c>
      <c r="G484" s="2" t="inlineStr">
        <is>
          <t>system</t>
        </is>
      </c>
      <c r="H484" s="2" t="inlineStr">
        <is>
          <t>01.01.01 : Mensalidade</t>
        </is>
      </c>
      <c r="I484" s="3" t="n">
        <v>107.3</v>
      </c>
      <c r="J484" s="2" t="n"/>
      <c r="K484" s="2">
        <f>IF(H484="02.09 : Outras Saídas", IF(OR(ISNUMBER(SEARCH("CHEQUE COMPE SICREDI", F484)), ISNUMBER(SEARCH("aniversario", F484)), ISNUMBER(SEARCH("churrasco", F484)), ISNUMBER(SEARCH("bolo", F484)), ISNUMBER(SEARCH("SUPERMERCADO", F484))), "6.1 Despesas Administrativas (Pessoal)", IF(OR(ISNUMBER(SEARCH("DLKNET", F484)), ISNUMBER(SEARCH("TESTE", F484))), "6.1 Despesas Administrativas (Gerais)", IFERROR(VLOOKUP(H484, De_Para!A:B, 2, FALSE), "NÃO MAPEADO"))), IFERROR(VLOOKUP(H484, De_Para!A:B, 2, FALSE), "NÃO MAPEADO"))</f>
        <v/>
      </c>
    </row>
    <row r="485">
      <c r="A485" s="2" t="inlineStr">
        <is>
          <t>69202</t>
        </is>
      </c>
      <c r="B485" s="2" t="inlineStr">
        <is>
          <t>Sicoob</t>
        </is>
      </c>
      <c r="C485" s="2" t="inlineStr">
        <is>
          <t>22/06/2026</t>
        </is>
      </c>
      <c r="D485" s="2" t="inlineStr">
        <is>
          <t>22/06/2026</t>
        </is>
      </c>
      <c r="E485" s="2" t="inlineStr">
        <is>
          <t>Dinheiro</t>
        </is>
      </c>
      <c r="F485" s="2" t="inlineStr">
        <is>
          <t>Boleto "58837" do cliente "MARCIA APARECIDA FERNANDES"</t>
        </is>
      </c>
      <c r="G485" s="2" t="inlineStr">
        <is>
          <t>system</t>
        </is>
      </c>
      <c r="H485" s="2" t="inlineStr">
        <is>
          <t>02.03.02.01 : Cobrança Bancaria</t>
        </is>
      </c>
      <c r="I485" s="2" t="n"/>
      <c r="J485" s="3" t="n">
        <v>-0.88</v>
      </c>
      <c r="K485" s="2">
        <f>IF(H485="02.09 : Outras Saídas", IF(OR(ISNUMBER(SEARCH("CHEQUE COMPE SICREDI", F485)), ISNUMBER(SEARCH("aniversario", F485)), ISNUMBER(SEARCH("churrasco", F485)), ISNUMBER(SEARCH("bolo", F485)), ISNUMBER(SEARCH("SUPERMERCADO", F485))), "6.1 Despesas Administrativas (Pessoal)", IF(OR(ISNUMBER(SEARCH("DLKNET", F485)), ISNUMBER(SEARCH("TESTE", F485))), "6.1 Despesas Administrativas (Gerais)", IFERROR(VLOOKUP(H485, De_Para!A:B, 2, FALSE), "NÃO MAPEADO"))), IFERROR(VLOOKUP(H485, De_Para!A:B, 2, FALSE), "NÃO MAPEADO"))</f>
        <v/>
      </c>
    </row>
    <row r="486">
      <c r="A486" s="2" t="inlineStr">
        <is>
          <t>69201</t>
        </is>
      </c>
      <c r="B486" s="2" t="inlineStr">
        <is>
          <t>Sicoob</t>
        </is>
      </c>
      <c r="C486" s="2" t="inlineStr">
        <is>
          <t>22/06/2026</t>
        </is>
      </c>
      <c r="D486" s="2" t="inlineStr">
        <is>
          <t>22/06/2026</t>
        </is>
      </c>
      <c r="E486" s="2" t="inlineStr">
        <is>
          <t>Dinheiro</t>
        </is>
      </c>
      <c r="F486" s="2" t="inlineStr">
        <is>
          <t>Boleto "58837" do cliente "MARCIA APARECIDA FERNANDES"</t>
        </is>
      </c>
      <c r="G486" s="2" t="inlineStr">
        <is>
          <t>system</t>
        </is>
      </c>
      <c r="H486" s="2" t="inlineStr">
        <is>
          <t>01.01.01 : Mensalidade</t>
        </is>
      </c>
      <c r="I486" s="3" t="n">
        <v>102.36</v>
      </c>
      <c r="J486" s="2" t="n"/>
      <c r="K486" s="2">
        <f>IF(H486="02.09 : Outras Saídas", IF(OR(ISNUMBER(SEARCH("CHEQUE COMPE SICREDI", F486)), ISNUMBER(SEARCH("aniversario", F486)), ISNUMBER(SEARCH("churrasco", F486)), ISNUMBER(SEARCH("bolo", F486)), ISNUMBER(SEARCH("SUPERMERCADO", F486))), "6.1 Despesas Administrativas (Pessoal)", IF(OR(ISNUMBER(SEARCH("DLKNET", F486)), ISNUMBER(SEARCH("TESTE", F486))), "6.1 Despesas Administrativas (Gerais)", IFERROR(VLOOKUP(H486, De_Para!A:B, 2, FALSE), "NÃO MAPEADO"))), IFERROR(VLOOKUP(H486, De_Para!A:B, 2, FALSE), "NÃO MAPEADO"))</f>
        <v/>
      </c>
    </row>
    <row r="487">
      <c r="A487" s="2" t="inlineStr">
        <is>
          <t>69200</t>
        </is>
      </c>
      <c r="B487" s="2" t="inlineStr">
        <is>
          <t>Sicoob</t>
        </is>
      </c>
      <c r="C487" s="2" t="inlineStr">
        <is>
          <t>22/06/2026</t>
        </is>
      </c>
      <c r="D487" s="2" t="inlineStr">
        <is>
          <t>22/06/2026</t>
        </is>
      </c>
      <c r="E487" s="2" t="inlineStr">
        <is>
          <t>Dinheiro</t>
        </is>
      </c>
      <c r="F487" s="2" t="inlineStr">
        <is>
          <t>Boleto "58689" do cliente "MAGDIEL GUILMO DE LIMA - ME"</t>
        </is>
      </c>
      <c r="G487" s="2" t="inlineStr">
        <is>
          <t>system</t>
        </is>
      </c>
      <c r="H487" s="2" t="inlineStr">
        <is>
          <t>02.03.02.01 : Cobrança Bancaria</t>
        </is>
      </c>
      <c r="I487" s="2" t="n"/>
      <c r="J487" s="3" t="n">
        <v>-0.88</v>
      </c>
      <c r="K487" s="2">
        <f>IF(H487="02.09 : Outras Saídas", IF(OR(ISNUMBER(SEARCH("CHEQUE COMPE SICREDI", F487)), ISNUMBER(SEARCH("aniversario", F487)), ISNUMBER(SEARCH("churrasco", F487)), ISNUMBER(SEARCH("bolo", F487)), ISNUMBER(SEARCH("SUPERMERCADO", F487))), "6.1 Despesas Administrativas (Pessoal)", IF(OR(ISNUMBER(SEARCH("DLKNET", F487)), ISNUMBER(SEARCH("TESTE", F487))), "6.1 Despesas Administrativas (Gerais)", IFERROR(VLOOKUP(H487, De_Para!A:B, 2, FALSE), "NÃO MAPEADO"))), IFERROR(VLOOKUP(H487, De_Para!A:B, 2, FALSE), "NÃO MAPEADO"))</f>
        <v/>
      </c>
    </row>
    <row r="488">
      <c r="A488" s="2" t="inlineStr">
        <is>
          <t>69199</t>
        </is>
      </c>
      <c r="B488" s="2" t="inlineStr">
        <is>
          <t>Sicoob</t>
        </is>
      </c>
      <c r="C488" s="2" t="inlineStr">
        <is>
          <t>22/06/2026</t>
        </is>
      </c>
      <c r="D488" s="2" t="inlineStr">
        <is>
          <t>22/06/2026</t>
        </is>
      </c>
      <c r="E488" s="2" t="inlineStr">
        <is>
          <t>Dinheiro</t>
        </is>
      </c>
      <c r="F488" s="2" t="inlineStr">
        <is>
          <t>Boleto "58689" do cliente "MAGDIEL GUILMO DE LIMA - ME"</t>
        </is>
      </c>
      <c r="G488" s="2" t="inlineStr">
        <is>
          <t>system</t>
        </is>
      </c>
      <c r="H488" s="2" t="inlineStr">
        <is>
          <t>01.01.01 : Mensalidade</t>
        </is>
      </c>
      <c r="I488" s="3" t="n">
        <v>81.91</v>
      </c>
      <c r="J488" s="2" t="n"/>
      <c r="K488" s="2">
        <f>IF(H488="02.09 : Outras Saídas", IF(OR(ISNUMBER(SEARCH("CHEQUE COMPE SICREDI", F488)), ISNUMBER(SEARCH("aniversario", F488)), ISNUMBER(SEARCH("churrasco", F488)), ISNUMBER(SEARCH("bolo", F488)), ISNUMBER(SEARCH("SUPERMERCADO", F488))), "6.1 Despesas Administrativas (Pessoal)", IF(OR(ISNUMBER(SEARCH("DLKNET", F488)), ISNUMBER(SEARCH("TESTE", F488))), "6.1 Despesas Administrativas (Gerais)", IFERROR(VLOOKUP(H488, De_Para!A:B, 2, FALSE), "NÃO MAPEADO"))), IFERROR(VLOOKUP(H488, De_Para!A:B, 2, FALSE), "NÃO MAPEADO"))</f>
        <v/>
      </c>
    </row>
    <row r="489">
      <c r="A489" s="2" t="inlineStr">
        <is>
          <t>69198</t>
        </is>
      </c>
      <c r="B489" s="2" t="inlineStr">
        <is>
          <t>Sicoob</t>
        </is>
      </c>
      <c r="C489" s="2" t="inlineStr">
        <is>
          <t>22/06/2026</t>
        </is>
      </c>
      <c r="D489" s="2" t="inlineStr">
        <is>
          <t>22/06/2026</t>
        </is>
      </c>
      <c r="E489" s="2" t="inlineStr">
        <is>
          <t>Dinheiro</t>
        </is>
      </c>
      <c r="F489" s="2" t="inlineStr">
        <is>
          <t>Boleto "58189" do cliente "JECIEL ANTONIO FERREIRA"</t>
        </is>
      </c>
      <c r="G489" s="2" t="inlineStr">
        <is>
          <t>system</t>
        </is>
      </c>
      <c r="H489" s="2" t="inlineStr">
        <is>
          <t>02.03.02.01 : Cobrança Bancaria</t>
        </is>
      </c>
      <c r="I489" s="2" t="n"/>
      <c r="J489" s="3" t="n">
        <v>-0.88</v>
      </c>
      <c r="K489" s="2">
        <f>IF(H489="02.09 : Outras Saídas", IF(OR(ISNUMBER(SEARCH("CHEQUE COMPE SICREDI", F489)), ISNUMBER(SEARCH("aniversario", F489)), ISNUMBER(SEARCH("churrasco", F489)), ISNUMBER(SEARCH("bolo", F489)), ISNUMBER(SEARCH("SUPERMERCADO", F489))), "6.1 Despesas Administrativas (Pessoal)", IF(OR(ISNUMBER(SEARCH("DLKNET", F489)), ISNUMBER(SEARCH("TESTE", F489))), "6.1 Despesas Administrativas (Gerais)", IFERROR(VLOOKUP(H489, De_Para!A:B, 2, FALSE), "NÃO MAPEADO"))), IFERROR(VLOOKUP(H489, De_Para!A:B, 2, FALSE), "NÃO MAPEADO"))</f>
        <v/>
      </c>
    </row>
    <row r="490">
      <c r="A490" s="2" t="inlineStr">
        <is>
          <t>69197</t>
        </is>
      </c>
      <c r="B490" s="2" t="inlineStr">
        <is>
          <t>Sicoob</t>
        </is>
      </c>
      <c r="C490" s="2" t="inlineStr">
        <is>
          <t>22/06/2026</t>
        </is>
      </c>
      <c r="D490" s="2" t="inlineStr">
        <is>
          <t>22/06/2026</t>
        </is>
      </c>
      <c r="E490" s="2" t="inlineStr">
        <is>
          <t>Dinheiro</t>
        </is>
      </c>
      <c r="F490" s="2" t="inlineStr">
        <is>
          <t>Boleto "58189" do cliente "JECIEL ANTONIO FERREIRA"</t>
        </is>
      </c>
      <c r="G490" s="2" t="inlineStr">
        <is>
          <t>system</t>
        </is>
      </c>
      <c r="H490" s="2" t="inlineStr">
        <is>
          <t>01.03.01 : Mensalidade</t>
        </is>
      </c>
      <c r="I490" s="3" t="n">
        <v>107.51</v>
      </c>
      <c r="J490" s="2" t="n"/>
      <c r="K490" s="2">
        <f>IF(H490="02.09 : Outras Saídas", IF(OR(ISNUMBER(SEARCH("CHEQUE COMPE SICREDI", F490)), ISNUMBER(SEARCH("aniversario", F490)), ISNUMBER(SEARCH("churrasco", F490)), ISNUMBER(SEARCH("bolo", F490)), ISNUMBER(SEARCH("SUPERMERCADO", F490))), "6.1 Despesas Administrativas (Pessoal)", IF(OR(ISNUMBER(SEARCH("DLKNET", F490)), ISNUMBER(SEARCH("TESTE", F490))), "6.1 Despesas Administrativas (Gerais)", IFERROR(VLOOKUP(H490, De_Para!A:B, 2, FALSE), "NÃO MAPEADO"))), IFERROR(VLOOKUP(H490, De_Para!A:B, 2, FALSE), "NÃO MAPEADO"))</f>
        <v/>
      </c>
    </row>
    <row r="491">
      <c r="A491" s="2" t="inlineStr">
        <is>
          <t>69196</t>
        </is>
      </c>
      <c r="B491" s="2" t="inlineStr">
        <is>
          <t>Sicoob</t>
        </is>
      </c>
      <c r="C491" s="2" t="inlineStr">
        <is>
          <t>22/06/2026</t>
        </is>
      </c>
      <c r="D491" s="2" t="inlineStr">
        <is>
          <t>22/06/2026</t>
        </is>
      </c>
      <c r="E491" s="2" t="inlineStr">
        <is>
          <t>Dinheiro</t>
        </is>
      </c>
      <c r="F491" s="2" t="inlineStr">
        <is>
          <t>Boleto "54670" do cliente "MARCELO ALVES DA COSTA"</t>
        </is>
      </c>
      <c r="G491" s="2" t="inlineStr">
        <is>
          <t>system</t>
        </is>
      </c>
      <c r="H491" s="2" t="inlineStr">
        <is>
          <t>02.03.02.01 : Cobrança Bancaria</t>
        </is>
      </c>
      <c r="I491" s="2" t="n"/>
      <c r="J491" s="3" t="n">
        <v>-0.88</v>
      </c>
      <c r="K491" s="2">
        <f>IF(H491="02.09 : Outras Saídas", IF(OR(ISNUMBER(SEARCH("CHEQUE COMPE SICREDI", F491)), ISNUMBER(SEARCH("aniversario", F491)), ISNUMBER(SEARCH("churrasco", F491)), ISNUMBER(SEARCH("bolo", F491)), ISNUMBER(SEARCH("SUPERMERCADO", F491))), "6.1 Despesas Administrativas (Pessoal)", IF(OR(ISNUMBER(SEARCH("DLKNET", F491)), ISNUMBER(SEARCH("TESTE", F491))), "6.1 Despesas Administrativas (Gerais)", IFERROR(VLOOKUP(H491, De_Para!A:B, 2, FALSE), "NÃO MAPEADO"))), IFERROR(VLOOKUP(H491, De_Para!A:B, 2, FALSE), "NÃO MAPEADO"))</f>
        <v/>
      </c>
    </row>
    <row r="492">
      <c r="A492" s="2" t="inlineStr">
        <is>
          <t>69195</t>
        </is>
      </c>
      <c r="B492" s="2" t="inlineStr">
        <is>
          <t>Sicoob</t>
        </is>
      </c>
      <c r="C492" s="2" t="inlineStr">
        <is>
          <t>22/06/2026</t>
        </is>
      </c>
      <c r="D492" s="2" t="inlineStr">
        <is>
          <t>22/06/2026</t>
        </is>
      </c>
      <c r="E492" s="2" t="inlineStr">
        <is>
          <t>Dinheiro</t>
        </is>
      </c>
      <c r="F492" s="2" t="inlineStr">
        <is>
          <t>Boleto "54670" do cliente "MARCELO ALVES DA COSTA"</t>
        </is>
      </c>
      <c r="G492" s="2" t="inlineStr">
        <is>
          <t>system</t>
        </is>
      </c>
      <c r="H492" s="2" t="inlineStr">
        <is>
          <t>01.01.01 : Mensalidade</t>
        </is>
      </c>
      <c r="I492" s="3" t="n">
        <v>113.19</v>
      </c>
      <c r="J492" s="2" t="n"/>
      <c r="K492" s="2">
        <f>IF(H492="02.09 : Outras Saídas", IF(OR(ISNUMBER(SEARCH("CHEQUE COMPE SICREDI", F492)), ISNUMBER(SEARCH("aniversario", F492)), ISNUMBER(SEARCH("churrasco", F492)), ISNUMBER(SEARCH("bolo", F492)), ISNUMBER(SEARCH("SUPERMERCADO", F492))), "6.1 Despesas Administrativas (Pessoal)", IF(OR(ISNUMBER(SEARCH("DLKNET", F492)), ISNUMBER(SEARCH("TESTE", F492))), "6.1 Despesas Administrativas (Gerais)", IFERROR(VLOOKUP(H492, De_Para!A:B, 2, FALSE), "NÃO MAPEADO"))), IFERROR(VLOOKUP(H492, De_Para!A:B, 2, FALSE), "NÃO MAPEADO"))</f>
        <v/>
      </c>
    </row>
    <row r="493">
      <c r="A493" s="2" t="inlineStr">
        <is>
          <t>69194</t>
        </is>
      </c>
      <c r="B493" s="2" t="inlineStr">
        <is>
          <t>Sicoob</t>
        </is>
      </c>
      <c r="C493" s="2" t="inlineStr">
        <is>
          <t>22/06/2026</t>
        </is>
      </c>
      <c r="D493" s="2" t="inlineStr">
        <is>
          <t>22/06/2026</t>
        </is>
      </c>
      <c r="E493" s="2" t="inlineStr">
        <is>
          <t>Dinheiro</t>
        </is>
      </c>
      <c r="F493" s="2" t="inlineStr">
        <is>
          <t>Boleto "54430" do cliente "SAMUEL INOCENCIO DO AMARAL"</t>
        </is>
      </c>
      <c r="G493" s="2" t="inlineStr">
        <is>
          <t>system</t>
        </is>
      </c>
      <c r="H493" s="2" t="inlineStr">
        <is>
          <t>02.03.02.01 : Cobrança Bancaria</t>
        </is>
      </c>
      <c r="I493" s="2" t="n"/>
      <c r="J493" s="3" t="n">
        <v>-0.88</v>
      </c>
      <c r="K493" s="2">
        <f>IF(H493="02.09 : Outras Saídas", IF(OR(ISNUMBER(SEARCH("CHEQUE COMPE SICREDI", F493)), ISNUMBER(SEARCH("aniversario", F493)), ISNUMBER(SEARCH("churrasco", F493)), ISNUMBER(SEARCH("bolo", F493)), ISNUMBER(SEARCH("SUPERMERCADO", F493))), "6.1 Despesas Administrativas (Pessoal)", IF(OR(ISNUMBER(SEARCH("DLKNET", F493)), ISNUMBER(SEARCH("TESTE", F493))), "6.1 Despesas Administrativas (Gerais)", IFERROR(VLOOKUP(H493, De_Para!A:B, 2, FALSE), "NÃO MAPEADO"))), IFERROR(VLOOKUP(H493, De_Para!A:B, 2, FALSE), "NÃO MAPEADO"))</f>
        <v/>
      </c>
    </row>
    <row r="494">
      <c r="A494" s="2" t="inlineStr">
        <is>
          <t>69193</t>
        </is>
      </c>
      <c r="B494" s="2" t="inlineStr">
        <is>
          <t>Sicoob</t>
        </is>
      </c>
      <c r="C494" s="2" t="inlineStr">
        <is>
          <t>22/06/2026</t>
        </is>
      </c>
      <c r="D494" s="2" t="inlineStr">
        <is>
          <t>22/06/2026</t>
        </is>
      </c>
      <c r="E494" s="2" t="inlineStr">
        <is>
          <t>Dinheiro</t>
        </is>
      </c>
      <c r="F494" s="2" t="inlineStr">
        <is>
          <t>Boleto "54430" do cliente "SAMUEL INOCENCIO DO AMARAL"</t>
        </is>
      </c>
      <c r="G494" s="2" t="inlineStr">
        <is>
          <t>system</t>
        </is>
      </c>
      <c r="H494" s="2" t="inlineStr">
        <is>
          <t>01.01.01 : Mensalidade</t>
        </is>
      </c>
      <c r="I494" s="3" t="n">
        <v>105</v>
      </c>
      <c r="J494" s="2" t="n"/>
      <c r="K494" s="2">
        <f>IF(H494="02.09 : Outras Saídas", IF(OR(ISNUMBER(SEARCH("CHEQUE COMPE SICREDI", F494)), ISNUMBER(SEARCH("aniversario", F494)), ISNUMBER(SEARCH("churrasco", F494)), ISNUMBER(SEARCH("bolo", F494)), ISNUMBER(SEARCH("SUPERMERCADO", F494))), "6.1 Despesas Administrativas (Pessoal)", IF(OR(ISNUMBER(SEARCH("DLKNET", F494)), ISNUMBER(SEARCH("TESTE", F494))), "6.1 Despesas Administrativas (Gerais)", IFERROR(VLOOKUP(H494, De_Para!A:B, 2, FALSE), "NÃO MAPEADO"))), IFERROR(VLOOKUP(H494, De_Para!A:B, 2, FALSE), "NÃO MAPEADO"))</f>
        <v/>
      </c>
    </row>
    <row r="495">
      <c r="A495" s="2" t="inlineStr">
        <is>
          <t>69192</t>
        </is>
      </c>
      <c r="B495" s="2" t="inlineStr">
        <is>
          <t>Sicoob</t>
        </is>
      </c>
      <c r="C495" s="2" t="inlineStr">
        <is>
          <t>22/06/2026</t>
        </is>
      </c>
      <c r="D495" s="2" t="inlineStr">
        <is>
          <t>22/06/2026</t>
        </is>
      </c>
      <c r="E495" s="2" t="inlineStr">
        <is>
          <t>Dinheiro</t>
        </is>
      </c>
      <c r="F495" s="2" t="inlineStr">
        <is>
          <t>Boleto "54040" do cliente "FRANCISCO CARLOS BERTOLINO JUNIOR"</t>
        </is>
      </c>
      <c r="G495" s="2" t="inlineStr">
        <is>
          <t>system</t>
        </is>
      </c>
      <c r="H495" s="2" t="inlineStr">
        <is>
          <t>02.03.02.01 : Cobrança Bancaria</t>
        </is>
      </c>
      <c r="I495" s="2" t="n"/>
      <c r="J495" s="3" t="n">
        <v>-0.88</v>
      </c>
      <c r="K495" s="2">
        <f>IF(H495="02.09 : Outras Saídas", IF(OR(ISNUMBER(SEARCH("CHEQUE COMPE SICREDI", F495)), ISNUMBER(SEARCH("aniversario", F495)), ISNUMBER(SEARCH("churrasco", F495)), ISNUMBER(SEARCH("bolo", F495)), ISNUMBER(SEARCH("SUPERMERCADO", F495))), "6.1 Despesas Administrativas (Pessoal)", IF(OR(ISNUMBER(SEARCH("DLKNET", F495)), ISNUMBER(SEARCH("TESTE", F495))), "6.1 Despesas Administrativas (Gerais)", IFERROR(VLOOKUP(H495, De_Para!A:B, 2, FALSE), "NÃO MAPEADO"))), IFERROR(VLOOKUP(H495, De_Para!A:B, 2, FALSE), "NÃO MAPEADO"))</f>
        <v/>
      </c>
    </row>
    <row r="496">
      <c r="A496" s="2" t="inlineStr">
        <is>
          <t>69191</t>
        </is>
      </c>
      <c r="B496" s="2" t="inlineStr">
        <is>
          <t>Sicoob</t>
        </is>
      </c>
      <c r="C496" s="2" t="inlineStr">
        <is>
          <t>22/06/2026</t>
        </is>
      </c>
      <c r="D496" s="2" t="inlineStr">
        <is>
          <t>22/06/2026</t>
        </is>
      </c>
      <c r="E496" s="2" t="inlineStr">
        <is>
          <t>Dinheiro</t>
        </is>
      </c>
      <c r="F496" s="2" t="inlineStr">
        <is>
          <t>Boleto "54040" do cliente "FRANCISCO CARLOS BERTOLINO JUNIOR"</t>
        </is>
      </c>
      <c r="G496" s="2" t="inlineStr">
        <is>
          <t>system</t>
        </is>
      </c>
      <c r="H496" s="2" t="inlineStr">
        <is>
          <t>01.01.01 : Mensalidade</t>
        </is>
      </c>
      <c r="I496" s="3" t="n">
        <v>105</v>
      </c>
      <c r="J496" s="2" t="n"/>
      <c r="K496" s="2">
        <f>IF(H496="02.09 : Outras Saídas", IF(OR(ISNUMBER(SEARCH("CHEQUE COMPE SICREDI", F496)), ISNUMBER(SEARCH("aniversario", F496)), ISNUMBER(SEARCH("churrasco", F496)), ISNUMBER(SEARCH("bolo", F496)), ISNUMBER(SEARCH("SUPERMERCADO", F496))), "6.1 Despesas Administrativas (Pessoal)", IF(OR(ISNUMBER(SEARCH("DLKNET", F496)), ISNUMBER(SEARCH("TESTE", F496))), "6.1 Despesas Administrativas (Gerais)", IFERROR(VLOOKUP(H496, De_Para!A:B, 2, FALSE), "NÃO MAPEADO"))), IFERROR(VLOOKUP(H496, De_Para!A:B, 2, FALSE), "NÃO MAPEADO"))</f>
        <v/>
      </c>
    </row>
    <row r="497">
      <c r="A497" s="2" t="inlineStr">
        <is>
          <t>69190</t>
        </is>
      </c>
      <c r="B497" s="2" t="inlineStr">
        <is>
          <t>Sicoob</t>
        </is>
      </c>
      <c r="C497" s="2" t="inlineStr">
        <is>
          <t>22/06/2026</t>
        </is>
      </c>
      <c r="D497" s="2" t="inlineStr">
        <is>
          <t>22/06/2026</t>
        </is>
      </c>
      <c r="E497" s="2" t="inlineStr">
        <is>
          <t>Dinheiro</t>
        </is>
      </c>
      <c r="F497" s="2" t="inlineStr">
        <is>
          <t>Boleto "54018" do cliente "LUIZ CARLOS MENDES PEREIRA"</t>
        </is>
      </c>
      <c r="G497" s="2" t="inlineStr">
        <is>
          <t>system</t>
        </is>
      </c>
      <c r="H497" s="2" t="inlineStr">
        <is>
          <t>02.03.02.01 : Cobrança Bancaria</t>
        </is>
      </c>
      <c r="I497" s="2" t="n"/>
      <c r="J497" s="3" t="n">
        <v>-0.88</v>
      </c>
      <c r="K497" s="2">
        <f>IF(H497="02.09 : Outras Saídas", IF(OR(ISNUMBER(SEARCH("CHEQUE COMPE SICREDI", F497)), ISNUMBER(SEARCH("aniversario", F497)), ISNUMBER(SEARCH("churrasco", F497)), ISNUMBER(SEARCH("bolo", F497)), ISNUMBER(SEARCH("SUPERMERCADO", F497))), "6.1 Despesas Administrativas (Pessoal)", IF(OR(ISNUMBER(SEARCH("DLKNET", F497)), ISNUMBER(SEARCH("TESTE", F497))), "6.1 Despesas Administrativas (Gerais)", IFERROR(VLOOKUP(H497, De_Para!A:B, 2, FALSE), "NÃO MAPEADO"))), IFERROR(VLOOKUP(H497, De_Para!A:B, 2, FALSE), "NÃO MAPEADO"))</f>
        <v/>
      </c>
    </row>
    <row r="498">
      <c r="A498" s="2" t="inlineStr">
        <is>
          <t>69189</t>
        </is>
      </c>
      <c r="B498" s="2" t="inlineStr">
        <is>
          <t>Sicoob</t>
        </is>
      </c>
      <c r="C498" s="2" t="inlineStr">
        <is>
          <t>22/06/2026</t>
        </is>
      </c>
      <c r="D498" s="2" t="inlineStr">
        <is>
          <t>22/06/2026</t>
        </is>
      </c>
      <c r="E498" s="2" t="inlineStr">
        <is>
          <t>Dinheiro</t>
        </is>
      </c>
      <c r="F498" s="2" t="inlineStr">
        <is>
          <t>Boleto "54018" do cliente "LUIZ CARLOS MENDES PEREIRA"</t>
        </is>
      </c>
      <c r="G498" s="2" t="inlineStr">
        <is>
          <t>system</t>
        </is>
      </c>
      <c r="H498" s="2" t="inlineStr">
        <is>
          <t>01.01.01 : Mensalidade</t>
        </is>
      </c>
      <c r="I498" s="3" t="n">
        <v>105</v>
      </c>
      <c r="J498" s="2" t="n"/>
      <c r="K498" s="2">
        <f>IF(H498="02.09 : Outras Saídas", IF(OR(ISNUMBER(SEARCH("CHEQUE COMPE SICREDI", F498)), ISNUMBER(SEARCH("aniversario", F498)), ISNUMBER(SEARCH("churrasco", F498)), ISNUMBER(SEARCH("bolo", F498)), ISNUMBER(SEARCH("SUPERMERCADO", F498))), "6.1 Despesas Administrativas (Pessoal)", IF(OR(ISNUMBER(SEARCH("DLKNET", F498)), ISNUMBER(SEARCH("TESTE", F498))), "6.1 Despesas Administrativas (Gerais)", IFERROR(VLOOKUP(H498, De_Para!A:B, 2, FALSE), "NÃO MAPEADO"))), IFERROR(VLOOKUP(H498, De_Para!A:B, 2, FALSE), "NÃO MAPEADO"))</f>
        <v/>
      </c>
    </row>
    <row r="499">
      <c r="A499" s="2" t="inlineStr">
        <is>
          <t>69188</t>
        </is>
      </c>
      <c r="B499" s="2" t="inlineStr">
        <is>
          <t>Sicoob</t>
        </is>
      </c>
      <c r="C499" s="2" t="inlineStr">
        <is>
          <t>22/06/2026</t>
        </is>
      </c>
      <c r="D499" s="2" t="inlineStr">
        <is>
          <t>22/06/2026</t>
        </is>
      </c>
      <c r="E499" s="2" t="inlineStr">
        <is>
          <t>Dinheiro</t>
        </is>
      </c>
      <c r="F499" s="2" t="inlineStr">
        <is>
          <t>Boleto "54007" do cliente "REGINALDO INOCENCIO BRAGA"</t>
        </is>
      </c>
      <c r="G499" s="2" t="inlineStr">
        <is>
          <t>system</t>
        </is>
      </c>
      <c r="H499" s="2" t="inlineStr">
        <is>
          <t>02.03.02.01 : Cobrança Bancaria</t>
        </is>
      </c>
      <c r="I499" s="2" t="n"/>
      <c r="J499" s="3" t="n">
        <v>-0.88</v>
      </c>
      <c r="K499" s="2">
        <f>IF(H499="02.09 : Outras Saídas", IF(OR(ISNUMBER(SEARCH("CHEQUE COMPE SICREDI", F499)), ISNUMBER(SEARCH("aniversario", F499)), ISNUMBER(SEARCH("churrasco", F499)), ISNUMBER(SEARCH("bolo", F499)), ISNUMBER(SEARCH("SUPERMERCADO", F499))), "6.1 Despesas Administrativas (Pessoal)", IF(OR(ISNUMBER(SEARCH("DLKNET", F499)), ISNUMBER(SEARCH("TESTE", F499))), "6.1 Despesas Administrativas (Gerais)", IFERROR(VLOOKUP(H499, De_Para!A:B, 2, FALSE), "NÃO MAPEADO"))), IFERROR(VLOOKUP(H499, De_Para!A:B, 2, FALSE), "NÃO MAPEADO"))</f>
        <v/>
      </c>
    </row>
    <row r="500">
      <c r="A500" s="2" t="inlineStr">
        <is>
          <t>69187</t>
        </is>
      </c>
      <c r="B500" s="2" t="inlineStr">
        <is>
          <t>Sicoob</t>
        </is>
      </c>
      <c r="C500" s="2" t="inlineStr">
        <is>
          <t>22/06/2026</t>
        </is>
      </c>
      <c r="D500" s="2" t="inlineStr">
        <is>
          <t>22/06/2026</t>
        </is>
      </c>
      <c r="E500" s="2" t="inlineStr">
        <is>
          <t>Dinheiro</t>
        </is>
      </c>
      <c r="F500" s="2" t="inlineStr">
        <is>
          <t>Boleto "54007" do cliente "REGINALDO INOCENCIO BRAGA"</t>
        </is>
      </c>
      <c r="G500" s="2" t="inlineStr">
        <is>
          <t>system</t>
        </is>
      </c>
      <c r="H500" s="2" t="inlineStr">
        <is>
          <t>01.01.01 : Mensalidade</t>
        </is>
      </c>
      <c r="I500" s="3" t="n">
        <v>80</v>
      </c>
      <c r="J500" s="2" t="n"/>
      <c r="K500" s="2">
        <f>IF(H500="02.09 : Outras Saídas", IF(OR(ISNUMBER(SEARCH("CHEQUE COMPE SICREDI", F500)), ISNUMBER(SEARCH("aniversario", F500)), ISNUMBER(SEARCH("churrasco", F500)), ISNUMBER(SEARCH("bolo", F500)), ISNUMBER(SEARCH("SUPERMERCADO", F500))), "6.1 Despesas Administrativas (Pessoal)", IF(OR(ISNUMBER(SEARCH("DLKNET", F500)), ISNUMBER(SEARCH("TESTE", F500))), "6.1 Despesas Administrativas (Gerais)", IFERROR(VLOOKUP(H500, De_Para!A:B, 2, FALSE), "NÃO MAPEADO"))), IFERROR(VLOOKUP(H500, De_Para!A:B, 2, FALSE), "NÃO MAPEADO"))</f>
        <v/>
      </c>
    </row>
    <row r="501">
      <c r="A501" s="2" t="inlineStr">
        <is>
          <t>69186</t>
        </is>
      </c>
      <c r="B501" s="2" t="inlineStr">
        <is>
          <t>Sicoob</t>
        </is>
      </c>
      <c r="C501" s="2" t="inlineStr">
        <is>
          <t>22/06/2026</t>
        </is>
      </c>
      <c r="D501" s="2" t="inlineStr">
        <is>
          <t>22/06/2026</t>
        </is>
      </c>
      <c r="E501" s="2" t="inlineStr">
        <is>
          <t>Dinheiro</t>
        </is>
      </c>
      <c r="F501" s="2" t="inlineStr">
        <is>
          <t>Boleto "67720" do cliente "MARCELO ANTONIO DA SILVA LOPES"</t>
        </is>
      </c>
      <c r="G501" s="2" t="inlineStr">
        <is>
          <t>system</t>
        </is>
      </c>
      <c r="H501" s="2" t="inlineStr">
        <is>
          <t>02.03.02.01 : Cobrança Bancaria</t>
        </is>
      </c>
      <c r="I501" s="2" t="n"/>
      <c r="J501" s="3" t="n">
        <v>-0.88</v>
      </c>
      <c r="K501" s="2">
        <f>IF(H501="02.09 : Outras Saídas", IF(OR(ISNUMBER(SEARCH("CHEQUE COMPE SICREDI", F501)), ISNUMBER(SEARCH("aniversario", F501)), ISNUMBER(SEARCH("churrasco", F501)), ISNUMBER(SEARCH("bolo", F501)), ISNUMBER(SEARCH("SUPERMERCADO", F501))), "6.1 Despesas Administrativas (Pessoal)", IF(OR(ISNUMBER(SEARCH("DLKNET", F501)), ISNUMBER(SEARCH("TESTE", F501))), "6.1 Despesas Administrativas (Gerais)", IFERROR(VLOOKUP(H501, De_Para!A:B, 2, FALSE), "NÃO MAPEADO"))), IFERROR(VLOOKUP(H501, De_Para!A:B, 2, FALSE), "NÃO MAPEADO"))</f>
        <v/>
      </c>
    </row>
    <row r="502">
      <c r="A502" s="2" t="inlineStr">
        <is>
          <t>69185</t>
        </is>
      </c>
      <c r="B502" s="2" t="inlineStr">
        <is>
          <t>Sicoob</t>
        </is>
      </c>
      <c r="C502" s="2" t="inlineStr">
        <is>
          <t>22/06/2026</t>
        </is>
      </c>
      <c r="D502" s="2" t="inlineStr">
        <is>
          <t>22/06/2026</t>
        </is>
      </c>
      <c r="E502" s="2" t="inlineStr">
        <is>
          <t>Dinheiro</t>
        </is>
      </c>
      <c r="F502" s="2" t="inlineStr">
        <is>
          <t>Boleto "67720" do cliente "MARCELO ANTONIO DA SILVA LOPES"</t>
        </is>
      </c>
      <c r="G502" s="2" t="inlineStr">
        <is>
          <t>system</t>
        </is>
      </c>
      <c r="H502" s="2" t="inlineStr">
        <is>
          <t>01.01.01 : Mensalidade</t>
        </is>
      </c>
      <c r="I502" s="3" t="n">
        <v>109.9</v>
      </c>
      <c r="J502" s="2" t="n"/>
      <c r="K502" s="2">
        <f>IF(H502="02.09 : Outras Saídas", IF(OR(ISNUMBER(SEARCH("CHEQUE COMPE SICREDI", F502)), ISNUMBER(SEARCH("aniversario", F502)), ISNUMBER(SEARCH("churrasco", F502)), ISNUMBER(SEARCH("bolo", F502)), ISNUMBER(SEARCH("SUPERMERCADO", F502))), "6.1 Despesas Administrativas (Pessoal)", IF(OR(ISNUMBER(SEARCH("DLKNET", F502)), ISNUMBER(SEARCH("TESTE", F502))), "6.1 Despesas Administrativas (Gerais)", IFERROR(VLOOKUP(H502, De_Para!A:B, 2, FALSE), "NÃO MAPEADO"))), IFERROR(VLOOKUP(H502, De_Para!A:B, 2, FALSE), "NÃO MAPEADO"))</f>
        <v/>
      </c>
    </row>
    <row r="503">
      <c r="A503" s="2" t="inlineStr">
        <is>
          <t>69184</t>
        </is>
      </c>
      <c r="B503" s="2" t="inlineStr">
        <is>
          <t>Sicoob</t>
        </is>
      </c>
      <c r="C503" s="2" t="inlineStr">
        <is>
          <t>22/06/2026</t>
        </is>
      </c>
      <c r="D503" s="2" t="inlineStr">
        <is>
          <t>22/06/2026</t>
        </is>
      </c>
      <c r="E503" s="2" t="inlineStr">
        <is>
          <t>Dinheiro</t>
        </is>
      </c>
      <c r="F503" s="2" t="inlineStr">
        <is>
          <t>Boleto "67270" do cliente "DORIVAL DE CAMARGO"</t>
        </is>
      </c>
      <c r="G503" s="2" t="inlineStr">
        <is>
          <t>system</t>
        </is>
      </c>
      <c r="H503" s="2" t="inlineStr">
        <is>
          <t>02.03.02.01 : Cobrança Bancaria</t>
        </is>
      </c>
      <c r="I503" s="2" t="n"/>
      <c r="J503" s="3" t="n">
        <v>-0.88</v>
      </c>
      <c r="K503" s="2">
        <f>IF(H503="02.09 : Outras Saídas", IF(OR(ISNUMBER(SEARCH("CHEQUE COMPE SICREDI", F503)), ISNUMBER(SEARCH("aniversario", F503)), ISNUMBER(SEARCH("churrasco", F503)), ISNUMBER(SEARCH("bolo", F503)), ISNUMBER(SEARCH("SUPERMERCADO", F503))), "6.1 Despesas Administrativas (Pessoal)", IF(OR(ISNUMBER(SEARCH("DLKNET", F503)), ISNUMBER(SEARCH("TESTE", F503))), "6.1 Despesas Administrativas (Gerais)", IFERROR(VLOOKUP(H503, De_Para!A:B, 2, FALSE), "NÃO MAPEADO"))), IFERROR(VLOOKUP(H503, De_Para!A:B, 2, FALSE), "NÃO MAPEADO"))</f>
        <v/>
      </c>
    </row>
    <row r="504">
      <c r="A504" s="2" t="inlineStr">
        <is>
          <t>69183</t>
        </is>
      </c>
      <c r="B504" s="2" t="inlineStr">
        <is>
          <t>Sicoob</t>
        </is>
      </c>
      <c r="C504" s="2" t="inlineStr">
        <is>
          <t>22/06/2026</t>
        </is>
      </c>
      <c r="D504" s="2" t="inlineStr">
        <is>
          <t>22/06/2026</t>
        </is>
      </c>
      <c r="E504" s="2" t="inlineStr">
        <is>
          <t>Dinheiro</t>
        </is>
      </c>
      <c r="F504" s="2" t="inlineStr">
        <is>
          <t>Boleto "67270" do cliente "DORIVAL DE CAMARGO"</t>
        </is>
      </c>
      <c r="G504" s="2" t="inlineStr">
        <is>
          <t>system</t>
        </is>
      </c>
      <c r="H504" s="2" t="inlineStr">
        <is>
          <t>01.01.01 : Mensalidade</t>
        </is>
      </c>
      <c r="I504" s="3" t="n">
        <v>99.90000000000001</v>
      </c>
      <c r="J504" s="2" t="n"/>
      <c r="K504" s="2">
        <f>IF(H504="02.09 : Outras Saídas", IF(OR(ISNUMBER(SEARCH("CHEQUE COMPE SICREDI", F504)), ISNUMBER(SEARCH("aniversario", F504)), ISNUMBER(SEARCH("churrasco", F504)), ISNUMBER(SEARCH("bolo", F504)), ISNUMBER(SEARCH("SUPERMERCADO", F504))), "6.1 Despesas Administrativas (Pessoal)", IF(OR(ISNUMBER(SEARCH("DLKNET", F504)), ISNUMBER(SEARCH("TESTE", F504))), "6.1 Despesas Administrativas (Gerais)", IFERROR(VLOOKUP(H504, De_Para!A:B, 2, FALSE), "NÃO MAPEADO"))), IFERROR(VLOOKUP(H504, De_Para!A:B, 2, FALSE), "NÃO MAPEADO"))</f>
        <v/>
      </c>
    </row>
    <row r="505">
      <c r="A505" s="2" t="inlineStr">
        <is>
          <t>69182</t>
        </is>
      </c>
      <c r="B505" s="2" t="inlineStr">
        <is>
          <t>Sicoob</t>
        </is>
      </c>
      <c r="C505" s="2" t="inlineStr">
        <is>
          <t>22/06/2026</t>
        </is>
      </c>
      <c r="D505" s="2" t="inlineStr">
        <is>
          <t>22/06/2026</t>
        </is>
      </c>
      <c r="E505" s="2" t="inlineStr">
        <is>
          <t>Dinheiro</t>
        </is>
      </c>
      <c r="F505" s="2" t="inlineStr">
        <is>
          <t>Boleto "67259" do cliente "MARILDO AMADO DE JESUS BALESTRA"</t>
        </is>
      </c>
      <c r="G505" s="2" t="inlineStr">
        <is>
          <t>system</t>
        </is>
      </c>
      <c r="H505" s="2" t="inlineStr">
        <is>
          <t>02.03.02.01 : Cobrança Bancaria</t>
        </is>
      </c>
      <c r="I505" s="2" t="n"/>
      <c r="J505" s="3" t="n">
        <v>-0.88</v>
      </c>
      <c r="K505" s="2">
        <f>IF(H505="02.09 : Outras Saídas", IF(OR(ISNUMBER(SEARCH("CHEQUE COMPE SICREDI", F505)), ISNUMBER(SEARCH("aniversario", F505)), ISNUMBER(SEARCH("churrasco", F505)), ISNUMBER(SEARCH("bolo", F505)), ISNUMBER(SEARCH("SUPERMERCADO", F505))), "6.1 Despesas Administrativas (Pessoal)", IF(OR(ISNUMBER(SEARCH("DLKNET", F505)), ISNUMBER(SEARCH("TESTE", F505))), "6.1 Despesas Administrativas (Gerais)", IFERROR(VLOOKUP(H505, De_Para!A:B, 2, FALSE), "NÃO MAPEADO"))), IFERROR(VLOOKUP(H505, De_Para!A:B, 2, FALSE), "NÃO MAPEADO"))</f>
        <v/>
      </c>
    </row>
    <row r="506">
      <c r="A506" s="2" t="inlineStr">
        <is>
          <t>69181</t>
        </is>
      </c>
      <c r="B506" s="2" t="inlineStr">
        <is>
          <t>Sicoob</t>
        </is>
      </c>
      <c r="C506" s="2" t="inlineStr">
        <is>
          <t>22/06/2026</t>
        </is>
      </c>
      <c r="D506" s="2" t="inlineStr">
        <is>
          <t>22/06/2026</t>
        </is>
      </c>
      <c r="E506" s="2" t="inlineStr">
        <is>
          <t>Dinheiro</t>
        </is>
      </c>
      <c r="F506" s="2" t="inlineStr">
        <is>
          <t>Boleto "67259" do cliente "MARILDO AMADO DE JESUS BALESTRA"</t>
        </is>
      </c>
      <c r="G506" s="2" t="inlineStr">
        <is>
          <t>system</t>
        </is>
      </c>
      <c r="H506" s="2" t="inlineStr">
        <is>
          <t>01.01.01 : Mensalidade</t>
        </is>
      </c>
      <c r="I506" s="3" t="n">
        <v>80</v>
      </c>
      <c r="J506" s="2" t="n"/>
      <c r="K506" s="2">
        <f>IF(H506="02.09 : Outras Saídas", IF(OR(ISNUMBER(SEARCH("CHEQUE COMPE SICREDI", F506)), ISNUMBER(SEARCH("aniversario", F506)), ISNUMBER(SEARCH("churrasco", F506)), ISNUMBER(SEARCH("bolo", F506)), ISNUMBER(SEARCH("SUPERMERCADO", F506))), "6.1 Despesas Administrativas (Pessoal)", IF(OR(ISNUMBER(SEARCH("DLKNET", F506)), ISNUMBER(SEARCH("TESTE", F506))), "6.1 Despesas Administrativas (Gerais)", IFERROR(VLOOKUP(H506, De_Para!A:B, 2, FALSE), "NÃO MAPEADO"))), IFERROR(VLOOKUP(H506, De_Para!A:B, 2, FALSE), "NÃO MAPEADO"))</f>
        <v/>
      </c>
    </row>
    <row r="507">
      <c r="A507" s="2" t="inlineStr">
        <is>
          <t>69180</t>
        </is>
      </c>
      <c r="B507" s="2" t="inlineStr">
        <is>
          <t>Sicoob</t>
        </is>
      </c>
      <c r="C507" s="2" t="inlineStr">
        <is>
          <t>22/06/2026</t>
        </is>
      </c>
      <c r="D507" s="2" t="inlineStr">
        <is>
          <t>22/06/2026</t>
        </is>
      </c>
      <c r="E507" s="2" t="inlineStr">
        <is>
          <t>Dinheiro</t>
        </is>
      </c>
      <c r="F507" s="2" t="inlineStr">
        <is>
          <t>Boleto "67237" do cliente "ADENILSON DA SILVA RIBEIRO"</t>
        </is>
      </c>
      <c r="G507" s="2" t="inlineStr">
        <is>
          <t>system</t>
        </is>
      </c>
      <c r="H507" s="2" t="inlineStr">
        <is>
          <t>02.03.02.01 : Cobrança Bancaria</t>
        </is>
      </c>
      <c r="I507" s="2" t="n"/>
      <c r="J507" s="3" t="n">
        <v>-0.88</v>
      </c>
      <c r="K507" s="2">
        <f>IF(H507="02.09 : Outras Saídas", IF(OR(ISNUMBER(SEARCH("CHEQUE COMPE SICREDI", F507)), ISNUMBER(SEARCH("aniversario", F507)), ISNUMBER(SEARCH("churrasco", F507)), ISNUMBER(SEARCH("bolo", F507)), ISNUMBER(SEARCH("SUPERMERCADO", F507))), "6.1 Despesas Administrativas (Pessoal)", IF(OR(ISNUMBER(SEARCH("DLKNET", F507)), ISNUMBER(SEARCH("TESTE", F507))), "6.1 Despesas Administrativas (Gerais)", IFERROR(VLOOKUP(H507, De_Para!A:B, 2, FALSE), "NÃO MAPEADO"))), IFERROR(VLOOKUP(H507, De_Para!A:B, 2, FALSE), "NÃO MAPEADO"))</f>
        <v/>
      </c>
    </row>
    <row r="508">
      <c r="A508" s="2" t="inlineStr">
        <is>
          <t>69179</t>
        </is>
      </c>
      <c r="B508" s="2" t="inlineStr">
        <is>
          <t>Sicoob</t>
        </is>
      </c>
      <c r="C508" s="2" t="inlineStr">
        <is>
          <t>22/06/2026</t>
        </is>
      </c>
      <c r="D508" s="2" t="inlineStr">
        <is>
          <t>22/06/2026</t>
        </is>
      </c>
      <c r="E508" s="2" t="inlineStr">
        <is>
          <t>Dinheiro</t>
        </is>
      </c>
      <c r="F508" s="2" t="inlineStr">
        <is>
          <t>Boleto "67237" do cliente "ADENILSON DA SILVA RIBEIRO"</t>
        </is>
      </c>
      <c r="G508" s="2" t="inlineStr">
        <is>
          <t>system</t>
        </is>
      </c>
      <c r="H508" s="2" t="inlineStr">
        <is>
          <t>01.01.01 : Mensalidade</t>
        </is>
      </c>
      <c r="I508" s="3" t="n">
        <v>104.9</v>
      </c>
      <c r="J508" s="2" t="n"/>
      <c r="K508" s="2">
        <f>IF(H508="02.09 : Outras Saídas", IF(OR(ISNUMBER(SEARCH("CHEQUE COMPE SICREDI", F508)), ISNUMBER(SEARCH("aniversario", F508)), ISNUMBER(SEARCH("churrasco", F508)), ISNUMBER(SEARCH("bolo", F508)), ISNUMBER(SEARCH("SUPERMERCADO", F508))), "6.1 Despesas Administrativas (Pessoal)", IF(OR(ISNUMBER(SEARCH("DLKNET", F508)), ISNUMBER(SEARCH("TESTE", F508))), "6.1 Despesas Administrativas (Gerais)", IFERROR(VLOOKUP(H508, De_Para!A:B, 2, FALSE), "NÃO MAPEADO"))), IFERROR(VLOOKUP(H508, De_Para!A:B, 2, FALSE), "NÃO MAPEADO"))</f>
        <v/>
      </c>
    </row>
    <row r="509">
      <c r="A509" s="2" t="inlineStr">
        <is>
          <t>69178</t>
        </is>
      </c>
      <c r="B509" s="2" t="inlineStr">
        <is>
          <t>Sicoob</t>
        </is>
      </c>
      <c r="C509" s="2" t="inlineStr">
        <is>
          <t>22/06/2026</t>
        </is>
      </c>
      <c r="D509" s="2" t="inlineStr">
        <is>
          <t>22/06/2026</t>
        </is>
      </c>
      <c r="E509" s="2" t="inlineStr">
        <is>
          <t>Dinheiro</t>
        </is>
      </c>
      <c r="F509" s="2" t="inlineStr">
        <is>
          <t>Boleto "67226" do cliente "ADRIANO ROBERTO DA COSTA"</t>
        </is>
      </c>
      <c r="G509" s="2" t="inlineStr">
        <is>
          <t>system</t>
        </is>
      </c>
      <c r="H509" s="2" t="inlineStr">
        <is>
          <t>02.03.02.01 : Cobrança Bancaria</t>
        </is>
      </c>
      <c r="I509" s="2" t="n"/>
      <c r="J509" s="3" t="n">
        <v>-0.88</v>
      </c>
      <c r="K509" s="2">
        <f>IF(H509="02.09 : Outras Saídas", IF(OR(ISNUMBER(SEARCH("CHEQUE COMPE SICREDI", F509)), ISNUMBER(SEARCH("aniversario", F509)), ISNUMBER(SEARCH("churrasco", F509)), ISNUMBER(SEARCH("bolo", F509)), ISNUMBER(SEARCH("SUPERMERCADO", F509))), "6.1 Despesas Administrativas (Pessoal)", IF(OR(ISNUMBER(SEARCH("DLKNET", F509)), ISNUMBER(SEARCH("TESTE", F509))), "6.1 Despesas Administrativas (Gerais)", IFERROR(VLOOKUP(H509, De_Para!A:B, 2, FALSE), "NÃO MAPEADO"))), IFERROR(VLOOKUP(H509, De_Para!A:B, 2, FALSE), "NÃO MAPEADO"))</f>
        <v/>
      </c>
    </row>
    <row r="510">
      <c r="A510" s="2" t="inlineStr">
        <is>
          <t>69177</t>
        </is>
      </c>
      <c r="B510" s="2" t="inlineStr">
        <is>
          <t>Sicoob</t>
        </is>
      </c>
      <c r="C510" s="2" t="inlineStr">
        <is>
          <t>22/06/2026</t>
        </is>
      </c>
      <c r="D510" s="2" t="inlineStr">
        <is>
          <t>22/06/2026</t>
        </is>
      </c>
      <c r="E510" s="2" t="inlineStr">
        <is>
          <t>Dinheiro</t>
        </is>
      </c>
      <c r="F510" s="2" t="inlineStr">
        <is>
          <t>Boleto "67226" do cliente "ADRIANO ROBERTO DA COSTA"</t>
        </is>
      </c>
      <c r="G510" s="2" t="inlineStr">
        <is>
          <t>system</t>
        </is>
      </c>
      <c r="H510" s="2" t="inlineStr">
        <is>
          <t>01.01.01 : Mensalidade</t>
        </is>
      </c>
      <c r="I510" s="3" t="n">
        <v>104.9</v>
      </c>
      <c r="J510" s="2" t="n"/>
      <c r="K510" s="2">
        <f>IF(H510="02.09 : Outras Saídas", IF(OR(ISNUMBER(SEARCH("CHEQUE COMPE SICREDI", F510)), ISNUMBER(SEARCH("aniversario", F510)), ISNUMBER(SEARCH("churrasco", F510)), ISNUMBER(SEARCH("bolo", F510)), ISNUMBER(SEARCH("SUPERMERCADO", F510))), "6.1 Despesas Administrativas (Pessoal)", IF(OR(ISNUMBER(SEARCH("DLKNET", F510)), ISNUMBER(SEARCH("TESTE", F510))), "6.1 Despesas Administrativas (Gerais)", IFERROR(VLOOKUP(H510, De_Para!A:B, 2, FALSE), "NÃO MAPEADO"))), IFERROR(VLOOKUP(H510, De_Para!A:B, 2, FALSE), "NÃO MAPEADO"))</f>
        <v/>
      </c>
    </row>
    <row r="511">
      <c r="A511" s="2" t="inlineStr">
        <is>
          <t>69176</t>
        </is>
      </c>
      <c r="B511" s="2" t="inlineStr">
        <is>
          <t>Sicoob</t>
        </is>
      </c>
      <c r="C511" s="2" t="inlineStr">
        <is>
          <t>22/06/2026</t>
        </is>
      </c>
      <c r="D511" s="2" t="inlineStr">
        <is>
          <t>22/06/2026</t>
        </is>
      </c>
      <c r="E511" s="2" t="inlineStr">
        <is>
          <t>Dinheiro</t>
        </is>
      </c>
      <c r="F511" s="2" t="inlineStr">
        <is>
          <t>Boleto "67108" do cliente "LUCAS KOCHINSKI PEREIRA DOS SANTOS"</t>
        </is>
      </c>
      <c r="G511" s="2" t="inlineStr">
        <is>
          <t>system</t>
        </is>
      </c>
      <c r="H511" s="2" t="inlineStr">
        <is>
          <t>02.03.02.01 : Cobrança Bancaria</t>
        </is>
      </c>
      <c r="I511" s="2" t="n"/>
      <c r="J511" s="3" t="n">
        <v>-0.88</v>
      </c>
      <c r="K511" s="2">
        <f>IF(H511="02.09 : Outras Saídas", IF(OR(ISNUMBER(SEARCH("CHEQUE COMPE SICREDI", F511)), ISNUMBER(SEARCH("aniversario", F511)), ISNUMBER(SEARCH("churrasco", F511)), ISNUMBER(SEARCH("bolo", F511)), ISNUMBER(SEARCH("SUPERMERCADO", F511))), "6.1 Despesas Administrativas (Pessoal)", IF(OR(ISNUMBER(SEARCH("DLKNET", F511)), ISNUMBER(SEARCH("TESTE", F511))), "6.1 Despesas Administrativas (Gerais)", IFERROR(VLOOKUP(H511, De_Para!A:B, 2, FALSE), "NÃO MAPEADO"))), IFERROR(VLOOKUP(H511, De_Para!A:B, 2, FALSE), "NÃO MAPEADO"))</f>
        <v/>
      </c>
    </row>
    <row r="512">
      <c r="A512" s="2" t="inlineStr">
        <is>
          <t>69175</t>
        </is>
      </c>
      <c r="B512" s="2" t="inlineStr">
        <is>
          <t>Sicoob</t>
        </is>
      </c>
      <c r="C512" s="2" t="inlineStr">
        <is>
          <t>22/06/2026</t>
        </is>
      </c>
      <c r="D512" s="2" t="inlineStr">
        <is>
          <t>22/06/2026</t>
        </is>
      </c>
      <c r="E512" s="2" t="inlineStr">
        <is>
          <t>Dinheiro</t>
        </is>
      </c>
      <c r="F512" s="2" t="inlineStr">
        <is>
          <t>Boleto "67108" do cliente "LUCAS KOCHINSKI PEREIRA DOS SANTOS"</t>
        </is>
      </c>
      <c r="G512" s="2" t="inlineStr">
        <is>
          <t>system</t>
        </is>
      </c>
      <c r="H512" s="2" t="inlineStr">
        <is>
          <t>01.01.01 : Mensalidade</t>
        </is>
      </c>
      <c r="I512" s="3" t="n">
        <v>109.9</v>
      </c>
      <c r="J512" s="2" t="n"/>
      <c r="K512" s="2">
        <f>IF(H512="02.09 : Outras Saídas", IF(OR(ISNUMBER(SEARCH("CHEQUE COMPE SICREDI", F512)), ISNUMBER(SEARCH("aniversario", F512)), ISNUMBER(SEARCH("churrasco", F512)), ISNUMBER(SEARCH("bolo", F512)), ISNUMBER(SEARCH("SUPERMERCADO", F512))), "6.1 Despesas Administrativas (Pessoal)", IF(OR(ISNUMBER(SEARCH("DLKNET", F512)), ISNUMBER(SEARCH("TESTE", F512))), "6.1 Despesas Administrativas (Gerais)", IFERROR(VLOOKUP(H512, De_Para!A:B, 2, FALSE), "NÃO MAPEADO"))), IFERROR(VLOOKUP(H512, De_Para!A:B, 2, FALSE), "NÃO MAPEADO"))</f>
        <v/>
      </c>
    </row>
    <row r="513">
      <c r="A513" s="2" t="inlineStr">
        <is>
          <t>69174</t>
        </is>
      </c>
      <c r="B513" s="2" t="inlineStr">
        <is>
          <t>Sicoob</t>
        </is>
      </c>
      <c r="C513" s="2" t="inlineStr">
        <is>
          <t>22/06/2026</t>
        </is>
      </c>
      <c r="D513" s="2" t="inlineStr">
        <is>
          <t>22/06/2026</t>
        </is>
      </c>
      <c r="E513" s="2" t="inlineStr">
        <is>
          <t>Dinheiro</t>
        </is>
      </c>
      <c r="F513" s="2" t="inlineStr">
        <is>
          <t>Boleto "66485" do cliente "RUTE STILLI"</t>
        </is>
      </c>
      <c r="G513" s="2" t="inlineStr">
        <is>
          <t>system</t>
        </is>
      </c>
      <c r="H513" s="2" t="inlineStr">
        <is>
          <t>02.03.02.01 : Cobrança Bancaria</t>
        </is>
      </c>
      <c r="I513" s="2" t="n"/>
      <c r="J513" s="3" t="n">
        <v>-0.88</v>
      </c>
      <c r="K513" s="2">
        <f>IF(H513="02.09 : Outras Saídas", IF(OR(ISNUMBER(SEARCH("CHEQUE COMPE SICREDI", F513)), ISNUMBER(SEARCH("aniversario", F513)), ISNUMBER(SEARCH("churrasco", F513)), ISNUMBER(SEARCH("bolo", F513)), ISNUMBER(SEARCH("SUPERMERCADO", F513))), "6.1 Despesas Administrativas (Pessoal)", IF(OR(ISNUMBER(SEARCH("DLKNET", F513)), ISNUMBER(SEARCH("TESTE", F513))), "6.1 Despesas Administrativas (Gerais)", IFERROR(VLOOKUP(H513, De_Para!A:B, 2, FALSE), "NÃO MAPEADO"))), IFERROR(VLOOKUP(H513, De_Para!A:B, 2, FALSE), "NÃO MAPEADO"))</f>
        <v/>
      </c>
    </row>
    <row r="514">
      <c r="A514" s="2" t="inlineStr">
        <is>
          <t>69173</t>
        </is>
      </c>
      <c r="B514" s="2" t="inlineStr">
        <is>
          <t>Sicoob</t>
        </is>
      </c>
      <c r="C514" s="2" t="inlineStr">
        <is>
          <t>22/06/2026</t>
        </is>
      </c>
      <c r="D514" s="2" t="inlineStr">
        <is>
          <t>22/06/2026</t>
        </is>
      </c>
      <c r="E514" s="2" t="inlineStr">
        <is>
          <t>Dinheiro</t>
        </is>
      </c>
      <c r="F514" s="2" t="inlineStr">
        <is>
          <t>Boleto "66485" do cliente "RUTE STILLI"</t>
        </is>
      </c>
      <c r="G514" s="2" t="inlineStr">
        <is>
          <t>system</t>
        </is>
      </c>
      <c r="H514" s="2" t="inlineStr">
        <is>
          <t>01.01.01 : Mensalidade</t>
        </is>
      </c>
      <c r="I514" s="3" t="n">
        <v>104.9</v>
      </c>
      <c r="J514" s="2" t="n"/>
      <c r="K514" s="2">
        <f>IF(H514="02.09 : Outras Saídas", IF(OR(ISNUMBER(SEARCH("CHEQUE COMPE SICREDI", F514)), ISNUMBER(SEARCH("aniversario", F514)), ISNUMBER(SEARCH("churrasco", F514)), ISNUMBER(SEARCH("bolo", F514)), ISNUMBER(SEARCH("SUPERMERCADO", F514))), "6.1 Despesas Administrativas (Pessoal)", IF(OR(ISNUMBER(SEARCH("DLKNET", F514)), ISNUMBER(SEARCH("TESTE", F514))), "6.1 Despesas Administrativas (Gerais)", IFERROR(VLOOKUP(H514, De_Para!A:B, 2, FALSE), "NÃO MAPEADO"))), IFERROR(VLOOKUP(H514, De_Para!A:B, 2, FALSE), "NÃO MAPEADO"))</f>
        <v/>
      </c>
    </row>
    <row r="515">
      <c r="A515" s="2" t="inlineStr">
        <is>
          <t>69172</t>
        </is>
      </c>
      <c r="B515" s="2" t="inlineStr">
        <is>
          <t>Sicoob</t>
        </is>
      </c>
      <c r="C515" s="2" t="inlineStr">
        <is>
          <t>22/06/2026</t>
        </is>
      </c>
      <c r="D515" s="2" t="inlineStr">
        <is>
          <t>22/06/2026</t>
        </is>
      </c>
      <c r="E515" s="2" t="inlineStr">
        <is>
          <t>Dinheiro</t>
        </is>
      </c>
      <c r="F515" s="2" t="inlineStr">
        <is>
          <t>Boleto "65665" do cliente "DIONE LAURINDO DA SILVA"</t>
        </is>
      </c>
      <c r="G515" s="2" t="inlineStr">
        <is>
          <t>system</t>
        </is>
      </c>
      <c r="H515" s="2" t="inlineStr">
        <is>
          <t>02.03.02.01 : Cobrança Bancaria</t>
        </is>
      </c>
      <c r="I515" s="2" t="n"/>
      <c r="J515" s="3" t="n">
        <v>-0.88</v>
      </c>
      <c r="K515" s="2">
        <f>IF(H515="02.09 : Outras Saídas", IF(OR(ISNUMBER(SEARCH("CHEQUE COMPE SICREDI", F515)), ISNUMBER(SEARCH("aniversario", F515)), ISNUMBER(SEARCH("churrasco", F515)), ISNUMBER(SEARCH("bolo", F515)), ISNUMBER(SEARCH("SUPERMERCADO", F515))), "6.1 Despesas Administrativas (Pessoal)", IF(OR(ISNUMBER(SEARCH("DLKNET", F515)), ISNUMBER(SEARCH("TESTE", F515))), "6.1 Despesas Administrativas (Gerais)", IFERROR(VLOOKUP(H515, De_Para!A:B, 2, FALSE), "NÃO MAPEADO"))), IFERROR(VLOOKUP(H515, De_Para!A:B, 2, FALSE), "NÃO MAPEADO"))</f>
        <v/>
      </c>
    </row>
    <row r="516">
      <c r="A516" s="2" t="inlineStr">
        <is>
          <t>69171</t>
        </is>
      </c>
      <c r="B516" s="2" t="inlineStr">
        <is>
          <t>Sicoob</t>
        </is>
      </c>
      <c r="C516" s="2" t="inlineStr">
        <is>
          <t>22/06/2026</t>
        </is>
      </c>
      <c r="D516" s="2" t="inlineStr">
        <is>
          <t>22/06/2026</t>
        </is>
      </c>
      <c r="E516" s="2" t="inlineStr">
        <is>
          <t>Dinheiro</t>
        </is>
      </c>
      <c r="F516" s="2" t="inlineStr">
        <is>
          <t>Boleto "65665" do cliente "DIONE LAURINDO DA SILVA"</t>
        </is>
      </c>
      <c r="G516" s="2" t="inlineStr">
        <is>
          <t>system</t>
        </is>
      </c>
      <c r="H516" s="2" t="inlineStr">
        <is>
          <t>01.01.01 : Mensalidade</t>
        </is>
      </c>
      <c r="I516" s="3" t="n">
        <v>102.33</v>
      </c>
      <c r="J516" s="2" t="n"/>
      <c r="K516" s="2">
        <f>IF(H516="02.09 : Outras Saídas", IF(OR(ISNUMBER(SEARCH("CHEQUE COMPE SICREDI", F516)), ISNUMBER(SEARCH("aniversario", F516)), ISNUMBER(SEARCH("churrasco", F516)), ISNUMBER(SEARCH("bolo", F516)), ISNUMBER(SEARCH("SUPERMERCADO", F516))), "6.1 Despesas Administrativas (Pessoal)", IF(OR(ISNUMBER(SEARCH("DLKNET", F516)), ISNUMBER(SEARCH("TESTE", F516))), "6.1 Despesas Administrativas (Gerais)", IFERROR(VLOOKUP(H516, De_Para!A:B, 2, FALSE), "NÃO MAPEADO"))), IFERROR(VLOOKUP(H516, De_Para!A:B, 2, FALSE), "NÃO MAPEADO"))</f>
        <v/>
      </c>
    </row>
    <row r="517">
      <c r="A517" s="2" t="inlineStr">
        <is>
          <t>69170</t>
        </is>
      </c>
      <c r="B517" s="2" t="inlineStr">
        <is>
          <t>Sicoob</t>
        </is>
      </c>
      <c r="C517" s="2" t="inlineStr">
        <is>
          <t>22/06/2026</t>
        </is>
      </c>
      <c r="D517" s="2" t="inlineStr">
        <is>
          <t>22/06/2026</t>
        </is>
      </c>
      <c r="E517" s="2" t="inlineStr">
        <is>
          <t>Dinheiro</t>
        </is>
      </c>
      <c r="F517" s="2" t="inlineStr">
        <is>
          <t>Boleto "65234" do cliente "NIVALDO FERNANDES"</t>
        </is>
      </c>
      <c r="G517" s="2" t="inlineStr">
        <is>
          <t>system</t>
        </is>
      </c>
      <c r="H517" s="2" t="inlineStr">
        <is>
          <t>02.03.02.01 : Cobrança Bancaria</t>
        </is>
      </c>
      <c r="I517" s="2" t="n"/>
      <c r="J517" s="3" t="n">
        <v>-0.88</v>
      </c>
      <c r="K517" s="2">
        <f>IF(H517="02.09 : Outras Saídas", IF(OR(ISNUMBER(SEARCH("CHEQUE COMPE SICREDI", F517)), ISNUMBER(SEARCH("aniversario", F517)), ISNUMBER(SEARCH("churrasco", F517)), ISNUMBER(SEARCH("bolo", F517)), ISNUMBER(SEARCH("SUPERMERCADO", F517))), "6.1 Despesas Administrativas (Pessoal)", IF(OR(ISNUMBER(SEARCH("DLKNET", F517)), ISNUMBER(SEARCH("TESTE", F517))), "6.1 Despesas Administrativas (Gerais)", IFERROR(VLOOKUP(H517, De_Para!A:B, 2, FALSE), "NÃO MAPEADO"))), IFERROR(VLOOKUP(H517, De_Para!A:B, 2, FALSE), "NÃO MAPEADO"))</f>
        <v/>
      </c>
    </row>
    <row r="518">
      <c r="A518" s="2" t="inlineStr">
        <is>
          <t>69169</t>
        </is>
      </c>
      <c r="B518" s="2" t="inlineStr">
        <is>
          <t>Sicoob</t>
        </is>
      </c>
      <c r="C518" s="2" t="inlineStr">
        <is>
          <t>22/06/2026</t>
        </is>
      </c>
      <c r="D518" s="2" t="inlineStr">
        <is>
          <t>22/06/2026</t>
        </is>
      </c>
      <c r="E518" s="2" t="inlineStr">
        <is>
          <t>Dinheiro</t>
        </is>
      </c>
      <c r="F518" s="2" t="inlineStr">
        <is>
          <t>Boleto "65234" do cliente "NIVALDO FERNANDES"</t>
        </is>
      </c>
      <c r="G518" s="2" t="inlineStr">
        <is>
          <t>system</t>
        </is>
      </c>
      <c r="H518" s="2" t="inlineStr">
        <is>
          <t>01.01.01 : Mensalidade</t>
        </is>
      </c>
      <c r="I518" s="3" t="n">
        <v>104.9</v>
      </c>
      <c r="J518" s="2" t="n"/>
      <c r="K518" s="2">
        <f>IF(H518="02.09 : Outras Saídas", IF(OR(ISNUMBER(SEARCH("CHEQUE COMPE SICREDI", F518)), ISNUMBER(SEARCH("aniversario", F518)), ISNUMBER(SEARCH("churrasco", F518)), ISNUMBER(SEARCH("bolo", F518)), ISNUMBER(SEARCH("SUPERMERCADO", F518))), "6.1 Despesas Administrativas (Pessoal)", IF(OR(ISNUMBER(SEARCH("DLKNET", F518)), ISNUMBER(SEARCH("TESTE", F518))), "6.1 Despesas Administrativas (Gerais)", IFERROR(VLOOKUP(H518, De_Para!A:B, 2, FALSE), "NÃO MAPEADO"))), IFERROR(VLOOKUP(H518, De_Para!A:B, 2, FALSE), "NÃO MAPEADO"))</f>
        <v/>
      </c>
    </row>
    <row r="519">
      <c r="A519" s="2" t="inlineStr">
        <is>
          <t>69168</t>
        </is>
      </c>
      <c r="B519" s="2" t="inlineStr">
        <is>
          <t>Sicoob</t>
        </is>
      </c>
      <c r="C519" s="2" t="inlineStr">
        <is>
          <t>22/06/2026</t>
        </is>
      </c>
      <c r="D519" s="2" t="inlineStr">
        <is>
          <t>22/06/2026</t>
        </is>
      </c>
      <c r="E519" s="2" t="inlineStr">
        <is>
          <t>Dinheiro</t>
        </is>
      </c>
      <c r="F519" s="2" t="inlineStr">
        <is>
          <t>Boleto "64463" do cliente "ROGÉRIO VENÂNCIO DE CAMARGO JÚNIOR"</t>
        </is>
      </c>
      <c r="G519" s="2" t="inlineStr">
        <is>
          <t>system</t>
        </is>
      </c>
      <c r="H519" s="2" t="inlineStr">
        <is>
          <t>02.03.02.01 : Cobrança Bancaria</t>
        </is>
      </c>
      <c r="I519" s="2" t="n"/>
      <c r="J519" s="3" t="n">
        <v>-0.88</v>
      </c>
      <c r="K519" s="2">
        <f>IF(H519="02.09 : Outras Saídas", IF(OR(ISNUMBER(SEARCH("CHEQUE COMPE SICREDI", F519)), ISNUMBER(SEARCH("aniversario", F519)), ISNUMBER(SEARCH("churrasco", F519)), ISNUMBER(SEARCH("bolo", F519)), ISNUMBER(SEARCH("SUPERMERCADO", F519))), "6.1 Despesas Administrativas (Pessoal)", IF(OR(ISNUMBER(SEARCH("DLKNET", F519)), ISNUMBER(SEARCH("TESTE", F519))), "6.1 Despesas Administrativas (Gerais)", IFERROR(VLOOKUP(H519, De_Para!A:B, 2, FALSE), "NÃO MAPEADO"))), IFERROR(VLOOKUP(H519, De_Para!A:B, 2, FALSE), "NÃO MAPEADO"))</f>
        <v/>
      </c>
    </row>
    <row r="520">
      <c r="A520" s="2" t="inlineStr">
        <is>
          <t>69167</t>
        </is>
      </c>
      <c r="B520" s="2" t="inlineStr">
        <is>
          <t>Sicoob</t>
        </is>
      </c>
      <c r="C520" s="2" t="inlineStr">
        <is>
          <t>22/06/2026</t>
        </is>
      </c>
      <c r="D520" s="2" t="inlineStr">
        <is>
          <t>22/06/2026</t>
        </is>
      </c>
      <c r="E520" s="2" t="inlineStr">
        <is>
          <t>Dinheiro</t>
        </is>
      </c>
      <c r="F520" s="2" t="inlineStr">
        <is>
          <t>Boleto "64463" do cliente "ROGÉRIO VENÂNCIO DE CAMARGO JÚNIOR"</t>
        </is>
      </c>
      <c r="G520" s="2" t="inlineStr">
        <is>
          <t>system</t>
        </is>
      </c>
      <c r="H520" s="2" t="inlineStr">
        <is>
          <t>01.01.01 : Mensalidade</t>
        </is>
      </c>
      <c r="I520" s="3" t="n">
        <v>112.6</v>
      </c>
      <c r="J520" s="2" t="n"/>
      <c r="K520" s="2">
        <f>IF(H520="02.09 : Outras Saídas", IF(OR(ISNUMBER(SEARCH("CHEQUE COMPE SICREDI", F520)), ISNUMBER(SEARCH("aniversario", F520)), ISNUMBER(SEARCH("churrasco", F520)), ISNUMBER(SEARCH("bolo", F520)), ISNUMBER(SEARCH("SUPERMERCADO", F520))), "6.1 Despesas Administrativas (Pessoal)", IF(OR(ISNUMBER(SEARCH("DLKNET", F520)), ISNUMBER(SEARCH("TESTE", F520))), "6.1 Despesas Administrativas (Gerais)", IFERROR(VLOOKUP(H520, De_Para!A:B, 2, FALSE), "NÃO MAPEADO"))), IFERROR(VLOOKUP(H520, De_Para!A:B, 2, FALSE), "NÃO MAPEADO"))</f>
        <v/>
      </c>
    </row>
    <row r="521">
      <c r="A521" s="2" t="inlineStr">
        <is>
          <t>69166</t>
        </is>
      </c>
      <c r="B521" s="2" t="inlineStr">
        <is>
          <t>Sicoob</t>
        </is>
      </c>
      <c r="C521" s="2" t="inlineStr">
        <is>
          <t>22/06/2026</t>
        </is>
      </c>
      <c r="D521" s="2" t="inlineStr">
        <is>
          <t>22/06/2026</t>
        </is>
      </c>
      <c r="E521" s="2" t="inlineStr">
        <is>
          <t>Dinheiro</t>
        </is>
      </c>
      <c r="F521" s="2" t="inlineStr">
        <is>
          <t>Boleto "61282" do cliente "JUCIMARA DE FATIMA RICI"</t>
        </is>
      </c>
      <c r="G521" s="2" t="inlineStr">
        <is>
          <t>system</t>
        </is>
      </c>
      <c r="H521" s="2" t="inlineStr">
        <is>
          <t>02.03.02.01 : Cobrança Bancaria</t>
        </is>
      </c>
      <c r="I521" s="2" t="n"/>
      <c r="J521" s="3" t="n">
        <v>-0.88</v>
      </c>
      <c r="K521" s="2">
        <f>IF(H521="02.09 : Outras Saídas", IF(OR(ISNUMBER(SEARCH("CHEQUE COMPE SICREDI", F521)), ISNUMBER(SEARCH("aniversario", F521)), ISNUMBER(SEARCH("churrasco", F521)), ISNUMBER(SEARCH("bolo", F521)), ISNUMBER(SEARCH("SUPERMERCADO", F521))), "6.1 Despesas Administrativas (Pessoal)", IF(OR(ISNUMBER(SEARCH("DLKNET", F521)), ISNUMBER(SEARCH("TESTE", F521))), "6.1 Despesas Administrativas (Gerais)", IFERROR(VLOOKUP(H521, De_Para!A:B, 2, FALSE), "NÃO MAPEADO"))), IFERROR(VLOOKUP(H521, De_Para!A:B, 2, FALSE), "NÃO MAPEADO"))</f>
        <v/>
      </c>
    </row>
    <row r="522">
      <c r="A522" s="2" t="inlineStr">
        <is>
          <t>69165</t>
        </is>
      </c>
      <c r="B522" s="2" t="inlineStr">
        <is>
          <t>Sicoob</t>
        </is>
      </c>
      <c r="C522" s="2" t="inlineStr">
        <is>
          <t>22/06/2026</t>
        </is>
      </c>
      <c r="D522" s="2" t="inlineStr">
        <is>
          <t>22/06/2026</t>
        </is>
      </c>
      <c r="E522" s="2" t="inlineStr">
        <is>
          <t>Dinheiro</t>
        </is>
      </c>
      <c r="F522" s="2" t="inlineStr">
        <is>
          <t>Boleto "61282" do cliente "JUCIMARA DE FATIMA RICI"</t>
        </is>
      </c>
      <c r="G522" s="2" t="inlineStr">
        <is>
          <t>system</t>
        </is>
      </c>
      <c r="H522" s="2" t="inlineStr">
        <is>
          <t>01.01.01 : Mensalidade</t>
        </is>
      </c>
      <c r="I522" s="3" t="n">
        <v>100</v>
      </c>
      <c r="J522" s="2" t="n"/>
      <c r="K522" s="2">
        <f>IF(H522="02.09 : Outras Saídas", IF(OR(ISNUMBER(SEARCH("CHEQUE COMPE SICREDI", F522)), ISNUMBER(SEARCH("aniversario", F522)), ISNUMBER(SEARCH("churrasco", F522)), ISNUMBER(SEARCH("bolo", F522)), ISNUMBER(SEARCH("SUPERMERCADO", F522))), "6.1 Despesas Administrativas (Pessoal)", IF(OR(ISNUMBER(SEARCH("DLKNET", F522)), ISNUMBER(SEARCH("TESTE", F522))), "6.1 Despesas Administrativas (Gerais)", IFERROR(VLOOKUP(H522, De_Para!A:B, 2, FALSE), "NÃO MAPEADO"))), IFERROR(VLOOKUP(H522, De_Para!A:B, 2, FALSE), "NÃO MAPEADO"))</f>
        <v/>
      </c>
    </row>
    <row r="523">
      <c r="A523" s="2" t="inlineStr">
        <is>
          <t>69164</t>
        </is>
      </c>
      <c r="B523" s="2" t="inlineStr">
        <is>
          <t>Sicoob</t>
        </is>
      </c>
      <c r="C523" s="2" t="inlineStr">
        <is>
          <t>22/06/2026</t>
        </is>
      </c>
      <c r="D523" s="2" t="inlineStr">
        <is>
          <t>22/06/2026</t>
        </is>
      </c>
      <c r="E523" s="2" t="inlineStr">
        <is>
          <t>Dinheiro</t>
        </is>
      </c>
      <c r="F523" s="2" t="inlineStr">
        <is>
          <t>Boleto "61089" do cliente "EDINALDO ROSA JUNIOR"</t>
        </is>
      </c>
      <c r="G523" s="2" t="inlineStr">
        <is>
          <t>system</t>
        </is>
      </c>
      <c r="H523" s="2" t="inlineStr">
        <is>
          <t>02.03.02.01 : Cobrança Bancaria</t>
        </is>
      </c>
      <c r="I523" s="2" t="n"/>
      <c r="J523" s="3" t="n">
        <v>-0.88</v>
      </c>
      <c r="K523" s="2">
        <f>IF(H523="02.09 : Outras Saídas", IF(OR(ISNUMBER(SEARCH("CHEQUE COMPE SICREDI", F523)), ISNUMBER(SEARCH("aniversario", F523)), ISNUMBER(SEARCH("churrasco", F523)), ISNUMBER(SEARCH("bolo", F523)), ISNUMBER(SEARCH("SUPERMERCADO", F523))), "6.1 Despesas Administrativas (Pessoal)", IF(OR(ISNUMBER(SEARCH("DLKNET", F523)), ISNUMBER(SEARCH("TESTE", F523))), "6.1 Despesas Administrativas (Gerais)", IFERROR(VLOOKUP(H523, De_Para!A:B, 2, FALSE), "NÃO MAPEADO"))), IFERROR(VLOOKUP(H523, De_Para!A:B, 2, FALSE), "NÃO MAPEADO"))</f>
        <v/>
      </c>
    </row>
    <row r="524">
      <c r="A524" s="2" t="inlineStr">
        <is>
          <t>69163</t>
        </is>
      </c>
      <c r="B524" s="2" t="inlineStr">
        <is>
          <t>Sicoob</t>
        </is>
      </c>
      <c r="C524" s="2" t="inlineStr">
        <is>
          <t>22/06/2026</t>
        </is>
      </c>
      <c r="D524" s="2" t="inlineStr">
        <is>
          <t>22/06/2026</t>
        </is>
      </c>
      <c r="E524" s="2" t="inlineStr">
        <is>
          <t>Dinheiro</t>
        </is>
      </c>
      <c r="F524" s="2" t="inlineStr">
        <is>
          <t>Boleto "61089" do cliente "EDINALDO ROSA JUNIOR"</t>
        </is>
      </c>
      <c r="G524" s="2" t="inlineStr">
        <is>
          <t>system</t>
        </is>
      </c>
      <c r="H524" s="2" t="inlineStr">
        <is>
          <t>01.01.01 : Mensalidade</t>
        </is>
      </c>
      <c r="I524" s="3" t="n">
        <v>105</v>
      </c>
      <c r="J524" s="2" t="n"/>
      <c r="K524" s="2">
        <f>IF(H524="02.09 : Outras Saídas", IF(OR(ISNUMBER(SEARCH("CHEQUE COMPE SICREDI", F524)), ISNUMBER(SEARCH("aniversario", F524)), ISNUMBER(SEARCH("churrasco", F524)), ISNUMBER(SEARCH("bolo", F524)), ISNUMBER(SEARCH("SUPERMERCADO", F524))), "6.1 Despesas Administrativas (Pessoal)", IF(OR(ISNUMBER(SEARCH("DLKNET", F524)), ISNUMBER(SEARCH("TESTE", F524))), "6.1 Despesas Administrativas (Gerais)", IFERROR(VLOOKUP(H524, De_Para!A:B, 2, FALSE), "NÃO MAPEADO"))), IFERROR(VLOOKUP(H524, De_Para!A:B, 2, FALSE), "NÃO MAPEADO"))</f>
        <v/>
      </c>
    </row>
    <row r="525">
      <c r="A525" s="2" t="inlineStr">
        <is>
          <t>69162</t>
        </is>
      </c>
      <c r="B525" s="2" t="inlineStr">
        <is>
          <t>Sicoob</t>
        </is>
      </c>
      <c r="C525" s="2" t="inlineStr">
        <is>
          <t>22/06/2026</t>
        </is>
      </c>
      <c r="D525" s="2" t="inlineStr">
        <is>
          <t>22/06/2026</t>
        </is>
      </c>
      <c r="E525" s="2" t="inlineStr">
        <is>
          <t>Dinheiro</t>
        </is>
      </c>
      <c r="F525" s="2" t="inlineStr">
        <is>
          <t>Boleto "60285" do cliente "EVANDRO GOMES SOARES"</t>
        </is>
      </c>
      <c r="G525" s="2" t="inlineStr">
        <is>
          <t>system</t>
        </is>
      </c>
      <c r="H525" s="2" t="inlineStr">
        <is>
          <t>02.03.02.01 : Cobrança Bancaria</t>
        </is>
      </c>
      <c r="I525" s="2" t="n"/>
      <c r="J525" s="3" t="n">
        <v>-0.88</v>
      </c>
      <c r="K525" s="2">
        <f>IF(H525="02.09 : Outras Saídas", IF(OR(ISNUMBER(SEARCH("CHEQUE COMPE SICREDI", F525)), ISNUMBER(SEARCH("aniversario", F525)), ISNUMBER(SEARCH("churrasco", F525)), ISNUMBER(SEARCH("bolo", F525)), ISNUMBER(SEARCH("SUPERMERCADO", F525))), "6.1 Despesas Administrativas (Pessoal)", IF(OR(ISNUMBER(SEARCH("DLKNET", F525)), ISNUMBER(SEARCH("TESTE", F525))), "6.1 Despesas Administrativas (Gerais)", IFERROR(VLOOKUP(H525, De_Para!A:B, 2, FALSE), "NÃO MAPEADO"))), IFERROR(VLOOKUP(H525, De_Para!A:B, 2, FALSE), "NÃO MAPEADO"))</f>
        <v/>
      </c>
    </row>
    <row r="526">
      <c r="A526" s="2" t="inlineStr">
        <is>
          <t>69161</t>
        </is>
      </c>
      <c r="B526" s="2" t="inlineStr">
        <is>
          <t>Sicoob</t>
        </is>
      </c>
      <c r="C526" s="2" t="inlineStr">
        <is>
          <t>22/06/2026</t>
        </is>
      </c>
      <c r="D526" s="2" t="inlineStr">
        <is>
          <t>22/06/2026</t>
        </is>
      </c>
      <c r="E526" s="2" t="inlineStr">
        <is>
          <t>Dinheiro</t>
        </is>
      </c>
      <c r="F526" s="2" t="inlineStr">
        <is>
          <t>Boleto "60285" do cliente "EVANDRO GOMES SOARES"</t>
        </is>
      </c>
      <c r="G526" s="2" t="inlineStr">
        <is>
          <t>system</t>
        </is>
      </c>
      <c r="H526" s="2" t="inlineStr">
        <is>
          <t>01.01.01 : Mensalidade</t>
        </is>
      </c>
      <c r="I526" s="3" t="n">
        <v>102.33</v>
      </c>
      <c r="J526" s="2" t="n"/>
      <c r="K526" s="2">
        <f>IF(H526="02.09 : Outras Saídas", IF(OR(ISNUMBER(SEARCH("CHEQUE COMPE SICREDI", F526)), ISNUMBER(SEARCH("aniversario", F526)), ISNUMBER(SEARCH("churrasco", F526)), ISNUMBER(SEARCH("bolo", F526)), ISNUMBER(SEARCH("SUPERMERCADO", F526))), "6.1 Despesas Administrativas (Pessoal)", IF(OR(ISNUMBER(SEARCH("DLKNET", F526)), ISNUMBER(SEARCH("TESTE", F526))), "6.1 Despesas Administrativas (Gerais)", IFERROR(VLOOKUP(H526, De_Para!A:B, 2, FALSE), "NÃO MAPEADO"))), IFERROR(VLOOKUP(H526, De_Para!A:B, 2, FALSE), "NÃO MAPEADO"))</f>
        <v/>
      </c>
    </row>
    <row r="527">
      <c r="A527" s="2" t="inlineStr">
        <is>
          <t>69160</t>
        </is>
      </c>
      <c r="B527" s="2" t="inlineStr">
        <is>
          <t>Sicoob</t>
        </is>
      </c>
      <c r="C527" s="2" t="inlineStr">
        <is>
          <t>22/06/2026</t>
        </is>
      </c>
      <c r="D527" s="2" t="inlineStr">
        <is>
          <t>22/06/2026</t>
        </is>
      </c>
      <c r="E527" s="2" t="inlineStr">
        <is>
          <t>Dinheiro</t>
        </is>
      </c>
      <c r="F527" s="2" t="inlineStr">
        <is>
          <t>Boleto "59597" do cliente "MARCO ANTÔNIO RODRIGUES ZANINI"</t>
        </is>
      </c>
      <c r="G527" s="2" t="inlineStr">
        <is>
          <t>system</t>
        </is>
      </c>
      <c r="H527" s="2" t="inlineStr">
        <is>
          <t>02.03.02.01 : Cobrança Bancaria</t>
        </is>
      </c>
      <c r="I527" s="2" t="n"/>
      <c r="J527" s="3" t="n">
        <v>-0.88</v>
      </c>
      <c r="K527" s="2">
        <f>IF(H527="02.09 : Outras Saídas", IF(OR(ISNUMBER(SEARCH("CHEQUE COMPE SICREDI", F527)), ISNUMBER(SEARCH("aniversario", F527)), ISNUMBER(SEARCH("churrasco", F527)), ISNUMBER(SEARCH("bolo", F527)), ISNUMBER(SEARCH("SUPERMERCADO", F527))), "6.1 Despesas Administrativas (Pessoal)", IF(OR(ISNUMBER(SEARCH("DLKNET", F527)), ISNUMBER(SEARCH("TESTE", F527))), "6.1 Despesas Administrativas (Gerais)", IFERROR(VLOOKUP(H527, De_Para!A:B, 2, FALSE), "NÃO MAPEADO"))), IFERROR(VLOOKUP(H527, De_Para!A:B, 2, FALSE), "NÃO MAPEADO"))</f>
        <v/>
      </c>
    </row>
    <row r="528">
      <c r="A528" s="2" t="inlineStr">
        <is>
          <t>69159</t>
        </is>
      </c>
      <c r="B528" s="2" t="inlineStr">
        <is>
          <t>Sicoob</t>
        </is>
      </c>
      <c r="C528" s="2" t="inlineStr">
        <is>
          <t>22/06/2026</t>
        </is>
      </c>
      <c r="D528" s="2" t="inlineStr">
        <is>
          <t>22/06/2026</t>
        </is>
      </c>
      <c r="E528" s="2" t="inlineStr">
        <is>
          <t>Dinheiro</t>
        </is>
      </c>
      <c r="F528" s="2" t="inlineStr">
        <is>
          <t>Boleto "59597" do cliente "MARCO ANTÔNIO RODRIGUES ZANINI"</t>
        </is>
      </c>
      <c r="G528" s="2" t="inlineStr">
        <is>
          <t>system</t>
        </is>
      </c>
      <c r="H528" s="2" t="inlineStr">
        <is>
          <t>01.01.01 : Mensalidade</t>
        </is>
      </c>
      <c r="I528" s="3" t="n">
        <v>105</v>
      </c>
      <c r="J528" s="2" t="n"/>
      <c r="K528" s="2">
        <f>IF(H528="02.09 : Outras Saídas", IF(OR(ISNUMBER(SEARCH("CHEQUE COMPE SICREDI", F528)), ISNUMBER(SEARCH("aniversario", F528)), ISNUMBER(SEARCH("churrasco", F528)), ISNUMBER(SEARCH("bolo", F528)), ISNUMBER(SEARCH("SUPERMERCADO", F528))), "6.1 Despesas Administrativas (Pessoal)", IF(OR(ISNUMBER(SEARCH("DLKNET", F528)), ISNUMBER(SEARCH("TESTE", F528))), "6.1 Despesas Administrativas (Gerais)", IFERROR(VLOOKUP(H528, De_Para!A:B, 2, FALSE), "NÃO MAPEADO"))), IFERROR(VLOOKUP(H528, De_Para!A:B, 2, FALSE), "NÃO MAPEADO"))</f>
        <v/>
      </c>
    </row>
    <row r="529">
      <c r="A529" s="2" t="inlineStr">
        <is>
          <t>69158</t>
        </is>
      </c>
      <c r="B529" s="2" t="inlineStr">
        <is>
          <t>Sicoob</t>
        </is>
      </c>
      <c r="C529" s="2" t="inlineStr">
        <is>
          <t>22/06/2026</t>
        </is>
      </c>
      <c r="D529" s="2" t="inlineStr">
        <is>
          <t>22/06/2026</t>
        </is>
      </c>
      <c r="E529" s="2" t="inlineStr">
        <is>
          <t>Dinheiro</t>
        </is>
      </c>
      <c r="F529" s="2" t="inlineStr">
        <is>
          <t>Boleto "59350" do cliente "VALDEMIR DOS SANTOS FERREIRA"</t>
        </is>
      </c>
      <c r="G529" s="2" t="inlineStr">
        <is>
          <t>system</t>
        </is>
      </c>
      <c r="H529" s="2" t="inlineStr">
        <is>
          <t>02.03.02.01 : Cobrança Bancaria</t>
        </is>
      </c>
      <c r="I529" s="2" t="n"/>
      <c r="J529" s="3" t="n">
        <v>-0.88</v>
      </c>
      <c r="K529" s="2">
        <f>IF(H529="02.09 : Outras Saídas", IF(OR(ISNUMBER(SEARCH("CHEQUE COMPE SICREDI", F529)), ISNUMBER(SEARCH("aniversario", F529)), ISNUMBER(SEARCH("churrasco", F529)), ISNUMBER(SEARCH("bolo", F529)), ISNUMBER(SEARCH("SUPERMERCADO", F529))), "6.1 Despesas Administrativas (Pessoal)", IF(OR(ISNUMBER(SEARCH("DLKNET", F529)), ISNUMBER(SEARCH("TESTE", F529))), "6.1 Despesas Administrativas (Gerais)", IFERROR(VLOOKUP(H529, De_Para!A:B, 2, FALSE), "NÃO MAPEADO"))), IFERROR(VLOOKUP(H529, De_Para!A:B, 2, FALSE), "NÃO MAPEADO"))</f>
        <v/>
      </c>
    </row>
    <row r="530">
      <c r="A530" s="2" t="inlineStr">
        <is>
          <t>69157</t>
        </is>
      </c>
      <c r="B530" s="2" t="inlineStr">
        <is>
          <t>Sicoob</t>
        </is>
      </c>
      <c r="C530" s="2" t="inlineStr">
        <is>
          <t>22/06/2026</t>
        </is>
      </c>
      <c r="D530" s="2" t="inlineStr">
        <is>
          <t>22/06/2026</t>
        </is>
      </c>
      <c r="E530" s="2" t="inlineStr">
        <is>
          <t>Dinheiro</t>
        </is>
      </c>
      <c r="F530" s="2" t="inlineStr">
        <is>
          <t>Boleto "59350" do cliente "VALDEMIR DOS SANTOS FERREIRA"</t>
        </is>
      </c>
      <c r="G530" s="2" t="inlineStr">
        <is>
          <t>system</t>
        </is>
      </c>
      <c r="H530" s="2" t="inlineStr">
        <is>
          <t>01.03.01 : Mensalidade</t>
        </is>
      </c>
      <c r="I530" s="3" t="n">
        <v>107.51</v>
      </c>
      <c r="J530" s="2" t="n"/>
      <c r="K530" s="2">
        <f>IF(H530="02.09 : Outras Saídas", IF(OR(ISNUMBER(SEARCH("CHEQUE COMPE SICREDI", F530)), ISNUMBER(SEARCH("aniversario", F530)), ISNUMBER(SEARCH("churrasco", F530)), ISNUMBER(SEARCH("bolo", F530)), ISNUMBER(SEARCH("SUPERMERCADO", F530))), "6.1 Despesas Administrativas (Pessoal)", IF(OR(ISNUMBER(SEARCH("DLKNET", F530)), ISNUMBER(SEARCH("TESTE", F530))), "6.1 Despesas Administrativas (Gerais)", IFERROR(VLOOKUP(H530, De_Para!A:B, 2, FALSE), "NÃO MAPEADO"))), IFERROR(VLOOKUP(H530, De_Para!A:B, 2, FALSE), "NÃO MAPEADO"))</f>
        <v/>
      </c>
    </row>
    <row r="531">
      <c r="A531" s="2" t="inlineStr">
        <is>
          <t>69156</t>
        </is>
      </c>
      <c r="B531" s="2" t="inlineStr">
        <is>
          <t>Sicoob</t>
        </is>
      </c>
      <c r="C531" s="2" t="inlineStr">
        <is>
          <t>22/06/2026</t>
        </is>
      </c>
      <c r="D531" s="2" t="inlineStr">
        <is>
          <t>22/06/2026</t>
        </is>
      </c>
      <c r="E531" s="2" t="inlineStr">
        <is>
          <t>Dinheiro</t>
        </is>
      </c>
      <c r="F531" s="2" t="inlineStr">
        <is>
          <t>Boleto "59327" do cliente "JOSE BENEDITO FARIA"</t>
        </is>
      </c>
      <c r="G531" s="2" t="inlineStr">
        <is>
          <t>system</t>
        </is>
      </c>
      <c r="H531" s="2" t="inlineStr">
        <is>
          <t>02.03.02.01 : Cobrança Bancaria</t>
        </is>
      </c>
      <c r="I531" s="2" t="n"/>
      <c r="J531" s="3" t="n">
        <v>-0.88</v>
      </c>
      <c r="K531" s="2">
        <f>IF(H531="02.09 : Outras Saídas", IF(OR(ISNUMBER(SEARCH("CHEQUE COMPE SICREDI", F531)), ISNUMBER(SEARCH("aniversario", F531)), ISNUMBER(SEARCH("churrasco", F531)), ISNUMBER(SEARCH("bolo", F531)), ISNUMBER(SEARCH("SUPERMERCADO", F531))), "6.1 Despesas Administrativas (Pessoal)", IF(OR(ISNUMBER(SEARCH("DLKNET", F531)), ISNUMBER(SEARCH("TESTE", F531))), "6.1 Despesas Administrativas (Gerais)", IFERROR(VLOOKUP(H531, De_Para!A:B, 2, FALSE), "NÃO MAPEADO"))), IFERROR(VLOOKUP(H531, De_Para!A:B, 2, FALSE), "NÃO MAPEADO"))</f>
        <v/>
      </c>
    </row>
    <row r="532">
      <c r="A532" s="2" t="inlineStr">
        <is>
          <t>69155</t>
        </is>
      </c>
      <c r="B532" s="2" t="inlineStr">
        <is>
          <t>Sicoob</t>
        </is>
      </c>
      <c r="C532" s="2" t="inlineStr">
        <is>
          <t>22/06/2026</t>
        </is>
      </c>
      <c r="D532" s="2" t="inlineStr">
        <is>
          <t>22/06/2026</t>
        </is>
      </c>
      <c r="E532" s="2" t="inlineStr">
        <is>
          <t>Dinheiro</t>
        </is>
      </c>
      <c r="F532" s="2" t="inlineStr">
        <is>
          <t>Boleto "59327" do cliente "JOSE BENEDITO FARIA"</t>
        </is>
      </c>
      <c r="G532" s="2" t="inlineStr">
        <is>
          <t>system</t>
        </is>
      </c>
      <c r="H532" s="2" t="inlineStr">
        <is>
          <t>01.01.01 : Mensalidade</t>
        </is>
      </c>
      <c r="I532" s="3" t="n">
        <v>112.42</v>
      </c>
      <c r="J532" s="2" t="n"/>
      <c r="K532" s="2">
        <f>IF(H532="02.09 : Outras Saídas", IF(OR(ISNUMBER(SEARCH("CHEQUE COMPE SICREDI", F532)), ISNUMBER(SEARCH("aniversario", F532)), ISNUMBER(SEARCH("churrasco", F532)), ISNUMBER(SEARCH("bolo", F532)), ISNUMBER(SEARCH("SUPERMERCADO", F532))), "6.1 Despesas Administrativas (Pessoal)", IF(OR(ISNUMBER(SEARCH("DLKNET", F532)), ISNUMBER(SEARCH("TESTE", F532))), "6.1 Despesas Administrativas (Gerais)", IFERROR(VLOOKUP(H532, De_Para!A:B, 2, FALSE), "NÃO MAPEADO"))), IFERROR(VLOOKUP(H532, De_Para!A:B, 2, FALSE), "NÃO MAPEADO"))</f>
        <v/>
      </c>
    </row>
    <row r="533">
      <c r="A533" s="2" t="inlineStr">
        <is>
          <t>69154</t>
        </is>
      </c>
      <c r="B533" s="2" t="inlineStr">
        <is>
          <t>Sicoob</t>
        </is>
      </c>
      <c r="C533" s="2" t="inlineStr">
        <is>
          <t>22/06/2026</t>
        </is>
      </c>
      <c r="D533" s="2" t="inlineStr">
        <is>
          <t>22/06/2026</t>
        </is>
      </c>
      <c r="E533" s="2" t="inlineStr">
        <is>
          <t>Dinheiro</t>
        </is>
      </c>
      <c r="F533" s="2" t="inlineStr">
        <is>
          <t>Boleto "59316" do cliente "JOSE BENEDITO FARIA"</t>
        </is>
      </c>
      <c r="G533" s="2" t="inlineStr">
        <is>
          <t>system</t>
        </is>
      </c>
      <c r="H533" s="2" t="inlineStr">
        <is>
          <t>02.03.02.01 : Cobrança Bancaria</t>
        </is>
      </c>
      <c r="I533" s="2" t="n"/>
      <c r="J533" s="3" t="n">
        <v>-0.88</v>
      </c>
      <c r="K533" s="2">
        <f>IF(H533="02.09 : Outras Saídas", IF(OR(ISNUMBER(SEARCH("CHEQUE COMPE SICREDI", F533)), ISNUMBER(SEARCH("aniversario", F533)), ISNUMBER(SEARCH("churrasco", F533)), ISNUMBER(SEARCH("bolo", F533)), ISNUMBER(SEARCH("SUPERMERCADO", F533))), "6.1 Despesas Administrativas (Pessoal)", IF(OR(ISNUMBER(SEARCH("DLKNET", F533)), ISNUMBER(SEARCH("TESTE", F533))), "6.1 Despesas Administrativas (Gerais)", IFERROR(VLOOKUP(H533, De_Para!A:B, 2, FALSE), "NÃO MAPEADO"))), IFERROR(VLOOKUP(H533, De_Para!A:B, 2, FALSE), "NÃO MAPEADO"))</f>
        <v/>
      </c>
    </row>
    <row r="534">
      <c r="A534" s="2" t="inlineStr">
        <is>
          <t>69153</t>
        </is>
      </c>
      <c r="B534" s="2" t="inlineStr">
        <is>
          <t>Sicoob</t>
        </is>
      </c>
      <c r="C534" s="2" t="inlineStr">
        <is>
          <t>22/06/2026</t>
        </is>
      </c>
      <c r="D534" s="2" t="inlineStr">
        <is>
          <t>22/06/2026</t>
        </is>
      </c>
      <c r="E534" s="2" t="inlineStr">
        <is>
          <t>Dinheiro</t>
        </is>
      </c>
      <c r="F534" s="2" t="inlineStr">
        <is>
          <t>Boleto "59316" do cliente "JOSE BENEDITO FARIA"</t>
        </is>
      </c>
      <c r="G534" s="2" t="inlineStr">
        <is>
          <t>system</t>
        </is>
      </c>
      <c r="H534" s="2" t="inlineStr">
        <is>
          <t>01.01.01 : Mensalidade</t>
        </is>
      </c>
      <c r="I534" s="3" t="n">
        <v>107.3</v>
      </c>
      <c r="J534" s="2" t="n"/>
      <c r="K534" s="2">
        <f>IF(H534="02.09 : Outras Saídas", IF(OR(ISNUMBER(SEARCH("CHEQUE COMPE SICREDI", F534)), ISNUMBER(SEARCH("aniversario", F534)), ISNUMBER(SEARCH("churrasco", F534)), ISNUMBER(SEARCH("bolo", F534)), ISNUMBER(SEARCH("SUPERMERCADO", F534))), "6.1 Despesas Administrativas (Pessoal)", IF(OR(ISNUMBER(SEARCH("DLKNET", F534)), ISNUMBER(SEARCH("TESTE", F534))), "6.1 Despesas Administrativas (Gerais)", IFERROR(VLOOKUP(H534, De_Para!A:B, 2, FALSE), "NÃO MAPEADO"))), IFERROR(VLOOKUP(H534, De_Para!A:B, 2, FALSE), "NÃO MAPEADO"))</f>
        <v/>
      </c>
    </row>
    <row r="535">
      <c r="A535" s="2" t="inlineStr">
        <is>
          <t>69152</t>
        </is>
      </c>
      <c r="B535" s="2" t="inlineStr">
        <is>
          <t>Sicredi SNI</t>
        </is>
      </c>
      <c r="C535" s="2" t="inlineStr">
        <is>
          <t>22/06/2026</t>
        </is>
      </c>
      <c r="D535" s="2" t="inlineStr">
        <is>
          <t>22/06/2026</t>
        </is>
      </c>
      <c r="E535" s="2" t="inlineStr">
        <is>
          <t>Dinheiro</t>
        </is>
      </c>
      <c r="F535" s="2" t="inlineStr">
        <is>
          <t>Boleto "62440" do cliente "DANIELE BONIFACIO DE ABREU MONTANHEIRO"</t>
        </is>
      </c>
      <c r="G535" s="2" t="inlineStr">
        <is>
          <t>system</t>
        </is>
      </c>
      <c r="H535" s="2" t="inlineStr">
        <is>
          <t>02.03.02.01 : Cobrança Bancaria</t>
        </is>
      </c>
      <c r="I535" s="2" t="n"/>
      <c r="J535" s="3" t="n">
        <v>-1.08</v>
      </c>
      <c r="K535" s="2">
        <f>IF(H535="02.09 : Outras Saídas", IF(OR(ISNUMBER(SEARCH("CHEQUE COMPE SICREDI", F535)), ISNUMBER(SEARCH("aniversario", F535)), ISNUMBER(SEARCH("churrasco", F535)), ISNUMBER(SEARCH("bolo", F535)), ISNUMBER(SEARCH("SUPERMERCADO", F535))), "6.1 Despesas Administrativas (Pessoal)", IF(OR(ISNUMBER(SEARCH("DLKNET", F535)), ISNUMBER(SEARCH("TESTE", F535))), "6.1 Despesas Administrativas (Gerais)", IFERROR(VLOOKUP(H535, De_Para!A:B, 2, FALSE), "NÃO MAPEADO"))), IFERROR(VLOOKUP(H535, De_Para!A:B, 2, FALSE), "NÃO MAPEADO"))</f>
        <v/>
      </c>
    </row>
    <row r="536">
      <c r="A536" s="2" t="inlineStr">
        <is>
          <t>69151</t>
        </is>
      </c>
      <c r="B536" s="2" t="inlineStr">
        <is>
          <t>Sicredi SNI</t>
        </is>
      </c>
      <c r="C536" s="2" t="inlineStr">
        <is>
          <t>22/06/2026</t>
        </is>
      </c>
      <c r="D536" s="2" t="inlineStr">
        <is>
          <t>22/06/2026</t>
        </is>
      </c>
      <c r="E536" s="2" t="inlineStr">
        <is>
          <t>Dinheiro</t>
        </is>
      </c>
      <c r="F536" s="2" t="inlineStr">
        <is>
          <t>Boleto "62440" do cliente "DANIELE BONIFACIO DE ABREU MONTANHEIRO"</t>
        </is>
      </c>
      <c r="G536" s="2" t="inlineStr">
        <is>
          <t>system</t>
        </is>
      </c>
      <c r="H536" s="2" t="inlineStr">
        <is>
          <t>01.01.01 : Mensalidade</t>
        </is>
      </c>
      <c r="I536" s="3" t="n">
        <v>104.9</v>
      </c>
      <c r="J536" s="2" t="n"/>
      <c r="K536" s="2">
        <f>IF(H536="02.09 : Outras Saídas", IF(OR(ISNUMBER(SEARCH("CHEQUE COMPE SICREDI", F536)), ISNUMBER(SEARCH("aniversario", F536)), ISNUMBER(SEARCH("churrasco", F536)), ISNUMBER(SEARCH("bolo", F536)), ISNUMBER(SEARCH("SUPERMERCADO", F536))), "6.1 Despesas Administrativas (Pessoal)", IF(OR(ISNUMBER(SEARCH("DLKNET", F536)), ISNUMBER(SEARCH("TESTE", F536))), "6.1 Despesas Administrativas (Gerais)", IFERROR(VLOOKUP(H536, De_Para!A:B, 2, FALSE), "NÃO MAPEADO"))), IFERROR(VLOOKUP(H536, De_Para!A:B, 2, FALSE), "NÃO MAPEADO"))</f>
        <v/>
      </c>
    </row>
    <row r="537">
      <c r="A537" s="2" t="inlineStr">
        <is>
          <t>69150</t>
        </is>
      </c>
      <c r="B537" s="2" t="inlineStr">
        <is>
          <t>Sicredi SNI</t>
        </is>
      </c>
      <c r="C537" s="2" t="inlineStr">
        <is>
          <t>22/06/2026</t>
        </is>
      </c>
      <c r="D537" s="2" t="inlineStr">
        <is>
          <t>22/06/2026</t>
        </is>
      </c>
      <c r="E537" s="2" t="inlineStr">
        <is>
          <t>Dinheiro</t>
        </is>
      </c>
      <c r="F537" s="2" t="inlineStr">
        <is>
          <t>Boleto "62057" do cliente "CLAUDINEI RODRIGUES FERREIRA"</t>
        </is>
      </c>
      <c r="G537" s="2" t="inlineStr">
        <is>
          <t>system</t>
        </is>
      </c>
      <c r="H537" s="2" t="inlineStr">
        <is>
          <t>02.03.02.01 : Cobrança Bancaria</t>
        </is>
      </c>
      <c r="I537" s="2" t="n"/>
      <c r="J537" s="3" t="n">
        <v>-1.08</v>
      </c>
      <c r="K537" s="2">
        <f>IF(H537="02.09 : Outras Saídas", IF(OR(ISNUMBER(SEARCH("CHEQUE COMPE SICREDI", F537)), ISNUMBER(SEARCH("aniversario", F537)), ISNUMBER(SEARCH("churrasco", F537)), ISNUMBER(SEARCH("bolo", F537)), ISNUMBER(SEARCH("SUPERMERCADO", F537))), "6.1 Despesas Administrativas (Pessoal)", IF(OR(ISNUMBER(SEARCH("DLKNET", F537)), ISNUMBER(SEARCH("TESTE", F537))), "6.1 Despesas Administrativas (Gerais)", IFERROR(VLOOKUP(H537, De_Para!A:B, 2, FALSE), "NÃO MAPEADO"))), IFERROR(VLOOKUP(H537, De_Para!A:B, 2, FALSE), "NÃO MAPEADO"))</f>
        <v/>
      </c>
    </row>
    <row r="538">
      <c r="A538" s="2" t="inlineStr">
        <is>
          <t>69149</t>
        </is>
      </c>
      <c r="B538" s="2" t="inlineStr">
        <is>
          <t>Sicredi SNI</t>
        </is>
      </c>
      <c r="C538" s="2" t="inlineStr">
        <is>
          <t>22/06/2026</t>
        </is>
      </c>
      <c r="D538" s="2" t="inlineStr">
        <is>
          <t>22/06/2026</t>
        </is>
      </c>
      <c r="E538" s="2" t="inlineStr">
        <is>
          <t>Dinheiro</t>
        </is>
      </c>
      <c r="F538" s="2" t="inlineStr">
        <is>
          <t>Boleto "62057" do cliente "CLAUDINEI RODRIGUES FERREIRA"</t>
        </is>
      </c>
      <c r="G538" s="2" t="inlineStr">
        <is>
          <t>system</t>
        </is>
      </c>
      <c r="H538" s="2" t="inlineStr">
        <is>
          <t>01.01.01 : Mensalidade</t>
        </is>
      </c>
      <c r="I538" s="3" t="n">
        <v>102.36</v>
      </c>
      <c r="J538" s="2" t="n"/>
      <c r="K538" s="2">
        <f>IF(H538="02.09 : Outras Saídas", IF(OR(ISNUMBER(SEARCH("CHEQUE COMPE SICREDI", F538)), ISNUMBER(SEARCH("aniversario", F538)), ISNUMBER(SEARCH("churrasco", F538)), ISNUMBER(SEARCH("bolo", F538)), ISNUMBER(SEARCH("SUPERMERCADO", F538))), "6.1 Despesas Administrativas (Pessoal)", IF(OR(ISNUMBER(SEARCH("DLKNET", F538)), ISNUMBER(SEARCH("TESTE", F538))), "6.1 Despesas Administrativas (Gerais)", IFERROR(VLOOKUP(H538, De_Para!A:B, 2, FALSE), "NÃO MAPEADO"))), IFERROR(VLOOKUP(H538, De_Para!A:B, 2, FALSE), "NÃO MAPEADO"))</f>
        <v/>
      </c>
    </row>
    <row r="539">
      <c r="A539" s="2" t="inlineStr">
        <is>
          <t>69148</t>
        </is>
      </c>
      <c r="B539" s="2" t="inlineStr">
        <is>
          <t>Sicredi SNI</t>
        </is>
      </c>
      <c r="C539" s="2" t="inlineStr">
        <is>
          <t>22/06/2026</t>
        </is>
      </c>
      <c r="D539" s="2" t="inlineStr">
        <is>
          <t>22/06/2026</t>
        </is>
      </c>
      <c r="E539" s="2" t="inlineStr">
        <is>
          <t>Dinheiro</t>
        </is>
      </c>
      <c r="F539" s="2" t="inlineStr">
        <is>
          <t>Boleto "61712" do cliente "MARCELO DA SILVA MARCOLINO"</t>
        </is>
      </c>
      <c r="G539" s="2" t="inlineStr">
        <is>
          <t>system</t>
        </is>
      </c>
      <c r="H539" s="2" t="inlineStr">
        <is>
          <t>02.03.02.01 : Cobrança Bancaria</t>
        </is>
      </c>
      <c r="I539" s="2" t="n"/>
      <c r="J539" s="3" t="n">
        <v>-1.08</v>
      </c>
      <c r="K539" s="2">
        <f>IF(H539="02.09 : Outras Saídas", IF(OR(ISNUMBER(SEARCH("CHEQUE COMPE SICREDI", F539)), ISNUMBER(SEARCH("aniversario", F539)), ISNUMBER(SEARCH("churrasco", F539)), ISNUMBER(SEARCH("bolo", F539)), ISNUMBER(SEARCH("SUPERMERCADO", F539))), "6.1 Despesas Administrativas (Pessoal)", IF(OR(ISNUMBER(SEARCH("DLKNET", F539)), ISNUMBER(SEARCH("TESTE", F539))), "6.1 Despesas Administrativas (Gerais)", IFERROR(VLOOKUP(H539, De_Para!A:B, 2, FALSE), "NÃO MAPEADO"))), IFERROR(VLOOKUP(H539, De_Para!A:B, 2, FALSE), "NÃO MAPEADO"))</f>
        <v/>
      </c>
    </row>
    <row r="540">
      <c r="A540" s="2" t="inlineStr">
        <is>
          <t>69147</t>
        </is>
      </c>
      <c r="B540" s="2" t="inlineStr">
        <is>
          <t>Sicredi SNI</t>
        </is>
      </c>
      <c r="C540" s="2" t="inlineStr">
        <is>
          <t>22/06/2026</t>
        </is>
      </c>
      <c r="D540" s="2" t="inlineStr">
        <is>
          <t>22/06/2026</t>
        </is>
      </c>
      <c r="E540" s="2" t="inlineStr">
        <is>
          <t>Dinheiro</t>
        </is>
      </c>
      <c r="F540" s="2" t="inlineStr">
        <is>
          <t>Boleto "61712" do cliente "MARCELO DA SILVA MARCOLINO"</t>
        </is>
      </c>
      <c r="G540" s="2" t="inlineStr">
        <is>
          <t>system</t>
        </is>
      </c>
      <c r="H540" s="2" t="inlineStr">
        <is>
          <t>01.01.01 : Mensalidade</t>
        </is>
      </c>
      <c r="I540" s="3" t="n">
        <v>107.47</v>
      </c>
      <c r="J540" s="2" t="n"/>
      <c r="K540" s="2">
        <f>IF(H540="02.09 : Outras Saídas", IF(OR(ISNUMBER(SEARCH("CHEQUE COMPE SICREDI", F540)), ISNUMBER(SEARCH("aniversario", F540)), ISNUMBER(SEARCH("churrasco", F540)), ISNUMBER(SEARCH("bolo", F540)), ISNUMBER(SEARCH("SUPERMERCADO", F540))), "6.1 Despesas Administrativas (Pessoal)", IF(OR(ISNUMBER(SEARCH("DLKNET", F540)), ISNUMBER(SEARCH("TESTE", F540))), "6.1 Despesas Administrativas (Gerais)", IFERROR(VLOOKUP(H540, De_Para!A:B, 2, FALSE), "NÃO MAPEADO"))), IFERROR(VLOOKUP(H540, De_Para!A:B, 2, FALSE), "NÃO MAPEADO"))</f>
        <v/>
      </c>
    </row>
    <row r="541">
      <c r="A541" s="2" t="inlineStr">
        <is>
          <t>69146</t>
        </is>
      </c>
      <c r="B541" s="2" t="inlineStr">
        <is>
          <t>Sicredi SNI</t>
        </is>
      </c>
      <c r="C541" s="2" t="inlineStr">
        <is>
          <t>22/06/2026</t>
        </is>
      </c>
      <c r="D541" s="2" t="inlineStr">
        <is>
          <t>22/06/2026</t>
        </is>
      </c>
      <c r="E541" s="2" t="inlineStr">
        <is>
          <t>Dinheiro</t>
        </is>
      </c>
      <c r="F541" s="2" t="inlineStr">
        <is>
          <t>Boleto "61110" do cliente "DONIZETI MIRANDA DA ROCHA RIBEIRO"</t>
        </is>
      </c>
      <c r="G541" s="2" t="inlineStr">
        <is>
          <t>system</t>
        </is>
      </c>
      <c r="H541" s="2" t="inlineStr">
        <is>
          <t>02.03.02.01 : Cobrança Bancaria</t>
        </is>
      </c>
      <c r="I541" s="2" t="n"/>
      <c r="J541" s="3" t="n">
        <v>-1.08</v>
      </c>
      <c r="K541" s="2">
        <f>IF(H541="02.09 : Outras Saídas", IF(OR(ISNUMBER(SEARCH("CHEQUE COMPE SICREDI", F541)), ISNUMBER(SEARCH("aniversario", F541)), ISNUMBER(SEARCH("churrasco", F541)), ISNUMBER(SEARCH("bolo", F541)), ISNUMBER(SEARCH("SUPERMERCADO", F541))), "6.1 Despesas Administrativas (Pessoal)", IF(OR(ISNUMBER(SEARCH("DLKNET", F541)), ISNUMBER(SEARCH("TESTE", F541))), "6.1 Despesas Administrativas (Gerais)", IFERROR(VLOOKUP(H541, De_Para!A:B, 2, FALSE), "NÃO MAPEADO"))), IFERROR(VLOOKUP(H541, De_Para!A:B, 2, FALSE), "NÃO MAPEADO"))</f>
        <v/>
      </c>
    </row>
    <row r="542">
      <c r="A542" s="2" t="inlineStr">
        <is>
          <t>69145</t>
        </is>
      </c>
      <c r="B542" s="2" t="inlineStr">
        <is>
          <t>Sicredi SNI</t>
        </is>
      </c>
      <c r="C542" s="2" t="inlineStr">
        <is>
          <t>22/06/2026</t>
        </is>
      </c>
      <c r="D542" s="2" t="inlineStr">
        <is>
          <t>22/06/2026</t>
        </is>
      </c>
      <c r="E542" s="2" t="inlineStr">
        <is>
          <t>Dinheiro</t>
        </is>
      </c>
      <c r="F542" s="2" t="inlineStr">
        <is>
          <t>Boleto "61110" do cliente "DONIZETI MIRANDA DA ROCHA RIBEIRO"</t>
        </is>
      </c>
      <c r="G542" s="2" t="inlineStr">
        <is>
          <t>system</t>
        </is>
      </c>
      <c r="H542" s="2" t="inlineStr">
        <is>
          <t>01.01.01 : Mensalidade</t>
        </is>
      </c>
      <c r="I542" s="3" t="n">
        <v>105</v>
      </c>
      <c r="J542" s="2" t="n"/>
      <c r="K542" s="2">
        <f>IF(H542="02.09 : Outras Saídas", IF(OR(ISNUMBER(SEARCH("CHEQUE COMPE SICREDI", F542)), ISNUMBER(SEARCH("aniversario", F542)), ISNUMBER(SEARCH("churrasco", F542)), ISNUMBER(SEARCH("bolo", F542)), ISNUMBER(SEARCH("SUPERMERCADO", F542))), "6.1 Despesas Administrativas (Pessoal)", IF(OR(ISNUMBER(SEARCH("DLKNET", F542)), ISNUMBER(SEARCH("TESTE", F542))), "6.1 Despesas Administrativas (Gerais)", IFERROR(VLOOKUP(H542, De_Para!A:B, 2, FALSE), "NÃO MAPEADO"))), IFERROR(VLOOKUP(H542, De_Para!A:B, 2, FALSE), "NÃO MAPEADO"))</f>
        <v/>
      </c>
    </row>
    <row r="543">
      <c r="A543" s="2" t="inlineStr">
        <is>
          <t>69144</t>
        </is>
      </c>
      <c r="B543" s="2" t="inlineStr">
        <is>
          <t>Sicredi SNI</t>
        </is>
      </c>
      <c r="C543" s="2" t="inlineStr">
        <is>
          <t>22/06/2026</t>
        </is>
      </c>
      <c r="D543" s="2" t="inlineStr">
        <is>
          <t>22/06/2026</t>
        </is>
      </c>
      <c r="E543" s="2" t="inlineStr">
        <is>
          <t>Dinheiro</t>
        </is>
      </c>
      <c r="F543" s="2" t="inlineStr">
        <is>
          <t>Boleto "61099" do cliente "ELAINI FERNANDA FERRAZ"</t>
        </is>
      </c>
      <c r="G543" s="2" t="inlineStr">
        <is>
          <t>system</t>
        </is>
      </c>
      <c r="H543" s="2" t="inlineStr">
        <is>
          <t>02.03.02.01 : Cobrança Bancaria</t>
        </is>
      </c>
      <c r="I543" s="2" t="n"/>
      <c r="J543" s="3" t="n">
        <v>-1.08</v>
      </c>
      <c r="K543" s="2">
        <f>IF(H543="02.09 : Outras Saídas", IF(OR(ISNUMBER(SEARCH("CHEQUE COMPE SICREDI", F543)), ISNUMBER(SEARCH("aniversario", F543)), ISNUMBER(SEARCH("churrasco", F543)), ISNUMBER(SEARCH("bolo", F543)), ISNUMBER(SEARCH("SUPERMERCADO", F543))), "6.1 Despesas Administrativas (Pessoal)", IF(OR(ISNUMBER(SEARCH("DLKNET", F543)), ISNUMBER(SEARCH("TESTE", F543))), "6.1 Despesas Administrativas (Gerais)", IFERROR(VLOOKUP(H543, De_Para!A:B, 2, FALSE), "NÃO MAPEADO"))), IFERROR(VLOOKUP(H543, De_Para!A:B, 2, FALSE), "NÃO MAPEADO"))</f>
        <v/>
      </c>
    </row>
    <row r="544">
      <c r="A544" s="2" t="inlineStr">
        <is>
          <t>69143</t>
        </is>
      </c>
      <c r="B544" s="2" t="inlineStr">
        <is>
          <t>Sicredi SNI</t>
        </is>
      </c>
      <c r="C544" s="2" t="inlineStr">
        <is>
          <t>22/06/2026</t>
        </is>
      </c>
      <c r="D544" s="2" t="inlineStr">
        <is>
          <t>22/06/2026</t>
        </is>
      </c>
      <c r="E544" s="2" t="inlineStr">
        <is>
          <t>Dinheiro</t>
        </is>
      </c>
      <c r="F544" s="2" t="inlineStr">
        <is>
          <t>Boleto "61099" do cliente "ELAINI FERNANDA FERRAZ"</t>
        </is>
      </c>
      <c r="G544" s="2" t="inlineStr">
        <is>
          <t>system</t>
        </is>
      </c>
      <c r="H544" s="2" t="inlineStr">
        <is>
          <t>01.01.01 : Mensalidade</t>
        </is>
      </c>
      <c r="I544" s="3" t="n">
        <v>105</v>
      </c>
      <c r="J544" s="2" t="n"/>
      <c r="K544" s="2">
        <f>IF(H544="02.09 : Outras Saídas", IF(OR(ISNUMBER(SEARCH("CHEQUE COMPE SICREDI", F544)), ISNUMBER(SEARCH("aniversario", F544)), ISNUMBER(SEARCH("churrasco", F544)), ISNUMBER(SEARCH("bolo", F544)), ISNUMBER(SEARCH("SUPERMERCADO", F544))), "6.1 Despesas Administrativas (Pessoal)", IF(OR(ISNUMBER(SEARCH("DLKNET", F544)), ISNUMBER(SEARCH("TESTE", F544))), "6.1 Despesas Administrativas (Gerais)", IFERROR(VLOOKUP(H544, De_Para!A:B, 2, FALSE), "NÃO MAPEADO"))), IFERROR(VLOOKUP(H544, De_Para!A:B, 2, FALSE), "NÃO MAPEADO"))</f>
        <v/>
      </c>
    </row>
    <row r="545">
      <c r="A545" s="2" t="inlineStr">
        <is>
          <t>69142</t>
        </is>
      </c>
      <c r="B545" s="2" t="inlineStr">
        <is>
          <t>Sicredi SNI</t>
        </is>
      </c>
      <c r="C545" s="2" t="inlineStr">
        <is>
          <t>22/06/2026</t>
        </is>
      </c>
      <c r="D545" s="2" t="inlineStr">
        <is>
          <t>22/06/2026</t>
        </is>
      </c>
      <c r="E545" s="2" t="inlineStr">
        <is>
          <t>Dinheiro</t>
        </is>
      </c>
      <c r="F545" s="2" t="inlineStr">
        <is>
          <t>Boleto "58574" do cliente "SELMA REGINA FAUSTINO"</t>
        </is>
      </c>
      <c r="G545" s="2" t="inlineStr">
        <is>
          <t>system</t>
        </is>
      </c>
      <c r="H545" s="2" t="inlineStr">
        <is>
          <t>02.03.02.01 : Cobrança Bancaria</t>
        </is>
      </c>
      <c r="I545" s="2" t="n"/>
      <c r="J545" s="3" t="n">
        <v>-1.08</v>
      </c>
      <c r="K545" s="2">
        <f>IF(H545="02.09 : Outras Saídas", IF(OR(ISNUMBER(SEARCH("CHEQUE COMPE SICREDI", F545)), ISNUMBER(SEARCH("aniversario", F545)), ISNUMBER(SEARCH("churrasco", F545)), ISNUMBER(SEARCH("bolo", F545)), ISNUMBER(SEARCH("SUPERMERCADO", F545))), "6.1 Despesas Administrativas (Pessoal)", IF(OR(ISNUMBER(SEARCH("DLKNET", F545)), ISNUMBER(SEARCH("TESTE", F545))), "6.1 Despesas Administrativas (Gerais)", IFERROR(VLOOKUP(H545, De_Para!A:B, 2, FALSE), "NÃO MAPEADO"))), IFERROR(VLOOKUP(H545, De_Para!A:B, 2, FALSE), "NÃO MAPEADO"))</f>
        <v/>
      </c>
    </row>
    <row r="546">
      <c r="A546" s="2" t="inlineStr">
        <is>
          <t>69141</t>
        </is>
      </c>
      <c r="B546" s="2" t="inlineStr">
        <is>
          <t>Sicredi SNI</t>
        </is>
      </c>
      <c r="C546" s="2" t="inlineStr">
        <is>
          <t>22/06/2026</t>
        </is>
      </c>
      <c r="D546" s="2" t="inlineStr">
        <is>
          <t>22/06/2026</t>
        </is>
      </c>
      <c r="E546" s="2" t="inlineStr">
        <is>
          <t>Dinheiro</t>
        </is>
      </c>
      <c r="F546" s="2" t="inlineStr">
        <is>
          <t>Boleto "58574" do cliente "SELMA REGINA FAUSTINO"</t>
        </is>
      </c>
      <c r="G546" s="2" t="inlineStr">
        <is>
          <t>system</t>
        </is>
      </c>
      <c r="H546" s="2" t="inlineStr">
        <is>
          <t>01.01.01 : Mensalidade</t>
        </is>
      </c>
      <c r="I546" s="3" t="n">
        <v>102.21</v>
      </c>
      <c r="J546" s="2" t="n"/>
      <c r="K546" s="2">
        <f>IF(H546="02.09 : Outras Saídas", IF(OR(ISNUMBER(SEARCH("CHEQUE COMPE SICREDI", F546)), ISNUMBER(SEARCH("aniversario", F546)), ISNUMBER(SEARCH("churrasco", F546)), ISNUMBER(SEARCH("bolo", F546)), ISNUMBER(SEARCH("SUPERMERCADO", F546))), "6.1 Despesas Administrativas (Pessoal)", IF(OR(ISNUMBER(SEARCH("DLKNET", F546)), ISNUMBER(SEARCH("TESTE", F546))), "6.1 Despesas Administrativas (Gerais)", IFERROR(VLOOKUP(H546, De_Para!A:B, 2, FALSE), "NÃO MAPEADO"))), IFERROR(VLOOKUP(H546, De_Para!A:B, 2, FALSE), "NÃO MAPEADO"))</f>
        <v/>
      </c>
    </row>
    <row r="547">
      <c r="A547" s="2" t="inlineStr">
        <is>
          <t>69140</t>
        </is>
      </c>
      <c r="B547" s="2" t="inlineStr">
        <is>
          <t>Sicredi SNI</t>
        </is>
      </c>
      <c r="C547" s="2" t="inlineStr">
        <is>
          <t>22/06/2026</t>
        </is>
      </c>
      <c r="D547" s="2" t="inlineStr">
        <is>
          <t>22/06/2026</t>
        </is>
      </c>
      <c r="E547" s="2" t="inlineStr">
        <is>
          <t>Dinheiro</t>
        </is>
      </c>
      <c r="F547" s="2" t="inlineStr">
        <is>
          <t>Boleto "54399" do cliente "DANIELA CRISTINA CARLOS"</t>
        </is>
      </c>
      <c r="G547" s="2" t="inlineStr">
        <is>
          <t>system</t>
        </is>
      </c>
      <c r="H547" s="2" t="inlineStr">
        <is>
          <t>02.03.02.01 : Cobrança Bancaria</t>
        </is>
      </c>
      <c r="I547" s="2" t="n"/>
      <c r="J547" s="3" t="n">
        <v>-1.08</v>
      </c>
      <c r="K547" s="2">
        <f>IF(H547="02.09 : Outras Saídas", IF(OR(ISNUMBER(SEARCH("CHEQUE COMPE SICREDI", F547)), ISNUMBER(SEARCH("aniversario", F547)), ISNUMBER(SEARCH("churrasco", F547)), ISNUMBER(SEARCH("bolo", F547)), ISNUMBER(SEARCH("SUPERMERCADO", F547))), "6.1 Despesas Administrativas (Pessoal)", IF(OR(ISNUMBER(SEARCH("DLKNET", F547)), ISNUMBER(SEARCH("TESTE", F547))), "6.1 Despesas Administrativas (Gerais)", IFERROR(VLOOKUP(H547, De_Para!A:B, 2, FALSE), "NÃO MAPEADO"))), IFERROR(VLOOKUP(H547, De_Para!A:B, 2, FALSE), "NÃO MAPEADO"))</f>
        <v/>
      </c>
    </row>
    <row r="548">
      <c r="A548" s="2" t="inlineStr">
        <is>
          <t>69139</t>
        </is>
      </c>
      <c r="B548" s="2" t="inlineStr">
        <is>
          <t>Sicredi SNI</t>
        </is>
      </c>
      <c r="C548" s="2" t="inlineStr">
        <is>
          <t>22/06/2026</t>
        </is>
      </c>
      <c r="D548" s="2" t="inlineStr">
        <is>
          <t>22/06/2026</t>
        </is>
      </c>
      <c r="E548" s="2" t="inlineStr">
        <is>
          <t>Dinheiro</t>
        </is>
      </c>
      <c r="F548" s="2" t="inlineStr">
        <is>
          <t>Boleto "54399" do cliente "DANIELA CRISTINA CARLOS"</t>
        </is>
      </c>
      <c r="G548" s="2" t="inlineStr">
        <is>
          <t>system</t>
        </is>
      </c>
      <c r="H548" s="2" t="inlineStr">
        <is>
          <t>01.01.01 : Mensalidade</t>
        </is>
      </c>
      <c r="I548" s="3" t="n">
        <v>100</v>
      </c>
      <c r="J548" s="2" t="n"/>
      <c r="K548" s="2">
        <f>IF(H548="02.09 : Outras Saídas", IF(OR(ISNUMBER(SEARCH("CHEQUE COMPE SICREDI", F548)), ISNUMBER(SEARCH("aniversario", F548)), ISNUMBER(SEARCH("churrasco", F548)), ISNUMBER(SEARCH("bolo", F548)), ISNUMBER(SEARCH("SUPERMERCADO", F548))), "6.1 Despesas Administrativas (Pessoal)", IF(OR(ISNUMBER(SEARCH("DLKNET", F548)), ISNUMBER(SEARCH("TESTE", F548))), "6.1 Despesas Administrativas (Gerais)", IFERROR(VLOOKUP(H548, De_Para!A:B, 2, FALSE), "NÃO MAPEADO"))), IFERROR(VLOOKUP(H548, De_Para!A:B, 2, FALSE), "NÃO MAPEADO"))</f>
        <v/>
      </c>
    </row>
    <row r="549">
      <c r="A549" s="2" t="inlineStr">
        <is>
          <t>69138</t>
        </is>
      </c>
      <c r="B549" s="2" t="inlineStr">
        <is>
          <t>Sicredi SNI</t>
        </is>
      </c>
      <c r="C549" s="2" t="inlineStr">
        <is>
          <t>22/06/2026</t>
        </is>
      </c>
      <c r="D549" s="2" t="inlineStr">
        <is>
          <t>22/06/2026</t>
        </is>
      </c>
      <c r="E549" s="2" t="inlineStr">
        <is>
          <t>Dinheiro</t>
        </is>
      </c>
      <c r="F549" s="2" t="inlineStr">
        <is>
          <t>Boleto "54235" do cliente "MARIA ELIETE COSTA DE OLIVEIRA"</t>
        </is>
      </c>
      <c r="G549" s="2" t="inlineStr">
        <is>
          <t>system</t>
        </is>
      </c>
      <c r="H549" s="2" t="inlineStr">
        <is>
          <t>02.03.02.01 : Cobrança Bancaria</t>
        </is>
      </c>
      <c r="I549" s="2" t="n"/>
      <c r="J549" s="3" t="n">
        <v>-1.08</v>
      </c>
      <c r="K549" s="2">
        <f>IF(H549="02.09 : Outras Saídas", IF(OR(ISNUMBER(SEARCH("CHEQUE COMPE SICREDI", F549)), ISNUMBER(SEARCH("aniversario", F549)), ISNUMBER(SEARCH("churrasco", F549)), ISNUMBER(SEARCH("bolo", F549)), ISNUMBER(SEARCH("SUPERMERCADO", F549))), "6.1 Despesas Administrativas (Pessoal)", IF(OR(ISNUMBER(SEARCH("DLKNET", F549)), ISNUMBER(SEARCH("TESTE", F549))), "6.1 Despesas Administrativas (Gerais)", IFERROR(VLOOKUP(H549, De_Para!A:B, 2, FALSE), "NÃO MAPEADO"))), IFERROR(VLOOKUP(H549, De_Para!A:B, 2, FALSE), "NÃO MAPEADO"))</f>
        <v/>
      </c>
    </row>
    <row r="550">
      <c r="A550" s="2" t="inlineStr">
        <is>
          <t>69137</t>
        </is>
      </c>
      <c r="B550" s="2" t="inlineStr">
        <is>
          <t>Sicredi SNI</t>
        </is>
      </c>
      <c r="C550" s="2" t="inlineStr">
        <is>
          <t>22/06/2026</t>
        </is>
      </c>
      <c r="D550" s="2" t="inlineStr">
        <is>
          <t>22/06/2026</t>
        </is>
      </c>
      <c r="E550" s="2" t="inlineStr">
        <is>
          <t>Dinheiro</t>
        </is>
      </c>
      <c r="F550" s="2" t="inlineStr">
        <is>
          <t>Boleto "54235" do cliente "MARIA ELIETE COSTA DE OLIVEIRA"</t>
        </is>
      </c>
      <c r="G550" s="2" t="inlineStr">
        <is>
          <t>system</t>
        </is>
      </c>
      <c r="H550" s="2" t="inlineStr">
        <is>
          <t>01.01.01 : Mensalidade</t>
        </is>
      </c>
      <c r="I550" s="3" t="n">
        <v>100</v>
      </c>
      <c r="J550" s="2" t="n"/>
      <c r="K550" s="2">
        <f>IF(H550="02.09 : Outras Saídas", IF(OR(ISNUMBER(SEARCH("CHEQUE COMPE SICREDI", F550)), ISNUMBER(SEARCH("aniversario", F550)), ISNUMBER(SEARCH("churrasco", F550)), ISNUMBER(SEARCH("bolo", F550)), ISNUMBER(SEARCH("SUPERMERCADO", F550))), "6.1 Despesas Administrativas (Pessoal)", IF(OR(ISNUMBER(SEARCH("DLKNET", F550)), ISNUMBER(SEARCH("TESTE", F550))), "6.1 Despesas Administrativas (Gerais)", IFERROR(VLOOKUP(H550, De_Para!A:B, 2, FALSE), "NÃO MAPEADO"))), IFERROR(VLOOKUP(H550, De_Para!A:B, 2, FALSE), "NÃO MAPEADO"))</f>
        <v/>
      </c>
    </row>
    <row r="551">
      <c r="A551" s="2" t="inlineStr">
        <is>
          <t>69136</t>
        </is>
      </c>
      <c r="B551" s="2" t="inlineStr">
        <is>
          <t>Sicredi SNI</t>
        </is>
      </c>
      <c r="C551" s="2" t="inlineStr">
        <is>
          <t>21/06/2026</t>
        </is>
      </c>
      <c r="D551" s="2" t="inlineStr">
        <is>
          <t>21/06/2026</t>
        </is>
      </c>
      <c r="E551" s="2" t="inlineStr">
        <is>
          <t>PIX</t>
        </is>
      </c>
      <c r="F551" s="2" t="inlineStr">
        <is>
          <t>Boleto "60341" do cliente "ROSANA DOS SANTOS DE OLIVEIRA"</t>
        </is>
      </c>
      <c r="G551" s="2" t="inlineStr">
        <is>
          <t>system</t>
        </is>
      </c>
      <c r="H551" s="2" t="inlineStr">
        <is>
          <t>02.03.02.01 : Cobrança Bancaria</t>
        </is>
      </c>
      <c r="I551" s="2" t="n"/>
      <c r="J551" s="3" t="n">
        <v>-0.49</v>
      </c>
      <c r="K551" s="2">
        <f>IF(H551="02.09 : Outras Saídas", IF(OR(ISNUMBER(SEARCH("CHEQUE COMPE SICREDI", F551)), ISNUMBER(SEARCH("aniversario", F551)), ISNUMBER(SEARCH("churrasco", F551)), ISNUMBER(SEARCH("bolo", F551)), ISNUMBER(SEARCH("SUPERMERCADO", F551))), "6.1 Despesas Administrativas (Pessoal)", IF(OR(ISNUMBER(SEARCH("DLKNET", F551)), ISNUMBER(SEARCH("TESTE", F551))), "6.1 Despesas Administrativas (Gerais)", IFERROR(VLOOKUP(H551, De_Para!A:B, 2, FALSE), "NÃO MAPEADO"))), IFERROR(VLOOKUP(H551, De_Para!A:B, 2, FALSE), "NÃO MAPEADO"))</f>
        <v/>
      </c>
    </row>
    <row r="552">
      <c r="A552" s="2" t="inlineStr">
        <is>
          <t>69135</t>
        </is>
      </c>
      <c r="B552" s="2" t="inlineStr">
        <is>
          <t>Sicredi SNI</t>
        </is>
      </c>
      <c r="C552" s="2" t="inlineStr">
        <is>
          <t>21/06/2026</t>
        </is>
      </c>
      <c r="D552" s="2" t="inlineStr">
        <is>
          <t>21/06/2026</t>
        </is>
      </c>
      <c r="E552" s="2" t="inlineStr">
        <is>
          <t>PIX</t>
        </is>
      </c>
      <c r="F552" s="2" t="inlineStr">
        <is>
          <t>Boleto "60341" do cliente "ROSANA DOS SANTOS DE OLIVEIRA"</t>
        </is>
      </c>
      <c r="G552" s="2" t="inlineStr">
        <is>
          <t>system</t>
        </is>
      </c>
      <c r="H552" s="2" t="inlineStr">
        <is>
          <t>01.01.01 : Mensalidade</t>
        </is>
      </c>
      <c r="I552" s="3" t="n">
        <v>100</v>
      </c>
      <c r="J552" s="2" t="n"/>
      <c r="K552" s="2">
        <f>IF(H552="02.09 : Outras Saídas", IF(OR(ISNUMBER(SEARCH("CHEQUE COMPE SICREDI", F552)), ISNUMBER(SEARCH("aniversario", F552)), ISNUMBER(SEARCH("churrasco", F552)), ISNUMBER(SEARCH("bolo", F552)), ISNUMBER(SEARCH("SUPERMERCADO", F552))), "6.1 Despesas Administrativas (Pessoal)", IF(OR(ISNUMBER(SEARCH("DLKNET", F552)), ISNUMBER(SEARCH("TESTE", F552))), "6.1 Despesas Administrativas (Gerais)", IFERROR(VLOOKUP(H552, De_Para!A:B, 2, FALSE), "NÃO MAPEADO"))), IFERROR(VLOOKUP(H552, De_Para!A:B, 2, FALSE), "NÃO MAPEADO"))</f>
        <v/>
      </c>
    </row>
    <row r="553">
      <c r="A553" s="2" t="inlineStr">
        <is>
          <t>69134</t>
        </is>
      </c>
      <c r="B553" s="2" t="inlineStr">
        <is>
          <t>Sicredi SNI</t>
        </is>
      </c>
      <c r="C553" s="2" t="inlineStr">
        <is>
          <t>21/06/2026</t>
        </is>
      </c>
      <c r="D553" s="2" t="inlineStr">
        <is>
          <t>21/06/2026</t>
        </is>
      </c>
      <c r="E553" s="2" t="inlineStr">
        <is>
          <t>PIX</t>
        </is>
      </c>
      <c r="F553" s="2" t="inlineStr">
        <is>
          <t>Boleto "54769" do cliente "LEONINA RIBEIRO DO NASCIMENTO OLIVEIRA"</t>
        </is>
      </c>
      <c r="G553" s="2" t="inlineStr">
        <is>
          <t>system</t>
        </is>
      </c>
      <c r="H553" s="2" t="inlineStr">
        <is>
          <t>02.03.02.01 : Cobrança Bancaria</t>
        </is>
      </c>
      <c r="I553" s="2" t="n"/>
      <c r="J553" s="3" t="n">
        <v>-0.49</v>
      </c>
      <c r="K553" s="2">
        <f>IF(H553="02.09 : Outras Saídas", IF(OR(ISNUMBER(SEARCH("CHEQUE COMPE SICREDI", F553)), ISNUMBER(SEARCH("aniversario", F553)), ISNUMBER(SEARCH("churrasco", F553)), ISNUMBER(SEARCH("bolo", F553)), ISNUMBER(SEARCH("SUPERMERCADO", F553))), "6.1 Despesas Administrativas (Pessoal)", IF(OR(ISNUMBER(SEARCH("DLKNET", F553)), ISNUMBER(SEARCH("TESTE", F553))), "6.1 Despesas Administrativas (Gerais)", IFERROR(VLOOKUP(H553, De_Para!A:B, 2, FALSE), "NÃO MAPEADO"))), IFERROR(VLOOKUP(H553, De_Para!A:B, 2, FALSE), "NÃO MAPEADO"))</f>
        <v/>
      </c>
    </row>
    <row r="554">
      <c r="A554" s="2" t="inlineStr">
        <is>
          <t>69133</t>
        </is>
      </c>
      <c r="B554" s="2" t="inlineStr">
        <is>
          <t>Sicredi SNI</t>
        </is>
      </c>
      <c r="C554" s="2" t="inlineStr">
        <is>
          <t>21/06/2026</t>
        </is>
      </c>
      <c r="D554" s="2" t="inlineStr">
        <is>
          <t>21/06/2026</t>
        </is>
      </c>
      <c r="E554" s="2" t="inlineStr">
        <is>
          <t>PIX</t>
        </is>
      </c>
      <c r="F554" s="2" t="inlineStr">
        <is>
          <t>Boleto "54769" do cliente "LEONINA RIBEIRO DO NASCIMENTO OLIVEIRA"</t>
        </is>
      </c>
      <c r="G554" s="2" t="inlineStr">
        <is>
          <t>system</t>
        </is>
      </c>
      <c r="H554" s="2" t="inlineStr">
        <is>
          <t>01.01.01 : Mensalidade</t>
        </is>
      </c>
      <c r="I554" s="3" t="n">
        <v>105</v>
      </c>
      <c r="J554" s="2" t="n"/>
      <c r="K554" s="2">
        <f>IF(H554="02.09 : Outras Saídas", IF(OR(ISNUMBER(SEARCH("CHEQUE COMPE SICREDI", F554)), ISNUMBER(SEARCH("aniversario", F554)), ISNUMBER(SEARCH("churrasco", F554)), ISNUMBER(SEARCH("bolo", F554)), ISNUMBER(SEARCH("SUPERMERCADO", F554))), "6.1 Despesas Administrativas (Pessoal)", IF(OR(ISNUMBER(SEARCH("DLKNET", F554)), ISNUMBER(SEARCH("TESTE", F554))), "6.1 Despesas Administrativas (Gerais)", IFERROR(VLOOKUP(H554, De_Para!A:B, 2, FALSE), "NÃO MAPEADO"))), IFERROR(VLOOKUP(H554, De_Para!A:B, 2, FALSE), "NÃO MAPEADO"))</f>
        <v/>
      </c>
    </row>
    <row r="555">
      <c r="A555" s="2" t="inlineStr">
        <is>
          <t>69132</t>
        </is>
      </c>
      <c r="B555" s="2" t="inlineStr">
        <is>
          <t>Sicredi SNI</t>
        </is>
      </c>
      <c r="C555" s="2" t="inlineStr">
        <is>
          <t>21/06/2026</t>
        </is>
      </c>
      <c r="D555" s="2" t="inlineStr">
        <is>
          <t>21/06/2026</t>
        </is>
      </c>
      <c r="E555" s="2" t="inlineStr">
        <is>
          <t>PIX</t>
        </is>
      </c>
      <c r="F555" s="2" t="inlineStr">
        <is>
          <t>Boleto "59182" do cliente "JOSE CEZAR DE MIRANDA"</t>
        </is>
      </c>
      <c r="G555" s="2" t="inlineStr">
        <is>
          <t>system</t>
        </is>
      </c>
      <c r="H555" s="2" t="inlineStr">
        <is>
          <t>02.03.02.01 : Cobrança Bancaria</t>
        </is>
      </c>
      <c r="I555" s="2" t="n"/>
      <c r="J555" s="3" t="n">
        <v>-0.49</v>
      </c>
      <c r="K555" s="2">
        <f>IF(H555="02.09 : Outras Saídas", IF(OR(ISNUMBER(SEARCH("CHEQUE COMPE SICREDI", F555)), ISNUMBER(SEARCH("aniversario", F555)), ISNUMBER(SEARCH("churrasco", F555)), ISNUMBER(SEARCH("bolo", F555)), ISNUMBER(SEARCH("SUPERMERCADO", F555))), "6.1 Despesas Administrativas (Pessoal)", IF(OR(ISNUMBER(SEARCH("DLKNET", F555)), ISNUMBER(SEARCH("TESTE", F555))), "6.1 Despesas Administrativas (Gerais)", IFERROR(VLOOKUP(H555, De_Para!A:B, 2, FALSE), "NÃO MAPEADO"))), IFERROR(VLOOKUP(H555, De_Para!A:B, 2, FALSE), "NÃO MAPEADO"))</f>
        <v/>
      </c>
    </row>
    <row r="556">
      <c r="A556" s="2" t="inlineStr">
        <is>
          <t>69131</t>
        </is>
      </c>
      <c r="B556" s="2" t="inlineStr">
        <is>
          <t>Sicredi SNI</t>
        </is>
      </c>
      <c r="C556" s="2" t="inlineStr">
        <is>
          <t>21/06/2026</t>
        </is>
      </c>
      <c r="D556" s="2" t="inlineStr">
        <is>
          <t>21/06/2026</t>
        </is>
      </c>
      <c r="E556" s="2" t="inlineStr">
        <is>
          <t>PIX</t>
        </is>
      </c>
      <c r="F556" s="2" t="inlineStr">
        <is>
          <t>Boleto "59182" do cliente "JOSE CEZAR DE MIRANDA"</t>
        </is>
      </c>
      <c r="G556" s="2" t="inlineStr">
        <is>
          <t>system</t>
        </is>
      </c>
      <c r="H556" s="2" t="inlineStr">
        <is>
          <t>01.01.01 : Mensalidade</t>
        </is>
      </c>
      <c r="I556" s="3" t="n">
        <v>102.3</v>
      </c>
      <c r="J556" s="2" t="n"/>
      <c r="K556" s="2">
        <f>IF(H556="02.09 : Outras Saídas", IF(OR(ISNUMBER(SEARCH("CHEQUE COMPE SICREDI", F556)), ISNUMBER(SEARCH("aniversario", F556)), ISNUMBER(SEARCH("churrasco", F556)), ISNUMBER(SEARCH("bolo", F556)), ISNUMBER(SEARCH("SUPERMERCADO", F556))), "6.1 Despesas Administrativas (Pessoal)", IF(OR(ISNUMBER(SEARCH("DLKNET", F556)), ISNUMBER(SEARCH("TESTE", F556))), "6.1 Despesas Administrativas (Gerais)", IFERROR(VLOOKUP(H556, De_Para!A:B, 2, FALSE), "NÃO MAPEADO"))), IFERROR(VLOOKUP(H556, De_Para!A:B, 2, FALSE), "NÃO MAPEADO"))</f>
        <v/>
      </c>
    </row>
    <row r="557">
      <c r="A557" s="2" t="inlineStr">
        <is>
          <t>69130</t>
        </is>
      </c>
      <c r="B557" s="2" t="inlineStr">
        <is>
          <t>Sicredi SNI</t>
        </is>
      </c>
      <c r="C557" s="2" t="inlineStr">
        <is>
          <t>21/06/2026</t>
        </is>
      </c>
      <c r="D557" s="2" t="inlineStr">
        <is>
          <t>21/06/2026</t>
        </is>
      </c>
      <c r="E557" s="2" t="inlineStr">
        <is>
          <t>PIX</t>
        </is>
      </c>
      <c r="F557" s="2" t="inlineStr">
        <is>
          <t>Boleto "61132" do cliente "HERIEL ELI DE OLIVEIRA SILVA"</t>
        </is>
      </c>
      <c r="G557" s="2" t="inlineStr">
        <is>
          <t>system</t>
        </is>
      </c>
      <c r="H557" s="2" t="inlineStr">
        <is>
          <t>02.03.02.01 : Cobrança Bancaria</t>
        </is>
      </c>
      <c r="I557" s="2" t="n"/>
      <c r="J557" s="3" t="n">
        <v>-0.49</v>
      </c>
      <c r="K557" s="2">
        <f>IF(H557="02.09 : Outras Saídas", IF(OR(ISNUMBER(SEARCH("CHEQUE COMPE SICREDI", F557)), ISNUMBER(SEARCH("aniversario", F557)), ISNUMBER(SEARCH("churrasco", F557)), ISNUMBER(SEARCH("bolo", F557)), ISNUMBER(SEARCH("SUPERMERCADO", F557))), "6.1 Despesas Administrativas (Pessoal)", IF(OR(ISNUMBER(SEARCH("DLKNET", F557)), ISNUMBER(SEARCH("TESTE", F557))), "6.1 Despesas Administrativas (Gerais)", IFERROR(VLOOKUP(H557, De_Para!A:B, 2, FALSE), "NÃO MAPEADO"))), IFERROR(VLOOKUP(H557, De_Para!A:B, 2, FALSE), "NÃO MAPEADO"))</f>
        <v/>
      </c>
    </row>
    <row r="558">
      <c r="A558" s="2" t="inlineStr">
        <is>
          <t>69129</t>
        </is>
      </c>
      <c r="B558" s="2" t="inlineStr">
        <is>
          <t>Sicredi SNI</t>
        </is>
      </c>
      <c r="C558" s="2" t="inlineStr">
        <is>
          <t>21/06/2026</t>
        </is>
      </c>
      <c r="D558" s="2" t="inlineStr">
        <is>
          <t>21/06/2026</t>
        </is>
      </c>
      <c r="E558" s="2" t="inlineStr">
        <is>
          <t>PIX</t>
        </is>
      </c>
      <c r="F558" s="2" t="inlineStr">
        <is>
          <t>Boleto "61132" do cliente "HERIEL ELI DE OLIVEIRA SILVA"</t>
        </is>
      </c>
      <c r="G558" s="2" t="inlineStr">
        <is>
          <t>system</t>
        </is>
      </c>
      <c r="H558" s="2" t="inlineStr">
        <is>
          <t>01.01.01 : Mensalidade</t>
        </is>
      </c>
      <c r="I558" s="3" t="n">
        <v>102.37</v>
      </c>
      <c r="J558" s="2" t="n"/>
      <c r="K558" s="2">
        <f>IF(H558="02.09 : Outras Saídas", IF(OR(ISNUMBER(SEARCH("CHEQUE COMPE SICREDI", F558)), ISNUMBER(SEARCH("aniversario", F558)), ISNUMBER(SEARCH("churrasco", F558)), ISNUMBER(SEARCH("bolo", F558)), ISNUMBER(SEARCH("SUPERMERCADO", F558))), "6.1 Despesas Administrativas (Pessoal)", IF(OR(ISNUMBER(SEARCH("DLKNET", F558)), ISNUMBER(SEARCH("TESTE", F558))), "6.1 Despesas Administrativas (Gerais)", IFERROR(VLOOKUP(H558, De_Para!A:B, 2, FALSE), "NÃO MAPEADO"))), IFERROR(VLOOKUP(H558, De_Para!A:B, 2, FALSE), "NÃO MAPEADO"))</f>
        <v/>
      </c>
    </row>
    <row r="559">
      <c r="A559" s="2" t="inlineStr">
        <is>
          <t>69128</t>
        </is>
      </c>
      <c r="B559" s="2" t="inlineStr">
        <is>
          <t>Sicredi SNI</t>
        </is>
      </c>
      <c r="C559" s="2" t="inlineStr">
        <is>
          <t>20/06/2026</t>
        </is>
      </c>
      <c r="D559" s="2" t="inlineStr">
        <is>
          <t>20/06/2026</t>
        </is>
      </c>
      <c r="E559" s="2" t="inlineStr">
        <is>
          <t>PIX</t>
        </is>
      </c>
      <c r="F559" s="2" t="inlineStr">
        <is>
          <t>Boleto "54257" do cliente "JOSIAS GOMES"</t>
        </is>
      </c>
      <c r="G559" s="2" t="inlineStr">
        <is>
          <t>system</t>
        </is>
      </c>
      <c r="H559" s="2" t="inlineStr">
        <is>
          <t>02.03.02.01 : Cobrança Bancaria</t>
        </is>
      </c>
      <c r="I559" s="2" t="n"/>
      <c r="J559" s="3" t="n">
        <v>-0.49</v>
      </c>
      <c r="K559" s="2">
        <f>IF(H559="02.09 : Outras Saídas", IF(OR(ISNUMBER(SEARCH("CHEQUE COMPE SICREDI", F559)), ISNUMBER(SEARCH("aniversario", F559)), ISNUMBER(SEARCH("churrasco", F559)), ISNUMBER(SEARCH("bolo", F559)), ISNUMBER(SEARCH("SUPERMERCADO", F559))), "6.1 Despesas Administrativas (Pessoal)", IF(OR(ISNUMBER(SEARCH("DLKNET", F559)), ISNUMBER(SEARCH("TESTE", F559))), "6.1 Despesas Administrativas (Gerais)", IFERROR(VLOOKUP(H559, De_Para!A:B, 2, FALSE), "NÃO MAPEADO"))), IFERROR(VLOOKUP(H559, De_Para!A:B, 2, FALSE), "NÃO MAPEADO"))</f>
        <v/>
      </c>
    </row>
    <row r="560">
      <c r="A560" s="2" t="inlineStr">
        <is>
          <t>69127</t>
        </is>
      </c>
      <c r="B560" s="2" t="inlineStr">
        <is>
          <t>Sicredi SNI</t>
        </is>
      </c>
      <c r="C560" s="2" t="inlineStr">
        <is>
          <t>20/06/2026</t>
        </is>
      </c>
      <c r="D560" s="2" t="inlineStr">
        <is>
          <t>20/06/2026</t>
        </is>
      </c>
      <c r="E560" s="2" t="inlineStr">
        <is>
          <t>PIX</t>
        </is>
      </c>
      <c r="F560" s="2" t="inlineStr">
        <is>
          <t>Boleto "54257" do cliente "JOSIAS GOMES"</t>
        </is>
      </c>
      <c r="G560" s="2" t="inlineStr">
        <is>
          <t>system</t>
        </is>
      </c>
      <c r="H560" s="2" t="inlineStr">
        <is>
          <t>01.01.01 : Mensalidade</t>
        </is>
      </c>
      <c r="I560" s="3" t="n">
        <v>94.5</v>
      </c>
      <c r="J560" s="2" t="n"/>
      <c r="K560" s="2">
        <f>IF(H560="02.09 : Outras Saídas", IF(OR(ISNUMBER(SEARCH("CHEQUE COMPE SICREDI", F560)), ISNUMBER(SEARCH("aniversario", F560)), ISNUMBER(SEARCH("churrasco", F560)), ISNUMBER(SEARCH("bolo", F560)), ISNUMBER(SEARCH("SUPERMERCADO", F560))), "6.1 Despesas Administrativas (Pessoal)", IF(OR(ISNUMBER(SEARCH("DLKNET", F560)), ISNUMBER(SEARCH("TESTE", F560))), "6.1 Despesas Administrativas (Gerais)", IFERROR(VLOOKUP(H560, De_Para!A:B, 2, FALSE), "NÃO MAPEADO"))), IFERROR(VLOOKUP(H560, De_Para!A:B, 2, FALSE), "NÃO MAPEADO"))</f>
        <v/>
      </c>
    </row>
    <row r="561">
      <c r="A561" s="2" t="inlineStr">
        <is>
          <t>69126</t>
        </is>
      </c>
      <c r="B561" s="2" t="inlineStr">
        <is>
          <t>Sicredi SNI</t>
        </is>
      </c>
      <c r="C561" s="2" t="inlineStr">
        <is>
          <t>20/06/2026</t>
        </is>
      </c>
      <c r="D561" s="2" t="inlineStr">
        <is>
          <t>20/06/2026</t>
        </is>
      </c>
      <c r="E561" s="2" t="inlineStr">
        <is>
          <t>PIX</t>
        </is>
      </c>
      <c r="F561" s="2" t="inlineStr">
        <is>
          <t>Boleto "54169" do cliente "JOSIAS GOMES"</t>
        </is>
      </c>
      <c r="G561" s="2" t="inlineStr">
        <is>
          <t>system</t>
        </is>
      </c>
      <c r="H561" s="2" t="inlineStr">
        <is>
          <t>02.03.02.01 : Cobrança Bancaria</t>
        </is>
      </c>
      <c r="I561" s="2" t="n"/>
      <c r="J561" s="3" t="n">
        <v>-0.49</v>
      </c>
      <c r="K561" s="2">
        <f>IF(H561="02.09 : Outras Saídas", IF(OR(ISNUMBER(SEARCH("CHEQUE COMPE SICREDI", F561)), ISNUMBER(SEARCH("aniversario", F561)), ISNUMBER(SEARCH("churrasco", F561)), ISNUMBER(SEARCH("bolo", F561)), ISNUMBER(SEARCH("SUPERMERCADO", F561))), "6.1 Despesas Administrativas (Pessoal)", IF(OR(ISNUMBER(SEARCH("DLKNET", F561)), ISNUMBER(SEARCH("TESTE", F561))), "6.1 Despesas Administrativas (Gerais)", IFERROR(VLOOKUP(H561, De_Para!A:B, 2, FALSE), "NÃO MAPEADO"))), IFERROR(VLOOKUP(H561, De_Para!A:B, 2, FALSE), "NÃO MAPEADO"))</f>
        <v/>
      </c>
    </row>
    <row r="562">
      <c r="A562" s="2" t="inlineStr">
        <is>
          <t>69125</t>
        </is>
      </c>
      <c r="B562" s="2" t="inlineStr">
        <is>
          <t>Sicredi SNI</t>
        </is>
      </c>
      <c r="C562" s="2" t="inlineStr">
        <is>
          <t>20/06/2026</t>
        </is>
      </c>
      <c r="D562" s="2" t="inlineStr">
        <is>
          <t>20/06/2026</t>
        </is>
      </c>
      <c r="E562" s="2" t="inlineStr">
        <is>
          <t>PIX</t>
        </is>
      </c>
      <c r="F562" s="2" t="inlineStr">
        <is>
          <t>Boleto "54169" do cliente "JOSIAS GOMES"</t>
        </is>
      </c>
      <c r="G562" s="2" t="inlineStr">
        <is>
          <t>system</t>
        </is>
      </c>
      <c r="H562" s="2" t="inlineStr">
        <is>
          <t>01.01.01 : Mensalidade</t>
        </is>
      </c>
      <c r="I562" s="3" t="n">
        <v>105</v>
      </c>
      <c r="J562" s="2" t="n"/>
      <c r="K562" s="2">
        <f>IF(H562="02.09 : Outras Saídas", IF(OR(ISNUMBER(SEARCH("CHEQUE COMPE SICREDI", F562)), ISNUMBER(SEARCH("aniversario", F562)), ISNUMBER(SEARCH("churrasco", F562)), ISNUMBER(SEARCH("bolo", F562)), ISNUMBER(SEARCH("SUPERMERCADO", F562))), "6.1 Despesas Administrativas (Pessoal)", IF(OR(ISNUMBER(SEARCH("DLKNET", F562)), ISNUMBER(SEARCH("TESTE", F562))), "6.1 Despesas Administrativas (Gerais)", IFERROR(VLOOKUP(H562, De_Para!A:B, 2, FALSE), "NÃO MAPEADO"))), IFERROR(VLOOKUP(H562, De_Para!A:B, 2, FALSE), "NÃO MAPEADO"))</f>
        <v/>
      </c>
    </row>
    <row r="563">
      <c r="A563" s="2" t="inlineStr">
        <is>
          <t>69124</t>
        </is>
      </c>
      <c r="B563" s="2" t="inlineStr">
        <is>
          <t>Sicredi SNI</t>
        </is>
      </c>
      <c r="C563" s="2" t="inlineStr">
        <is>
          <t>20/06/2026</t>
        </is>
      </c>
      <c r="D563" s="2" t="inlineStr">
        <is>
          <t>20/06/2026</t>
        </is>
      </c>
      <c r="E563" s="2" t="inlineStr">
        <is>
          <t>PIX</t>
        </is>
      </c>
      <c r="F563" s="2" t="inlineStr">
        <is>
          <t>Boleto "62222" do cliente "JOAO MARQUES DA SILVA"</t>
        </is>
      </c>
      <c r="G563" s="2" t="inlineStr">
        <is>
          <t>system</t>
        </is>
      </c>
      <c r="H563" s="2" t="inlineStr">
        <is>
          <t>02.03.02.01 : Cobrança Bancaria</t>
        </is>
      </c>
      <c r="I563" s="2" t="n"/>
      <c r="J563" s="3" t="n">
        <v>-0.49</v>
      </c>
      <c r="K563" s="2">
        <f>IF(H563="02.09 : Outras Saídas", IF(OR(ISNUMBER(SEARCH("CHEQUE COMPE SICREDI", F563)), ISNUMBER(SEARCH("aniversario", F563)), ISNUMBER(SEARCH("churrasco", F563)), ISNUMBER(SEARCH("bolo", F563)), ISNUMBER(SEARCH("SUPERMERCADO", F563))), "6.1 Despesas Administrativas (Pessoal)", IF(OR(ISNUMBER(SEARCH("DLKNET", F563)), ISNUMBER(SEARCH("TESTE", F563))), "6.1 Despesas Administrativas (Gerais)", IFERROR(VLOOKUP(H563, De_Para!A:B, 2, FALSE), "NÃO MAPEADO"))), IFERROR(VLOOKUP(H563, De_Para!A:B, 2, FALSE), "NÃO MAPEADO"))</f>
        <v/>
      </c>
    </row>
    <row r="564">
      <c r="A564" s="2" t="inlineStr">
        <is>
          <t>69123</t>
        </is>
      </c>
      <c r="B564" s="2" t="inlineStr">
        <is>
          <t>Sicredi SNI</t>
        </is>
      </c>
      <c r="C564" s="2" t="inlineStr">
        <is>
          <t>20/06/2026</t>
        </is>
      </c>
      <c r="D564" s="2" t="inlineStr">
        <is>
          <t>20/06/2026</t>
        </is>
      </c>
      <c r="E564" s="2" t="inlineStr">
        <is>
          <t>PIX</t>
        </is>
      </c>
      <c r="F564" s="2" t="inlineStr">
        <is>
          <t>Boleto "62222" do cliente "JOAO MARQUES DA SILVA"</t>
        </is>
      </c>
      <c r="G564" s="2" t="inlineStr">
        <is>
          <t>system</t>
        </is>
      </c>
      <c r="H564" s="2" t="inlineStr">
        <is>
          <t>01.01.01 : Mensalidade</t>
        </is>
      </c>
      <c r="I564" s="3" t="n">
        <v>105</v>
      </c>
      <c r="J564" s="2" t="n"/>
      <c r="K564" s="2">
        <f>IF(H564="02.09 : Outras Saídas", IF(OR(ISNUMBER(SEARCH("CHEQUE COMPE SICREDI", F564)), ISNUMBER(SEARCH("aniversario", F564)), ISNUMBER(SEARCH("churrasco", F564)), ISNUMBER(SEARCH("bolo", F564)), ISNUMBER(SEARCH("SUPERMERCADO", F564))), "6.1 Despesas Administrativas (Pessoal)", IF(OR(ISNUMBER(SEARCH("DLKNET", F564)), ISNUMBER(SEARCH("TESTE", F564))), "6.1 Despesas Administrativas (Gerais)", IFERROR(VLOOKUP(H564, De_Para!A:B, 2, FALSE), "NÃO MAPEADO"))), IFERROR(VLOOKUP(H564, De_Para!A:B, 2, FALSE), "NÃO MAPEADO"))</f>
        <v/>
      </c>
    </row>
    <row r="565">
      <c r="A565" s="2" t="inlineStr">
        <is>
          <t>69122</t>
        </is>
      </c>
      <c r="B565" s="2" t="inlineStr">
        <is>
          <t>Sicredi SNI</t>
        </is>
      </c>
      <c r="C565" s="2" t="inlineStr">
        <is>
          <t>20/06/2026</t>
        </is>
      </c>
      <c r="D565" s="2" t="inlineStr">
        <is>
          <t>20/06/2026</t>
        </is>
      </c>
      <c r="E565" s="2" t="inlineStr">
        <is>
          <t>PIX</t>
        </is>
      </c>
      <c r="F565" s="2" t="inlineStr">
        <is>
          <t>Boleto "58881" do cliente "ALEX TOMAZ MENDES"</t>
        </is>
      </c>
      <c r="G565" s="2" t="inlineStr">
        <is>
          <t>system</t>
        </is>
      </c>
      <c r="H565" s="2" t="inlineStr">
        <is>
          <t>02.03.02.01 : Cobrança Bancaria</t>
        </is>
      </c>
      <c r="I565" s="2" t="n"/>
      <c r="J565" s="3" t="n">
        <v>-0.49</v>
      </c>
      <c r="K565" s="2">
        <f>IF(H565="02.09 : Outras Saídas", IF(OR(ISNUMBER(SEARCH("CHEQUE COMPE SICREDI", F565)), ISNUMBER(SEARCH("aniversario", F565)), ISNUMBER(SEARCH("churrasco", F565)), ISNUMBER(SEARCH("bolo", F565)), ISNUMBER(SEARCH("SUPERMERCADO", F565))), "6.1 Despesas Administrativas (Pessoal)", IF(OR(ISNUMBER(SEARCH("DLKNET", F565)), ISNUMBER(SEARCH("TESTE", F565))), "6.1 Despesas Administrativas (Gerais)", IFERROR(VLOOKUP(H565, De_Para!A:B, 2, FALSE), "NÃO MAPEADO"))), IFERROR(VLOOKUP(H565, De_Para!A:B, 2, FALSE), "NÃO MAPEADO"))</f>
        <v/>
      </c>
    </row>
    <row r="566">
      <c r="A566" s="2" t="inlineStr">
        <is>
          <t>69121</t>
        </is>
      </c>
      <c r="B566" s="2" t="inlineStr">
        <is>
          <t>Sicredi SNI</t>
        </is>
      </c>
      <c r="C566" s="2" t="inlineStr">
        <is>
          <t>20/06/2026</t>
        </is>
      </c>
      <c r="D566" s="2" t="inlineStr">
        <is>
          <t>20/06/2026</t>
        </is>
      </c>
      <c r="E566" s="2" t="inlineStr">
        <is>
          <t>PIX</t>
        </is>
      </c>
      <c r="F566" s="2" t="inlineStr">
        <is>
          <t>Boleto "58881" do cliente "ALEX TOMAZ MENDES"</t>
        </is>
      </c>
      <c r="G566" s="2" t="inlineStr">
        <is>
          <t>system</t>
        </is>
      </c>
      <c r="H566" s="2" t="inlineStr">
        <is>
          <t>01.01.01 : Mensalidade</t>
        </is>
      </c>
      <c r="I566" s="3" t="n">
        <v>100</v>
      </c>
      <c r="J566" s="2" t="n"/>
      <c r="K566" s="2">
        <f>IF(H566="02.09 : Outras Saídas", IF(OR(ISNUMBER(SEARCH("CHEQUE COMPE SICREDI", F566)), ISNUMBER(SEARCH("aniversario", F566)), ISNUMBER(SEARCH("churrasco", F566)), ISNUMBER(SEARCH("bolo", F566)), ISNUMBER(SEARCH("SUPERMERCADO", F566))), "6.1 Despesas Administrativas (Pessoal)", IF(OR(ISNUMBER(SEARCH("DLKNET", F566)), ISNUMBER(SEARCH("TESTE", F566))), "6.1 Despesas Administrativas (Gerais)", IFERROR(VLOOKUP(H566, De_Para!A:B, 2, FALSE), "NÃO MAPEADO"))), IFERROR(VLOOKUP(H566, De_Para!A:B, 2, FALSE), "NÃO MAPEADO"))</f>
        <v/>
      </c>
    </row>
    <row r="567">
      <c r="A567" s="2" t="inlineStr">
        <is>
          <t>69120</t>
        </is>
      </c>
      <c r="B567" s="2" t="inlineStr">
        <is>
          <t>Sicredi SNI</t>
        </is>
      </c>
      <c r="C567" s="2" t="inlineStr">
        <is>
          <t>20/06/2026</t>
        </is>
      </c>
      <c r="D567" s="2" t="inlineStr">
        <is>
          <t>20/06/2026</t>
        </is>
      </c>
      <c r="E567" s="2" t="inlineStr">
        <is>
          <t>PIX</t>
        </is>
      </c>
      <c r="F567" s="2" t="inlineStr">
        <is>
          <t>Boleto "63715" do cliente "JOÃO VICTOR GOUVEIA ESTEVAM"</t>
        </is>
      </c>
      <c r="G567" s="2" t="inlineStr">
        <is>
          <t>system</t>
        </is>
      </c>
      <c r="H567" s="2" t="inlineStr">
        <is>
          <t>02.03.02.01 : Cobrança Bancaria</t>
        </is>
      </c>
      <c r="I567" s="2" t="n"/>
      <c r="J567" s="3" t="n">
        <v>-0.49</v>
      </c>
      <c r="K567" s="2">
        <f>IF(H567="02.09 : Outras Saídas", IF(OR(ISNUMBER(SEARCH("CHEQUE COMPE SICREDI", F567)), ISNUMBER(SEARCH("aniversario", F567)), ISNUMBER(SEARCH("churrasco", F567)), ISNUMBER(SEARCH("bolo", F567)), ISNUMBER(SEARCH("SUPERMERCADO", F567))), "6.1 Despesas Administrativas (Pessoal)", IF(OR(ISNUMBER(SEARCH("DLKNET", F567)), ISNUMBER(SEARCH("TESTE", F567))), "6.1 Despesas Administrativas (Gerais)", IFERROR(VLOOKUP(H567, De_Para!A:B, 2, FALSE), "NÃO MAPEADO"))), IFERROR(VLOOKUP(H567, De_Para!A:B, 2, FALSE), "NÃO MAPEADO"))</f>
        <v/>
      </c>
    </row>
    <row r="568">
      <c r="A568" s="2" t="inlineStr">
        <is>
          <t>69119</t>
        </is>
      </c>
      <c r="B568" s="2" t="inlineStr">
        <is>
          <t>Sicredi SNI</t>
        </is>
      </c>
      <c r="C568" s="2" t="inlineStr">
        <is>
          <t>20/06/2026</t>
        </is>
      </c>
      <c r="D568" s="2" t="inlineStr">
        <is>
          <t>20/06/2026</t>
        </is>
      </c>
      <c r="E568" s="2" t="inlineStr">
        <is>
          <t>PIX</t>
        </is>
      </c>
      <c r="F568" s="2" t="inlineStr">
        <is>
          <t>Boleto "63715" do cliente "JOÃO VICTOR GOUVEIA ESTEVAM"</t>
        </is>
      </c>
      <c r="G568" s="2" t="inlineStr">
        <is>
          <t>system</t>
        </is>
      </c>
      <c r="H568" s="2" t="inlineStr">
        <is>
          <t>01.01.01 : Mensalidade</t>
        </is>
      </c>
      <c r="I568" s="3" t="n">
        <v>104.9</v>
      </c>
      <c r="J568" s="2" t="n"/>
      <c r="K568" s="2">
        <f>IF(H568="02.09 : Outras Saídas", IF(OR(ISNUMBER(SEARCH("CHEQUE COMPE SICREDI", F568)), ISNUMBER(SEARCH("aniversario", F568)), ISNUMBER(SEARCH("churrasco", F568)), ISNUMBER(SEARCH("bolo", F568)), ISNUMBER(SEARCH("SUPERMERCADO", F568))), "6.1 Despesas Administrativas (Pessoal)", IF(OR(ISNUMBER(SEARCH("DLKNET", F568)), ISNUMBER(SEARCH("TESTE", F568))), "6.1 Despesas Administrativas (Gerais)", IFERROR(VLOOKUP(H568, De_Para!A:B, 2, FALSE), "NÃO MAPEADO"))), IFERROR(VLOOKUP(H568, De_Para!A:B, 2, FALSE), "NÃO MAPEADO"))</f>
        <v/>
      </c>
    </row>
    <row r="569">
      <c r="A569" s="2" t="inlineStr">
        <is>
          <t>69118</t>
        </is>
      </c>
      <c r="B569" s="2" t="inlineStr">
        <is>
          <t>Sicredi SNI</t>
        </is>
      </c>
      <c r="C569" s="2" t="inlineStr">
        <is>
          <t>20/06/2026</t>
        </is>
      </c>
      <c r="D569" s="2" t="inlineStr">
        <is>
          <t>20/06/2026</t>
        </is>
      </c>
      <c r="E569" s="2" t="inlineStr">
        <is>
          <t>PIX</t>
        </is>
      </c>
      <c r="F569" s="2" t="inlineStr">
        <is>
          <t>Boleto "69203" do cliente "LUIZ FERNANDO DE LIMA"</t>
        </is>
      </c>
      <c r="G569" s="2" t="inlineStr">
        <is>
          <t>system</t>
        </is>
      </c>
      <c r="H569" s="2" t="inlineStr">
        <is>
          <t>02.03.02.01 : Cobrança Bancaria</t>
        </is>
      </c>
      <c r="I569" s="2" t="n"/>
      <c r="J569" s="3" t="n">
        <v>-0.49</v>
      </c>
      <c r="K569" s="2">
        <f>IF(H569="02.09 : Outras Saídas", IF(OR(ISNUMBER(SEARCH("CHEQUE COMPE SICREDI", F569)), ISNUMBER(SEARCH("aniversario", F569)), ISNUMBER(SEARCH("churrasco", F569)), ISNUMBER(SEARCH("bolo", F569)), ISNUMBER(SEARCH("SUPERMERCADO", F569))), "6.1 Despesas Administrativas (Pessoal)", IF(OR(ISNUMBER(SEARCH("DLKNET", F569)), ISNUMBER(SEARCH("TESTE", F569))), "6.1 Despesas Administrativas (Gerais)", IFERROR(VLOOKUP(H569, De_Para!A:B, 2, FALSE), "NÃO MAPEADO"))), IFERROR(VLOOKUP(H569, De_Para!A:B, 2, FALSE), "NÃO MAPEADO"))</f>
        <v/>
      </c>
    </row>
    <row r="570">
      <c r="A570" s="2" t="inlineStr">
        <is>
          <t>69117</t>
        </is>
      </c>
      <c r="B570" s="2" t="inlineStr">
        <is>
          <t>Sicredi SNI</t>
        </is>
      </c>
      <c r="C570" s="2" t="inlineStr">
        <is>
          <t>20/06/2026</t>
        </is>
      </c>
      <c r="D570" s="2" t="inlineStr">
        <is>
          <t>20/06/2026</t>
        </is>
      </c>
      <c r="E570" s="2" t="inlineStr">
        <is>
          <t>PIX</t>
        </is>
      </c>
      <c r="F570" s="2" t="inlineStr">
        <is>
          <t>Boleto "69203" do cliente "LUIZ FERNANDO DE LIMA"</t>
        </is>
      </c>
      <c r="G570" s="2" t="inlineStr">
        <is>
          <t>system</t>
        </is>
      </c>
      <c r="H570" s="2" t="inlineStr">
        <is>
          <t>01.60.01 : Serviço de reparo e manutenção</t>
        </is>
      </c>
      <c r="I570" s="3" t="n">
        <v>119.35</v>
      </c>
      <c r="J570" s="2" t="n"/>
      <c r="K570" s="2">
        <f>IF(H570="02.09 : Outras Saídas", IF(OR(ISNUMBER(SEARCH("CHEQUE COMPE SICREDI", F570)), ISNUMBER(SEARCH("aniversario", F570)), ISNUMBER(SEARCH("churrasco", F570)), ISNUMBER(SEARCH("bolo", F570)), ISNUMBER(SEARCH("SUPERMERCADO", F570))), "6.1 Despesas Administrativas (Pessoal)", IF(OR(ISNUMBER(SEARCH("DLKNET", F570)), ISNUMBER(SEARCH("TESTE", F570))), "6.1 Despesas Administrativas (Gerais)", IFERROR(VLOOKUP(H570, De_Para!A:B, 2, FALSE), "NÃO MAPEADO"))), IFERROR(VLOOKUP(H570, De_Para!A:B, 2, FALSE), "NÃO MAPEADO"))</f>
        <v/>
      </c>
    </row>
    <row r="571">
      <c r="A571" s="2" t="inlineStr">
        <is>
          <t>69116</t>
        </is>
      </c>
      <c r="B571" s="2" t="inlineStr">
        <is>
          <t>Sicredi SNI</t>
        </is>
      </c>
      <c r="C571" s="2" t="inlineStr">
        <is>
          <t>20/06/2026</t>
        </is>
      </c>
      <c r="D571" s="2" t="inlineStr">
        <is>
          <t>20/06/2026</t>
        </is>
      </c>
      <c r="E571" s="2" t="inlineStr">
        <is>
          <t>PIX</t>
        </is>
      </c>
      <c r="F571" s="2" t="inlineStr">
        <is>
          <t>Boleto "63989" do cliente "LUIZ FERNANDO DE LIMA"</t>
        </is>
      </c>
      <c r="G571" s="2" t="inlineStr">
        <is>
          <t>system</t>
        </is>
      </c>
      <c r="H571" s="2" t="inlineStr">
        <is>
          <t>02.03.02.01 : Cobrança Bancaria</t>
        </is>
      </c>
      <c r="I571" s="2" t="n"/>
      <c r="J571" s="3" t="n">
        <v>-0.49</v>
      </c>
      <c r="K571" s="2">
        <f>IF(H571="02.09 : Outras Saídas", IF(OR(ISNUMBER(SEARCH("CHEQUE COMPE SICREDI", F571)), ISNUMBER(SEARCH("aniversario", F571)), ISNUMBER(SEARCH("churrasco", F571)), ISNUMBER(SEARCH("bolo", F571)), ISNUMBER(SEARCH("SUPERMERCADO", F571))), "6.1 Despesas Administrativas (Pessoal)", IF(OR(ISNUMBER(SEARCH("DLKNET", F571)), ISNUMBER(SEARCH("TESTE", F571))), "6.1 Despesas Administrativas (Gerais)", IFERROR(VLOOKUP(H571, De_Para!A:B, 2, FALSE), "NÃO MAPEADO"))), IFERROR(VLOOKUP(H571, De_Para!A:B, 2, FALSE), "NÃO MAPEADO"))</f>
        <v/>
      </c>
    </row>
    <row r="572">
      <c r="A572" s="2" t="inlineStr">
        <is>
          <t>69115</t>
        </is>
      </c>
      <c r="B572" s="2" t="inlineStr">
        <is>
          <t>Sicredi SNI</t>
        </is>
      </c>
      <c r="C572" s="2" t="inlineStr">
        <is>
          <t>20/06/2026</t>
        </is>
      </c>
      <c r="D572" s="2" t="inlineStr">
        <is>
          <t>20/06/2026</t>
        </is>
      </c>
      <c r="E572" s="2" t="inlineStr">
        <is>
          <t>PIX</t>
        </is>
      </c>
      <c r="F572" s="2" t="inlineStr">
        <is>
          <t>Boleto "63989" do cliente "LUIZ FERNANDO DE LIMA"</t>
        </is>
      </c>
      <c r="G572" s="2" t="inlineStr">
        <is>
          <t>system</t>
        </is>
      </c>
      <c r="H572" s="2" t="inlineStr">
        <is>
          <t>01.03.01 : Mensalidade</t>
        </is>
      </c>
      <c r="I572" s="3" t="n">
        <v>107.42</v>
      </c>
      <c r="J572" s="2" t="n"/>
      <c r="K572" s="2">
        <f>IF(H572="02.09 : Outras Saídas", IF(OR(ISNUMBER(SEARCH("CHEQUE COMPE SICREDI", F572)), ISNUMBER(SEARCH("aniversario", F572)), ISNUMBER(SEARCH("churrasco", F572)), ISNUMBER(SEARCH("bolo", F572)), ISNUMBER(SEARCH("SUPERMERCADO", F572))), "6.1 Despesas Administrativas (Pessoal)", IF(OR(ISNUMBER(SEARCH("DLKNET", F572)), ISNUMBER(SEARCH("TESTE", F572))), "6.1 Despesas Administrativas (Gerais)", IFERROR(VLOOKUP(H572, De_Para!A:B, 2, FALSE), "NÃO MAPEADO"))), IFERROR(VLOOKUP(H572, De_Para!A:B, 2, FALSE), "NÃO MAPEADO"))</f>
        <v/>
      </c>
    </row>
    <row r="573">
      <c r="A573" s="2" t="inlineStr">
        <is>
          <t>69114</t>
        </is>
      </c>
      <c r="B573" s="2" t="inlineStr">
        <is>
          <t>Sicredi SNI</t>
        </is>
      </c>
      <c r="C573" s="2" t="inlineStr">
        <is>
          <t>20/06/2026</t>
        </is>
      </c>
      <c r="D573" s="2" t="inlineStr">
        <is>
          <t>20/06/2026</t>
        </is>
      </c>
      <c r="E573" s="2" t="inlineStr">
        <is>
          <t>PIX</t>
        </is>
      </c>
      <c r="F573" s="2" t="inlineStr">
        <is>
          <t>Boleto "54202" do cliente "CELSON SEBASTIAO ALVES"</t>
        </is>
      </c>
      <c r="G573" s="2" t="inlineStr">
        <is>
          <t>system</t>
        </is>
      </c>
      <c r="H573" s="2" t="inlineStr">
        <is>
          <t>02.03.02.01 : Cobrança Bancaria</t>
        </is>
      </c>
      <c r="I573" s="2" t="n"/>
      <c r="J573" s="3" t="n">
        <v>-0.49</v>
      </c>
      <c r="K573" s="2">
        <f>IF(H573="02.09 : Outras Saídas", IF(OR(ISNUMBER(SEARCH("CHEQUE COMPE SICREDI", F573)), ISNUMBER(SEARCH("aniversario", F573)), ISNUMBER(SEARCH("churrasco", F573)), ISNUMBER(SEARCH("bolo", F573)), ISNUMBER(SEARCH("SUPERMERCADO", F573))), "6.1 Despesas Administrativas (Pessoal)", IF(OR(ISNUMBER(SEARCH("DLKNET", F573)), ISNUMBER(SEARCH("TESTE", F573))), "6.1 Despesas Administrativas (Gerais)", IFERROR(VLOOKUP(H573, De_Para!A:B, 2, FALSE), "NÃO MAPEADO"))), IFERROR(VLOOKUP(H573, De_Para!A:B, 2, FALSE), "NÃO MAPEADO"))</f>
        <v/>
      </c>
    </row>
    <row r="574">
      <c r="A574" s="2" t="inlineStr">
        <is>
          <t>69113</t>
        </is>
      </c>
      <c r="B574" s="2" t="inlineStr">
        <is>
          <t>Sicredi SNI</t>
        </is>
      </c>
      <c r="C574" s="2" t="inlineStr">
        <is>
          <t>20/06/2026</t>
        </is>
      </c>
      <c r="D574" s="2" t="inlineStr">
        <is>
          <t>20/06/2026</t>
        </is>
      </c>
      <c r="E574" s="2" t="inlineStr">
        <is>
          <t>PIX</t>
        </is>
      </c>
      <c r="F574" s="2" t="inlineStr">
        <is>
          <t>Boleto "54202" do cliente "CELSON SEBASTIAO ALVES"</t>
        </is>
      </c>
      <c r="G574" s="2" t="inlineStr">
        <is>
          <t>system</t>
        </is>
      </c>
      <c r="H574" s="2" t="inlineStr">
        <is>
          <t>01.01.01 : Mensalidade</t>
        </is>
      </c>
      <c r="I574" s="3" t="n">
        <v>80</v>
      </c>
      <c r="J574" s="2" t="n"/>
      <c r="K574" s="2">
        <f>IF(H574="02.09 : Outras Saídas", IF(OR(ISNUMBER(SEARCH("CHEQUE COMPE SICREDI", F574)), ISNUMBER(SEARCH("aniversario", F574)), ISNUMBER(SEARCH("churrasco", F574)), ISNUMBER(SEARCH("bolo", F574)), ISNUMBER(SEARCH("SUPERMERCADO", F574))), "6.1 Despesas Administrativas (Pessoal)", IF(OR(ISNUMBER(SEARCH("DLKNET", F574)), ISNUMBER(SEARCH("TESTE", F574))), "6.1 Despesas Administrativas (Gerais)", IFERROR(VLOOKUP(H574, De_Para!A:B, 2, FALSE), "NÃO MAPEADO"))), IFERROR(VLOOKUP(H574, De_Para!A:B, 2, FALSE), "NÃO MAPEADO"))</f>
        <v/>
      </c>
    </row>
    <row r="575">
      <c r="A575" s="2" t="inlineStr">
        <is>
          <t>69112</t>
        </is>
      </c>
      <c r="B575" s="2" t="inlineStr">
        <is>
          <t>Sicredi SNI</t>
        </is>
      </c>
      <c r="C575" s="2" t="inlineStr">
        <is>
          <t>20/06/2026</t>
        </is>
      </c>
      <c r="D575" s="2" t="inlineStr">
        <is>
          <t>20/06/2026</t>
        </is>
      </c>
      <c r="E575" s="2" t="inlineStr">
        <is>
          <t>PIX</t>
        </is>
      </c>
      <c r="F575" s="2" t="inlineStr">
        <is>
          <t>Boleto "65087" do cliente "JOÃO LEITE DA ROSA NETO"</t>
        </is>
      </c>
      <c r="G575" s="2" t="inlineStr">
        <is>
          <t>system</t>
        </is>
      </c>
      <c r="H575" s="2" t="inlineStr">
        <is>
          <t>02.03.02.01 : Cobrança Bancaria</t>
        </is>
      </c>
      <c r="I575" s="2" t="n"/>
      <c r="J575" s="3" t="n">
        <v>-0.49</v>
      </c>
      <c r="K575" s="2">
        <f>IF(H575="02.09 : Outras Saídas", IF(OR(ISNUMBER(SEARCH("CHEQUE COMPE SICREDI", F575)), ISNUMBER(SEARCH("aniversario", F575)), ISNUMBER(SEARCH("churrasco", F575)), ISNUMBER(SEARCH("bolo", F575)), ISNUMBER(SEARCH("SUPERMERCADO", F575))), "6.1 Despesas Administrativas (Pessoal)", IF(OR(ISNUMBER(SEARCH("DLKNET", F575)), ISNUMBER(SEARCH("TESTE", F575))), "6.1 Despesas Administrativas (Gerais)", IFERROR(VLOOKUP(H575, De_Para!A:B, 2, FALSE), "NÃO MAPEADO"))), IFERROR(VLOOKUP(H575, De_Para!A:B, 2, FALSE), "NÃO MAPEADO"))</f>
        <v/>
      </c>
    </row>
    <row r="576">
      <c r="A576" s="2" t="inlineStr">
        <is>
          <t>69111</t>
        </is>
      </c>
      <c r="B576" s="2" t="inlineStr">
        <is>
          <t>Sicredi SNI</t>
        </is>
      </c>
      <c r="C576" s="2" t="inlineStr">
        <is>
          <t>20/06/2026</t>
        </is>
      </c>
      <c r="D576" s="2" t="inlineStr">
        <is>
          <t>20/06/2026</t>
        </is>
      </c>
      <c r="E576" s="2" t="inlineStr">
        <is>
          <t>PIX</t>
        </is>
      </c>
      <c r="F576" s="2" t="inlineStr">
        <is>
          <t>Boleto "65087" do cliente "JOÃO LEITE DA ROSA NETO"</t>
        </is>
      </c>
      <c r="G576" s="2" t="inlineStr">
        <is>
          <t>system</t>
        </is>
      </c>
      <c r="H576" s="2" t="inlineStr">
        <is>
          <t>01.03.01 : Mensalidade</t>
        </is>
      </c>
      <c r="I576" s="3" t="n">
        <v>110</v>
      </c>
      <c r="J576" s="2" t="n"/>
      <c r="K576" s="2">
        <f>IF(H576="02.09 : Outras Saídas", IF(OR(ISNUMBER(SEARCH("CHEQUE COMPE SICREDI", F576)), ISNUMBER(SEARCH("aniversario", F576)), ISNUMBER(SEARCH("churrasco", F576)), ISNUMBER(SEARCH("bolo", F576)), ISNUMBER(SEARCH("SUPERMERCADO", F576))), "6.1 Despesas Administrativas (Pessoal)", IF(OR(ISNUMBER(SEARCH("DLKNET", F576)), ISNUMBER(SEARCH("TESTE", F576))), "6.1 Despesas Administrativas (Gerais)", IFERROR(VLOOKUP(H576, De_Para!A:B, 2, FALSE), "NÃO MAPEADO"))), IFERROR(VLOOKUP(H576, De_Para!A:B, 2, FALSE), "NÃO MAPEADO"))</f>
        <v/>
      </c>
    </row>
    <row r="577">
      <c r="A577" s="2" t="inlineStr">
        <is>
          <t>69110</t>
        </is>
      </c>
      <c r="B577" s="2" t="inlineStr">
        <is>
          <t>Sicredi SNI</t>
        </is>
      </c>
      <c r="C577" s="2" t="inlineStr">
        <is>
          <t>20/06/2026</t>
        </is>
      </c>
      <c r="D577" s="2" t="inlineStr">
        <is>
          <t>19/06/2026</t>
        </is>
      </c>
      <c r="E577" s="2" t="inlineStr">
        <is>
          <t>PIX</t>
        </is>
      </c>
      <c r="F577" s="2" t="inlineStr">
        <is>
          <t>Boleto "58299" do cliente "SILVINEY BAGATIM DIAS"</t>
        </is>
      </c>
      <c r="G577" s="2" t="inlineStr">
        <is>
          <t>system</t>
        </is>
      </c>
      <c r="H577" s="2" t="inlineStr">
        <is>
          <t>02.03.02.01 : Cobrança Bancaria</t>
        </is>
      </c>
      <c r="I577" s="2" t="n"/>
      <c r="J577" s="3" t="n">
        <v>-0.49</v>
      </c>
      <c r="K577" s="2">
        <f>IF(H577="02.09 : Outras Saídas", IF(OR(ISNUMBER(SEARCH("CHEQUE COMPE SICREDI", F577)), ISNUMBER(SEARCH("aniversario", F577)), ISNUMBER(SEARCH("churrasco", F577)), ISNUMBER(SEARCH("bolo", F577)), ISNUMBER(SEARCH("SUPERMERCADO", F577))), "6.1 Despesas Administrativas (Pessoal)", IF(OR(ISNUMBER(SEARCH("DLKNET", F577)), ISNUMBER(SEARCH("TESTE", F577))), "6.1 Despesas Administrativas (Gerais)", IFERROR(VLOOKUP(H577, De_Para!A:B, 2, FALSE), "NÃO MAPEADO"))), IFERROR(VLOOKUP(H577, De_Para!A:B, 2, FALSE), "NÃO MAPEADO"))</f>
        <v/>
      </c>
    </row>
    <row r="578">
      <c r="A578" s="2" t="inlineStr">
        <is>
          <t>69109</t>
        </is>
      </c>
      <c r="B578" s="2" t="inlineStr">
        <is>
          <t>Sicredi SNI</t>
        </is>
      </c>
      <c r="C578" s="2" t="inlineStr">
        <is>
          <t>20/06/2026</t>
        </is>
      </c>
      <c r="D578" s="2" t="inlineStr">
        <is>
          <t>19/06/2026</t>
        </is>
      </c>
      <c r="E578" s="2" t="inlineStr">
        <is>
          <t>PIX</t>
        </is>
      </c>
      <c r="F578" s="2" t="inlineStr">
        <is>
          <t>Boleto "58299" do cliente "SILVINEY BAGATIM DIAS"</t>
        </is>
      </c>
      <c r="G578" s="2" t="inlineStr">
        <is>
          <t>system</t>
        </is>
      </c>
      <c r="H578" s="2" t="inlineStr">
        <is>
          <t>01.01.01 : Mensalidade</t>
        </is>
      </c>
      <c r="I578" s="3" t="n">
        <v>112.31</v>
      </c>
      <c r="J578" s="2" t="n"/>
      <c r="K578" s="2">
        <f>IF(H578="02.09 : Outras Saídas", IF(OR(ISNUMBER(SEARCH("CHEQUE COMPE SICREDI", F578)), ISNUMBER(SEARCH("aniversario", F578)), ISNUMBER(SEARCH("churrasco", F578)), ISNUMBER(SEARCH("bolo", F578)), ISNUMBER(SEARCH("SUPERMERCADO", F578))), "6.1 Despesas Administrativas (Pessoal)", IF(OR(ISNUMBER(SEARCH("DLKNET", F578)), ISNUMBER(SEARCH("TESTE", F578))), "6.1 Despesas Administrativas (Gerais)", IFERROR(VLOOKUP(H578, De_Para!A:B, 2, FALSE), "NÃO MAPEADO"))), IFERROR(VLOOKUP(H578, De_Para!A:B, 2, FALSE), "NÃO MAPEADO"))</f>
        <v/>
      </c>
    </row>
    <row r="579">
      <c r="A579" s="2" t="inlineStr">
        <is>
          <t>69108</t>
        </is>
      </c>
      <c r="B579" s="2" t="inlineStr">
        <is>
          <t>Sicredi SNI</t>
        </is>
      </c>
      <c r="C579" s="2" t="inlineStr">
        <is>
          <t>20/06/2026</t>
        </is>
      </c>
      <c r="D579" s="2" t="inlineStr">
        <is>
          <t>19/06/2026</t>
        </is>
      </c>
      <c r="E579" s="2" t="inlineStr">
        <is>
          <t>PIX</t>
        </is>
      </c>
      <c r="F579" s="2" t="inlineStr">
        <is>
          <t>Boleto "64451" do cliente "NIVALDO JOSE DA ROSA"</t>
        </is>
      </c>
      <c r="G579" s="2" t="inlineStr">
        <is>
          <t>system</t>
        </is>
      </c>
      <c r="H579" s="2" t="inlineStr">
        <is>
          <t>02.03.02.01 : Cobrança Bancaria</t>
        </is>
      </c>
      <c r="I579" s="2" t="n"/>
      <c r="J579" s="3" t="n">
        <v>-0.49</v>
      </c>
      <c r="K579" s="2">
        <f>IF(H579="02.09 : Outras Saídas", IF(OR(ISNUMBER(SEARCH("CHEQUE COMPE SICREDI", F579)), ISNUMBER(SEARCH("aniversario", F579)), ISNUMBER(SEARCH("churrasco", F579)), ISNUMBER(SEARCH("bolo", F579)), ISNUMBER(SEARCH("SUPERMERCADO", F579))), "6.1 Despesas Administrativas (Pessoal)", IF(OR(ISNUMBER(SEARCH("DLKNET", F579)), ISNUMBER(SEARCH("TESTE", F579))), "6.1 Despesas Administrativas (Gerais)", IFERROR(VLOOKUP(H579, De_Para!A:B, 2, FALSE), "NÃO MAPEADO"))), IFERROR(VLOOKUP(H579, De_Para!A:B, 2, FALSE), "NÃO MAPEADO"))</f>
        <v/>
      </c>
    </row>
    <row r="580">
      <c r="A580" s="2" t="inlineStr">
        <is>
          <t>69107</t>
        </is>
      </c>
      <c r="B580" s="2" t="inlineStr">
        <is>
          <t>Sicredi SNI</t>
        </is>
      </c>
      <c r="C580" s="2" t="inlineStr">
        <is>
          <t>20/06/2026</t>
        </is>
      </c>
      <c r="D580" s="2" t="inlineStr">
        <is>
          <t>19/06/2026</t>
        </is>
      </c>
      <c r="E580" s="2" t="inlineStr">
        <is>
          <t>PIX</t>
        </is>
      </c>
      <c r="F580" s="2" t="inlineStr">
        <is>
          <t>Boleto "64451" do cliente "NIVALDO JOSE DA ROSA"</t>
        </is>
      </c>
      <c r="G580" s="2" t="inlineStr">
        <is>
          <t>system</t>
        </is>
      </c>
      <c r="H580" s="2" t="inlineStr">
        <is>
          <t>01.01.01 : Mensalidade</t>
        </is>
      </c>
      <c r="I580" s="3" t="n">
        <v>102</v>
      </c>
      <c r="J580" s="2" t="n"/>
      <c r="K580" s="2">
        <f>IF(H580="02.09 : Outras Saídas", IF(OR(ISNUMBER(SEARCH("CHEQUE COMPE SICREDI", F580)), ISNUMBER(SEARCH("aniversario", F580)), ISNUMBER(SEARCH("churrasco", F580)), ISNUMBER(SEARCH("bolo", F580)), ISNUMBER(SEARCH("SUPERMERCADO", F580))), "6.1 Despesas Administrativas (Pessoal)", IF(OR(ISNUMBER(SEARCH("DLKNET", F580)), ISNUMBER(SEARCH("TESTE", F580))), "6.1 Despesas Administrativas (Gerais)", IFERROR(VLOOKUP(H580, De_Para!A:B, 2, FALSE), "NÃO MAPEADO"))), IFERROR(VLOOKUP(H580, De_Para!A:B, 2, FALSE), "NÃO MAPEADO"))</f>
        <v/>
      </c>
    </row>
    <row r="581">
      <c r="A581" s="2" t="inlineStr">
        <is>
          <t>69106</t>
        </is>
      </c>
      <c r="B581" s="2" t="inlineStr">
        <is>
          <t>Sicoob</t>
        </is>
      </c>
      <c r="C581" s="2" t="inlineStr">
        <is>
          <t>20/06/2026</t>
        </is>
      </c>
      <c r="D581" s="2" t="inlineStr">
        <is>
          <t>19/06/2026</t>
        </is>
      </c>
      <c r="E581" s="2" t="inlineStr">
        <is>
          <t>Dinheiro</t>
        </is>
      </c>
      <c r="F581" s="2" t="inlineStr">
        <is>
          <t>Boleto "64522" do cliente "MARIA NOÊMIA DE MAGALHÃES FERREIRA"</t>
        </is>
      </c>
      <c r="G581" s="2" t="inlineStr">
        <is>
          <t>system</t>
        </is>
      </c>
      <c r="H581" s="2" t="inlineStr">
        <is>
          <t>02.03.02.01 : Cobrança Bancaria</t>
        </is>
      </c>
      <c r="I581" s="2" t="n"/>
      <c r="J581" s="3" t="n">
        <v>-0.3</v>
      </c>
      <c r="K581" s="2">
        <f>IF(H581="02.09 : Outras Saídas", IF(OR(ISNUMBER(SEARCH("CHEQUE COMPE SICREDI", F581)), ISNUMBER(SEARCH("aniversario", F581)), ISNUMBER(SEARCH("churrasco", F581)), ISNUMBER(SEARCH("bolo", F581)), ISNUMBER(SEARCH("SUPERMERCADO", F581))), "6.1 Despesas Administrativas (Pessoal)", IF(OR(ISNUMBER(SEARCH("DLKNET", F581)), ISNUMBER(SEARCH("TESTE", F581))), "6.1 Despesas Administrativas (Gerais)", IFERROR(VLOOKUP(H581, De_Para!A:B, 2, FALSE), "NÃO MAPEADO"))), IFERROR(VLOOKUP(H581, De_Para!A:B, 2, FALSE), "NÃO MAPEADO"))</f>
        <v/>
      </c>
    </row>
    <row r="582">
      <c r="A582" s="2" t="inlineStr">
        <is>
          <t>69105</t>
        </is>
      </c>
      <c r="B582" s="2" t="inlineStr">
        <is>
          <t>Sicoob</t>
        </is>
      </c>
      <c r="C582" s="2" t="inlineStr">
        <is>
          <t>20/06/2026</t>
        </is>
      </c>
      <c r="D582" s="2" t="inlineStr">
        <is>
          <t>19/06/2026</t>
        </is>
      </c>
      <c r="E582" s="2" t="inlineStr">
        <is>
          <t>Dinheiro</t>
        </is>
      </c>
      <c r="F582" s="2" t="inlineStr">
        <is>
          <t>Boleto "64522" do cliente "MARIA NOÊMIA DE MAGALHÃES FERREIRA"</t>
        </is>
      </c>
      <c r="G582" s="2" t="inlineStr">
        <is>
          <t>system</t>
        </is>
      </c>
      <c r="H582" s="2" t="inlineStr">
        <is>
          <t>01.01.01 : Mensalidade</t>
        </is>
      </c>
      <c r="I582" s="3" t="n">
        <v>109.9</v>
      </c>
      <c r="J582" s="2" t="n"/>
      <c r="K582" s="2">
        <f>IF(H582="02.09 : Outras Saídas", IF(OR(ISNUMBER(SEARCH("CHEQUE COMPE SICREDI", F582)), ISNUMBER(SEARCH("aniversario", F582)), ISNUMBER(SEARCH("churrasco", F582)), ISNUMBER(SEARCH("bolo", F582)), ISNUMBER(SEARCH("SUPERMERCADO", F582))), "6.1 Despesas Administrativas (Pessoal)", IF(OR(ISNUMBER(SEARCH("DLKNET", F582)), ISNUMBER(SEARCH("TESTE", F582))), "6.1 Despesas Administrativas (Gerais)", IFERROR(VLOOKUP(H582, De_Para!A:B, 2, FALSE), "NÃO MAPEADO"))), IFERROR(VLOOKUP(H582, De_Para!A:B, 2, FALSE), "NÃO MAPEADO"))</f>
        <v/>
      </c>
    </row>
    <row r="583">
      <c r="A583" s="2" t="inlineStr">
        <is>
          <t>69104</t>
        </is>
      </c>
      <c r="B583" s="2" t="inlineStr">
        <is>
          <t>Sicoob</t>
        </is>
      </c>
      <c r="C583" s="2" t="inlineStr">
        <is>
          <t>20/06/2026</t>
        </is>
      </c>
      <c r="D583" s="2" t="inlineStr">
        <is>
          <t>19/06/2026</t>
        </is>
      </c>
      <c r="E583" s="2" t="inlineStr">
        <is>
          <t>Dinheiro</t>
        </is>
      </c>
      <c r="F583" s="2" t="inlineStr">
        <is>
          <t>Boleto "61211" do cliente "CACILDA APARECIDA DA SILVA"</t>
        </is>
      </c>
      <c r="G583" s="2" t="inlineStr">
        <is>
          <t>system</t>
        </is>
      </c>
      <c r="H583" s="2" t="inlineStr">
        <is>
          <t>02.03.02.01 : Cobrança Bancaria</t>
        </is>
      </c>
      <c r="I583" s="2" t="n"/>
      <c r="J583" s="3" t="n">
        <v>-0.88</v>
      </c>
      <c r="K583" s="2">
        <f>IF(H583="02.09 : Outras Saídas", IF(OR(ISNUMBER(SEARCH("CHEQUE COMPE SICREDI", F583)), ISNUMBER(SEARCH("aniversario", F583)), ISNUMBER(SEARCH("churrasco", F583)), ISNUMBER(SEARCH("bolo", F583)), ISNUMBER(SEARCH("SUPERMERCADO", F583))), "6.1 Despesas Administrativas (Pessoal)", IF(OR(ISNUMBER(SEARCH("DLKNET", F583)), ISNUMBER(SEARCH("TESTE", F583))), "6.1 Despesas Administrativas (Gerais)", IFERROR(VLOOKUP(H583, De_Para!A:B, 2, FALSE), "NÃO MAPEADO"))), IFERROR(VLOOKUP(H583, De_Para!A:B, 2, FALSE), "NÃO MAPEADO"))</f>
        <v/>
      </c>
    </row>
    <row r="584">
      <c r="A584" s="2" t="inlineStr">
        <is>
          <t>69103</t>
        </is>
      </c>
      <c r="B584" s="2" t="inlineStr">
        <is>
          <t>Sicoob</t>
        </is>
      </c>
      <c r="C584" s="2" t="inlineStr">
        <is>
          <t>20/06/2026</t>
        </is>
      </c>
      <c r="D584" s="2" t="inlineStr">
        <is>
          <t>19/06/2026</t>
        </is>
      </c>
      <c r="E584" s="2" t="inlineStr">
        <is>
          <t>Dinheiro</t>
        </is>
      </c>
      <c r="F584" s="2" t="inlineStr">
        <is>
          <t>Boleto "61211" do cliente "CACILDA APARECIDA DA SILVA"</t>
        </is>
      </c>
      <c r="G584" s="2" t="inlineStr">
        <is>
          <t>system</t>
        </is>
      </c>
      <c r="H584" s="2" t="inlineStr">
        <is>
          <t>01.03.01 : Mensalidade</t>
        </is>
      </c>
      <c r="I584" s="3" t="n">
        <v>105</v>
      </c>
      <c r="J584" s="2" t="n"/>
      <c r="K584" s="2">
        <f>IF(H584="02.09 : Outras Saídas", IF(OR(ISNUMBER(SEARCH("CHEQUE COMPE SICREDI", F584)), ISNUMBER(SEARCH("aniversario", F584)), ISNUMBER(SEARCH("churrasco", F584)), ISNUMBER(SEARCH("bolo", F584)), ISNUMBER(SEARCH("SUPERMERCADO", F584))), "6.1 Despesas Administrativas (Pessoal)", IF(OR(ISNUMBER(SEARCH("DLKNET", F584)), ISNUMBER(SEARCH("TESTE", F584))), "6.1 Despesas Administrativas (Gerais)", IFERROR(VLOOKUP(H584, De_Para!A:B, 2, FALSE), "NÃO MAPEADO"))), IFERROR(VLOOKUP(H584, De_Para!A:B, 2, FALSE), "NÃO MAPEADO"))</f>
        <v/>
      </c>
    </row>
    <row r="585">
      <c r="A585" s="2" t="inlineStr">
        <is>
          <t>69102</t>
        </is>
      </c>
      <c r="B585" s="2" t="inlineStr">
        <is>
          <t>Sicoob</t>
        </is>
      </c>
      <c r="C585" s="2" t="inlineStr">
        <is>
          <t>20/06/2026</t>
        </is>
      </c>
      <c r="D585" s="2" t="inlineStr">
        <is>
          <t>19/06/2026</t>
        </is>
      </c>
      <c r="E585" s="2" t="inlineStr">
        <is>
          <t>Dinheiro</t>
        </is>
      </c>
      <c r="F585" s="2" t="inlineStr">
        <is>
          <t>Boleto "61033" do cliente "RENATO ALVES VITOR"</t>
        </is>
      </c>
      <c r="G585" s="2" t="inlineStr">
        <is>
          <t>system</t>
        </is>
      </c>
      <c r="H585" s="2" t="inlineStr">
        <is>
          <t>02.03.02.01 : Cobrança Bancaria</t>
        </is>
      </c>
      <c r="I585" s="2" t="n"/>
      <c r="J585" s="3" t="n">
        <v>-0.3</v>
      </c>
      <c r="K585" s="2">
        <f>IF(H585="02.09 : Outras Saídas", IF(OR(ISNUMBER(SEARCH("CHEQUE COMPE SICREDI", F585)), ISNUMBER(SEARCH("aniversario", F585)), ISNUMBER(SEARCH("churrasco", F585)), ISNUMBER(SEARCH("bolo", F585)), ISNUMBER(SEARCH("SUPERMERCADO", F585))), "6.1 Despesas Administrativas (Pessoal)", IF(OR(ISNUMBER(SEARCH("DLKNET", F585)), ISNUMBER(SEARCH("TESTE", F585))), "6.1 Despesas Administrativas (Gerais)", IFERROR(VLOOKUP(H585, De_Para!A:B, 2, FALSE), "NÃO MAPEADO"))), IFERROR(VLOOKUP(H585, De_Para!A:B, 2, FALSE), "NÃO MAPEADO"))</f>
        <v/>
      </c>
    </row>
    <row r="586">
      <c r="A586" s="2" t="inlineStr">
        <is>
          <t>69101</t>
        </is>
      </c>
      <c r="B586" s="2" t="inlineStr">
        <is>
          <t>Sicoob</t>
        </is>
      </c>
      <c r="C586" s="2" t="inlineStr">
        <is>
          <t>20/06/2026</t>
        </is>
      </c>
      <c r="D586" s="2" t="inlineStr">
        <is>
          <t>19/06/2026</t>
        </is>
      </c>
      <c r="E586" s="2" t="inlineStr">
        <is>
          <t>Dinheiro</t>
        </is>
      </c>
      <c r="F586" s="2" t="inlineStr">
        <is>
          <t>Boleto "61033" do cliente "RENATO ALVES VITOR"</t>
        </is>
      </c>
      <c r="G586" s="2" t="inlineStr">
        <is>
          <t>system</t>
        </is>
      </c>
      <c r="H586" s="2" t="inlineStr">
        <is>
          <t>01.01.01 : Mensalidade</t>
        </is>
      </c>
      <c r="I586" s="3" t="n">
        <v>105</v>
      </c>
      <c r="J586" s="2" t="n"/>
      <c r="K586" s="2">
        <f>IF(H586="02.09 : Outras Saídas", IF(OR(ISNUMBER(SEARCH("CHEQUE COMPE SICREDI", F586)), ISNUMBER(SEARCH("aniversario", F586)), ISNUMBER(SEARCH("churrasco", F586)), ISNUMBER(SEARCH("bolo", F586)), ISNUMBER(SEARCH("SUPERMERCADO", F586))), "6.1 Despesas Administrativas (Pessoal)", IF(OR(ISNUMBER(SEARCH("DLKNET", F586)), ISNUMBER(SEARCH("TESTE", F586))), "6.1 Despesas Administrativas (Gerais)", IFERROR(VLOOKUP(H586, De_Para!A:B, 2, FALSE), "NÃO MAPEADO"))), IFERROR(VLOOKUP(H586, De_Para!A:B, 2, FALSE), "NÃO MAPEADO"))</f>
        <v/>
      </c>
    </row>
    <row r="587">
      <c r="A587" s="2" t="inlineStr">
        <is>
          <t>69100</t>
        </is>
      </c>
      <c r="B587" s="2" t="inlineStr">
        <is>
          <t>Sicoob</t>
        </is>
      </c>
      <c r="C587" s="2" t="inlineStr">
        <is>
          <t>20/06/2026</t>
        </is>
      </c>
      <c r="D587" s="2" t="inlineStr">
        <is>
          <t>19/06/2026</t>
        </is>
      </c>
      <c r="E587" s="2" t="inlineStr">
        <is>
          <t>Dinheiro</t>
        </is>
      </c>
      <c r="F587" s="2" t="inlineStr">
        <is>
          <t>Boleto "59081" do cliente "CYRO AUGUSTO DE OLIVEIRA"</t>
        </is>
      </c>
      <c r="G587" s="2" t="inlineStr">
        <is>
          <t>system</t>
        </is>
      </c>
      <c r="H587" s="2" t="inlineStr">
        <is>
          <t>02.03.02.01 : Cobrança Bancaria</t>
        </is>
      </c>
      <c r="I587" s="2" t="n"/>
      <c r="J587" s="3" t="n">
        <v>-0.3</v>
      </c>
      <c r="K587" s="2">
        <f>IF(H587="02.09 : Outras Saídas", IF(OR(ISNUMBER(SEARCH("CHEQUE COMPE SICREDI", F587)), ISNUMBER(SEARCH("aniversario", F587)), ISNUMBER(SEARCH("churrasco", F587)), ISNUMBER(SEARCH("bolo", F587)), ISNUMBER(SEARCH("SUPERMERCADO", F587))), "6.1 Despesas Administrativas (Pessoal)", IF(OR(ISNUMBER(SEARCH("DLKNET", F587)), ISNUMBER(SEARCH("TESTE", F587))), "6.1 Despesas Administrativas (Gerais)", IFERROR(VLOOKUP(H587, De_Para!A:B, 2, FALSE), "NÃO MAPEADO"))), IFERROR(VLOOKUP(H587, De_Para!A:B, 2, FALSE), "NÃO MAPEADO"))</f>
        <v/>
      </c>
    </row>
    <row r="588">
      <c r="A588" s="2" t="inlineStr">
        <is>
          <t>69099</t>
        </is>
      </c>
      <c r="B588" s="2" t="inlineStr">
        <is>
          <t>Sicoob</t>
        </is>
      </c>
      <c r="C588" s="2" t="inlineStr">
        <is>
          <t>20/06/2026</t>
        </is>
      </c>
      <c r="D588" s="2" t="inlineStr">
        <is>
          <t>19/06/2026</t>
        </is>
      </c>
      <c r="E588" s="2" t="inlineStr">
        <is>
          <t>Dinheiro</t>
        </is>
      </c>
      <c r="F588" s="2" t="inlineStr">
        <is>
          <t>Boleto "59081" do cliente "CYRO AUGUSTO DE OLIVEIRA"</t>
        </is>
      </c>
      <c r="G588" s="2" t="inlineStr">
        <is>
          <t>system</t>
        </is>
      </c>
      <c r="H588" s="2" t="inlineStr">
        <is>
          <t>01.01.01 : Mensalidade</t>
        </is>
      </c>
      <c r="I588" s="3" t="n">
        <v>107.41</v>
      </c>
      <c r="J588" s="2" t="n"/>
      <c r="K588" s="2">
        <f>IF(H588="02.09 : Outras Saídas", IF(OR(ISNUMBER(SEARCH("CHEQUE COMPE SICREDI", F588)), ISNUMBER(SEARCH("aniversario", F588)), ISNUMBER(SEARCH("churrasco", F588)), ISNUMBER(SEARCH("bolo", F588)), ISNUMBER(SEARCH("SUPERMERCADO", F588))), "6.1 Despesas Administrativas (Pessoal)", IF(OR(ISNUMBER(SEARCH("DLKNET", F588)), ISNUMBER(SEARCH("TESTE", F588))), "6.1 Despesas Administrativas (Gerais)", IFERROR(VLOOKUP(H588, De_Para!A:B, 2, FALSE), "NÃO MAPEADO"))), IFERROR(VLOOKUP(H588, De_Para!A:B, 2, FALSE), "NÃO MAPEADO"))</f>
        <v/>
      </c>
    </row>
    <row r="589">
      <c r="A589" s="2" t="inlineStr">
        <is>
          <t>69098</t>
        </is>
      </c>
      <c r="B589" s="2" t="inlineStr">
        <is>
          <t>Sicoob</t>
        </is>
      </c>
      <c r="C589" s="2" t="inlineStr">
        <is>
          <t>20/06/2026</t>
        </is>
      </c>
      <c r="D589" s="2" t="inlineStr">
        <is>
          <t>19/06/2026</t>
        </is>
      </c>
      <c r="E589" s="2" t="inlineStr">
        <is>
          <t>Dinheiro</t>
        </is>
      </c>
      <c r="F589" s="2" t="inlineStr">
        <is>
          <t>Boleto "54344" do cliente "KARINE APARECIDA GONCALVES"</t>
        </is>
      </c>
      <c r="G589" s="2" t="inlineStr">
        <is>
          <t>system</t>
        </is>
      </c>
      <c r="H589" s="2" t="inlineStr">
        <is>
          <t>02.03.02.01 : Cobrança Bancaria</t>
        </is>
      </c>
      <c r="I589" s="2" t="n"/>
      <c r="J589" s="3" t="n">
        <v>-0.3</v>
      </c>
      <c r="K589" s="2">
        <f>IF(H589="02.09 : Outras Saídas", IF(OR(ISNUMBER(SEARCH("CHEQUE COMPE SICREDI", F589)), ISNUMBER(SEARCH("aniversario", F589)), ISNUMBER(SEARCH("churrasco", F589)), ISNUMBER(SEARCH("bolo", F589)), ISNUMBER(SEARCH("SUPERMERCADO", F589))), "6.1 Despesas Administrativas (Pessoal)", IF(OR(ISNUMBER(SEARCH("DLKNET", F589)), ISNUMBER(SEARCH("TESTE", F589))), "6.1 Despesas Administrativas (Gerais)", IFERROR(VLOOKUP(H589, De_Para!A:B, 2, FALSE), "NÃO MAPEADO"))), IFERROR(VLOOKUP(H589, De_Para!A:B, 2, FALSE), "NÃO MAPEADO"))</f>
        <v/>
      </c>
    </row>
    <row r="590">
      <c r="A590" s="2" t="inlineStr">
        <is>
          <t>69097</t>
        </is>
      </c>
      <c r="B590" s="2" t="inlineStr">
        <is>
          <t>Sicoob</t>
        </is>
      </c>
      <c r="C590" s="2" t="inlineStr">
        <is>
          <t>20/06/2026</t>
        </is>
      </c>
      <c r="D590" s="2" t="inlineStr">
        <is>
          <t>19/06/2026</t>
        </is>
      </c>
      <c r="E590" s="2" t="inlineStr">
        <is>
          <t>Dinheiro</t>
        </is>
      </c>
      <c r="F590" s="2" t="inlineStr">
        <is>
          <t>Boleto "54344" do cliente "KARINE APARECIDA GONCALVES"</t>
        </is>
      </c>
      <c r="G590" s="2" t="inlineStr">
        <is>
          <t>system</t>
        </is>
      </c>
      <c r="H590" s="2" t="inlineStr">
        <is>
          <t>01.01.01 : Mensalidade</t>
        </is>
      </c>
      <c r="I590" s="3" t="n">
        <v>105</v>
      </c>
      <c r="J590" s="2" t="n"/>
      <c r="K590" s="2">
        <f>IF(H590="02.09 : Outras Saídas", IF(OR(ISNUMBER(SEARCH("CHEQUE COMPE SICREDI", F590)), ISNUMBER(SEARCH("aniversario", F590)), ISNUMBER(SEARCH("churrasco", F590)), ISNUMBER(SEARCH("bolo", F590)), ISNUMBER(SEARCH("SUPERMERCADO", F590))), "6.1 Despesas Administrativas (Pessoal)", IF(OR(ISNUMBER(SEARCH("DLKNET", F590)), ISNUMBER(SEARCH("TESTE", F590))), "6.1 Despesas Administrativas (Gerais)", IFERROR(VLOOKUP(H590, De_Para!A:B, 2, FALSE), "NÃO MAPEADO"))), IFERROR(VLOOKUP(H590, De_Para!A:B, 2, FALSE), "NÃO MAPEADO"))</f>
        <v/>
      </c>
    </row>
    <row r="591">
      <c r="A591" s="2" t="inlineStr">
        <is>
          <t>69096</t>
        </is>
      </c>
      <c r="B591" s="2" t="inlineStr">
        <is>
          <t>Sicredi SNI</t>
        </is>
      </c>
      <c r="C591" s="2" t="inlineStr">
        <is>
          <t>19/06/2026</t>
        </is>
      </c>
      <c r="D591" s="2" t="inlineStr">
        <is>
          <t>19/06/2026</t>
        </is>
      </c>
      <c r="E591" s="2" t="inlineStr">
        <is>
          <t>PIX</t>
        </is>
      </c>
      <c r="F591" s="2" t="inlineStr">
        <is>
          <t>Boleto "60128" do cliente "TALITA MARIA TODESCHIN"</t>
        </is>
      </c>
      <c r="G591" s="2" t="inlineStr">
        <is>
          <t>system</t>
        </is>
      </c>
      <c r="H591" s="2" t="inlineStr">
        <is>
          <t>02.03.02.01 : Cobrança Bancaria</t>
        </is>
      </c>
      <c r="I591" s="2" t="n"/>
      <c r="J591" s="3" t="n">
        <v>-0.49</v>
      </c>
      <c r="K591" s="2">
        <f>IF(H591="02.09 : Outras Saídas", IF(OR(ISNUMBER(SEARCH("CHEQUE COMPE SICREDI", F591)), ISNUMBER(SEARCH("aniversario", F591)), ISNUMBER(SEARCH("churrasco", F591)), ISNUMBER(SEARCH("bolo", F591)), ISNUMBER(SEARCH("SUPERMERCADO", F591))), "6.1 Despesas Administrativas (Pessoal)", IF(OR(ISNUMBER(SEARCH("DLKNET", F591)), ISNUMBER(SEARCH("TESTE", F591))), "6.1 Despesas Administrativas (Gerais)", IFERROR(VLOOKUP(H591, De_Para!A:B, 2, FALSE), "NÃO MAPEADO"))), IFERROR(VLOOKUP(H591, De_Para!A:B, 2, FALSE), "NÃO MAPEADO"))</f>
        <v/>
      </c>
    </row>
    <row r="592">
      <c r="A592" s="2" t="inlineStr">
        <is>
          <t>69095</t>
        </is>
      </c>
      <c r="B592" s="2" t="inlineStr">
        <is>
          <t>Sicredi SNI</t>
        </is>
      </c>
      <c r="C592" s="2" t="inlineStr">
        <is>
          <t>19/06/2026</t>
        </is>
      </c>
      <c r="D592" s="2" t="inlineStr">
        <is>
          <t>19/06/2026</t>
        </is>
      </c>
      <c r="E592" s="2" t="inlineStr">
        <is>
          <t>PIX</t>
        </is>
      </c>
      <c r="F592" s="2" t="inlineStr">
        <is>
          <t>Boleto "60128" do cliente "TALITA MARIA TODESCHIN"</t>
        </is>
      </c>
      <c r="G592" s="2" t="inlineStr">
        <is>
          <t>system</t>
        </is>
      </c>
      <c r="H592" s="2" t="inlineStr">
        <is>
          <t>01.01.01 : Mensalidade</t>
        </is>
      </c>
      <c r="I592" s="3" t="n">
        <v>107.42</v>
      </c>
      <c r="J592" s="2" t="n"/>
      <c r="K592" s="2">
        <f>IF(H592="02.09 : Outras Saídas", IF(OR(ISNUMBER(SEARCH("CHEQUE COMPE SICREDI", F592)), ISNUMBER(SEARCH("aniversario", F592)), ISNUMBER(SEARCH("churrasco", F592)), ISNUMBER(SEARCH("bolo", F592)), ISNUMBER(SEARCH("SUPERMERCADO", F592))), "6.1 Despesas Administrativas (Pessoal)", IF(OR(ISNUMBER(SEARCH("DLKNET", F592)), ISNUMBER(SEARCH("TESTE", F592))), "6.1 Despesas Administrativas (Gerais)", IFERROR(VLOOKUP(H592, De_Para!A:B, 2, FALSE), "NÃO MAPEADO"))), IFERROR(VLOOKUP(H592, De_Para!A:B, 2, FALSE), "NÃO MAPEADO"))</f>
        <v/>
      </c>
    </row>
    <row r="593">
      <c r="A593" s="2" t="inlineStr">
        <is>
          <t>69094</t>
        </is>
      </c>
      <c r="B593" s="2" t="inlineStr">
        <is>
          <t>Sicredi SNI</t>
        </is>
      </c>
      <c r="C593" s="2" t="inlineStr">
        <is>
          <t>19/06/2026</t>
        </is>
      </c>
      <c r="D593" s="2" t="inlineStr">
        <is>
          <t>19/06/2026</t>
        </is>
      </c>
      <c r="E593" s="2" t="inlineStr">
        <is>
          <t>PIX</t>
        </is>
      </c>
      <c r="F593" s="2" t="inlineStr">
        <is>
          <t>Boleto "55633" do cliente "SERGIO TOSO"</t>
        </is>
      </c>
      <c r="G593" s="2" t="inlineStr">
        <is>
          <t>system</t>
        </is>
      </c>
      <c r="H593" s="2" t="inlineStr">
        <is>
          <t>02.03.02.01 : Cobrança Bancaria</t>
        </is>
      </c>
      <c r="I593" s="2" t="n"/>
      <c r="J593" s="3" t="n">
        <v>-0.49</v>
      </c>
      <c r="K593" s="2">
        <f>IF(H593="02.09 : Outras Saídas", IF(OR(ISNUMBER(SEARCH("CHEQUE COMPE SICREDI", F593)), ISNUMBER(SEARCH("aniversario", F593)), ISNUMBER(SEARCH("churrasco", F593)), ISNUMBER(SEARCH("bolo", F593)), ISNUMBER(SEARCH("SUPERMERCADO", F593))), "6.1 Despesas Administrativas (Pessoal)", IF(OR(ISNUMBER(SEARCH("DLKNET", F593)), ISNUMBER(SEARCH("TESTE", F593))), "6.1 Despesas Administrativas (Gerais)", IFERROR(VLOOKUP(H593, De_Para!A:B, 2, FALSE), "NÃO MAPEADO"))), IFERROR(VLOOKUP(H593, De_Para!A:B, 2, FALSE), "NÃO MAPEADO"))</f>
        <v/>
      </c>
    </row>
    <row r="594">
      <c r="A594" s="2" t="inlineStr">
        <is>
          <t>69093</t>
        </is>
      </c>
      <c r="B594" s="2" t="inlineStr">
        <is>
          <t>Sicredi SNI</t>
        </is>
      </c>
      <c r="C594" s="2" t="inlineStr">
        <is>
          <t>19/06/2026</t>
        </is>
      </c>
      <c r="D594" s="2" t="inlineStr">
        <is>
          <t>19/06/2026</t>
        </is>
      </c>
      <c r="E594" s="2" t="inlineStr">
        <is>
          <t>PIX</t>
        </is>
      </c>
      <c r="F594" s="2" t="inlineStr">
        <is>
          <t>Boleto "55633" do cliente "SERGIO TOSO"</t>
        </is>
      </c>
      <c r="G594" s="2" t="inlineStr">
        <is>
          <t>system</t>
        </is>
      </c>
      <c r="H594" s="2" t="inlineStr">
        <is>
          <t>01.01.01 : Mensalidade</t>
        </is>
      </c>
      <c r="I594" s="3" t="n">
        <v>105</v>
      </c>
      <c r="J594" s="2" t="n"/>
      <c r="K594" s="2">
        <f>IF(H594="02.09 : Outras Saídas", IF(OR(ISNUMBER(SEARCH("CHEQUE COMPE SICREDI", F594)), ISNUMBER(SEARCH("aniversario", F594)), ISNUMBER(SEARCH("churrasco", F594)), ISNUMBER(SEARCH("bolo", F594)), ISNUMBER(SEARCH("SUPERMERCADO", F594))), "6.1 Despesas Administrativas (Pessoal)", IF(OR(ISNUMBER(SEARCH("DLKNET", F594)), ISNUMBER(SEARCH("TESTE", F594))), "6.1 Despesas Administrativas (Gerais)", IFERROR(VLOOKUP(H594, De_Para!A:B, 2, FALSE), "NÃO MAPEADO"))), IFERROR(VLOOKUP(H594, De_Para!A:B, 2, FALSE), "NÃO MAPEADO"))</f>
        <v/>
      </c>
    </row>
    <row r="595">
      <c r="A595" s="2" t="inlineStr">
        <is>
          <t>69092</t>
        </is>
      </c>
      <c r="B595" s="2" t="inlineStr">
        <is>
          <t>Sicredi SNI</t>
        </is>
      </c>
      <c r="C595" s="2" t="inlineStr">
        <is>
          <t>19/06/2026</t>
        </is>
      </c>
      <c r="D595" s="2" t="inlineStr">
        <is>
          <t>19/06/2026</t>
        </is>
      </c>
      <c r="E595" s="2" t="inlineStr">
        <is>
          <t>PIX</t>
        </is>
      </c>
      <c r="F595" s="2" t="inlineStr">
        <is>
          <t>Boleto "63434" do cliente "INES DE FATIMA CORREIA"</t>
        </is>
      </c>
      <c r="G595" s="2" t="inlineStr">
        <is>
          <t>system</t>
        </is>
      </c>
      <c r="H595" s="2" t="inlineStr">
        <is>
          <t>02.03.02.01 : Cobrança Bancaria</t>
        </is>
      </c>
      <c r="I595" s="2" t="n"/>
      <c r="J595" s="3" t="n">
        <v>-0.49</v>
      </c>
      <c r="K595" s="2">
        <f>IF(H595="02.09 : Outras Saídas", IF(OR(ISNUMBER(SEARCH("CHEQUE COMPE SICREDI", F595)), ISNUMBER(SEARCH("aniversario", F595)), ISNUMBER(SEARCH("churrasco", F595)), ISNUMBER(SEARCH("bolo", F595)), ISNUMBER(SEARCH("SUPERMERCADO", F595))), "6.1 Despesas Administrativas (Pessoal)", IF(OR(ISNUMBER(SEARCH("DLKNET", F595)), ISNUMBER(SEARCH("TESTE", F595))), "6.1 Despesas Administrativas (Gerais)", IFERROR(VLOOKUP(H595, De_Para!A:B, 2, FALSE), "NÃO MAPEADO"))), IFERROR(VLOOKUP(H595, De_Para!A:B, 2, FALSE), "NÃO MAPEADO"))</f>
        <v/>
      </c>
    </row>
    <row r="596">
      <c r="A596" s="2" t="inlineStr">
        <is>
          <t>69091</t>
        </is>
      </c>
      <c r="B596" s="2" t="inlineStr">
        <is>
          <t>Sicredi SNI</t>
        </is>
      </c>
      <c r="C596" s="2" t="inlineStr">
        <is>
          <t>19/06/2026</t>
        </is>
      </c>
      <c r="D596" s="2" t="inlineStr">
        <is>
          <t>19/06/2026</t>
        </is>
      </c>
      <c r="E596" s="2" t="inlineStr">
        <is>
          <t>PIX</t>
        </is>
      </c>
      <c r="F596" s="2" t="inlineStr">
        <is>
          <t>Boleto "63434" do cliente "INES DE FATIMA CORREIA"</t>
        </is>
      </c>
      <c r="G596" s="2" t="inlineStr">
        <is>
          <t>system</t>
        </is>
      </c>
      <c r="H596" s="2" t="inlineStr">
        <is>
          <t>01.01.01 : Mensalidade</t>
        </is>
      </c>
      <c r="I596" s="3" t="n">
        <v>110</v>
      </c>
      <c r="J596" s="2" t="n"/>
      <c r="K596" s="2">
        <f>IF(H596="02.09 : Outras Saídas", IF(OR(ISNUMBER(SEARCH("CHEQUE COMPE SICREDI", F596)), ISNUMBER(SEARCH("aniversario", F596)), ISNUMBER(SEARCH("churrasco", F596)), ISNUMBER(SEARCH("bolo", F596)), ISNUMBER(SEARCH("SUPERMERCADO", F596))), "6.1 Despesas Administrativas (Pessoal)", IF(OR(ISNUMBER(SEARCH("DLKNET", F596)), ISNUMBER(SEARCH("TESTE", F596))), "6.1 Despesas Administrativas (Gerais)", IFERROR(VLOOKUP(H596, De_Para!A:B, 2, FALSE), "NÃO MAPEADO"))), IFERROR(VLOOKUP(H596, De_Para!A:B, 2, FALSE), "NÃO MAPEADO"))</f>
        <v/>
      </c>
    </row>
    <row r="597">
      <c r="A597" s="2" t="inlineStr">
        <is>
          <t>69090</t>
        </is>
      </c>
      <c r="B597" s="2" t="inlineStr">
        <is>
          <t>Sicredi SNI</t>
        </is>
      </c>
      <c r="C597" s="2" t="inlineStr">
        <is>
          <t>19/06/2026</t>
        </is>
      </c>
      <c r="D597" s="2" t="inlineStr">
        <is>
          <t>19/06/2026</t>
        </is>
      </c>
      <c r="E597" s="2" t="inlineStr">
        <is>
          <t>PIX</t>
        </is>
      </c>
      <c r="F597" s="2" t="inlineStr">
        <is>
          <t>Boleto "55592" do cliente "ADRIANO ANTONIO RIBEIRO"</t>
        </is>
      </c>
      <c r="G597" s="2" t="inlineStr">
        <is>
          <t>system</t>
        </is>
      </c>
      <c r="H597" s="2" t="inlineStr">
        <is>
          <t>02.03.02.01 : Cobrança Bancaria</t>
        </is>
      </c>
      <c r="I597" s="2" t="n"/>
      <c r="J597" s="3" t="n">
        <v>-0.49</v>
      </c>
      <c r="K597" s="2">
        <f>IF(H597="02.09 : Outras Saídas", IF(OR(ISNUMBER(SEARCH("CHEQUE COMPE SICREDI", F597)), ISNUMBER(SEARCH("aniversario", F597)), ISNUMBER(SEARCH("churrasco", F597)), ISNUMBER(SEARCH("bolo", F597)), ISNUMBER(SEARCH("SUPERMERCADO", F597))), "6.1 Despesas Administrativas (Pessoal)", IF(OR(ISNUMBER(SEARCH("DLKNET", F597)), ISNUMBER(SEARCH("TESTE", F597))), "6.1 Despesas Administrativas (Gerais)", IFERROR(VLOOKUP(H597, De_Para!A:B, 2, FALSE), "NÃO MAPEADO"))), IFERROR(VLOOKUP(H597, De_Para!A:B, 2, FALSE), "NÃO MAPEADO"))</f>
        <v/>
      </c>
    </row>
    <row r="598">
      <c r="A598" s="2" t="inlineStr">
        <is>
          <t>69089</t>
        </is>
      </c>
      <c r="B598" s="2" t="inlineStr">
        <is>
          <t>Sicredi SNI</t>
        </is>
      </c>
      <c r="C598" s="2" t="inlineStr">
        <is>
          <t>19/06/2026</t>
        </is>
      </c>
      <c r="D598" s="2" t="inlineStr">
        <is>
          <t>19/06/2026</t>
        </is>
      </c>
      <c r="E598" s="2" t="inlineStr">
        <is>
          <t>PIX</t>
        </is>
      </c>
      <c r="F598" s="2" t="inlineStr">
        <is>
          <t>Boleto "55592" do cliente "ADRIANO ANTONIO RIBEIRO"</t>
        </is>
      </c>
      <c r="G598" s="2" t="inlineStr">
        <is>
          <t>system</t>
        </is>
      </c>
      <c r="H598" s="2" t="inlineStr">
        <is>
          <t>01.01.01 : Mensalidade</t>
        </is>
      </c>
      <c r="I598" s="3" t="n">
        <v>102.3</v>
      </c>
      <c r="J598" s="2" t="n"/>
      <c r="K598" s="2">
        <f>IF(H598="02.09 : Outras Saídas", IF(OR(ISNUMBER(SEARCH("CHEQUE COMPE SICREDI", F598)), ISNUMBER(SEARCH("aniversario", F598)), ISNUMBER(SEARCH("churrasco", F598)), ISNUMBER(SEARCH("bolo", F598)), ISNUMBER(SEARCH("SUPERMERCADO", F598))), "6.1 Despesas Administrativas (Pessoal)", IF(OR(ISNUMBER(SEARCH("DLKNET", F598)), ISNUMBER(SEARCH("TESTE", F598))), "6.1 Despesas Administrativas (Gerais)", IFERROR(VLOOKUP(H598, De_Para!A:B, 2, FALSE), "NÃO MAPEADO"))), IFERROR(VLOOKUP(H598, De_Para!A:B, 2, FALSE), "NÃO MAPEADO"))</f>
        <v/>
      </c>
    </row>
    <row r="599">
      <c r="A599" s="2" t="inlineStr">
        <is>
          <t>69088</t>
        </is>
      </c>
      <c r="B599" s="2" t="inlineStr">
        <is>
          <t>Sicredi SNI</t>
        </is>
      </c>
      <c r="C599" s="2" t="inlineStr">
        <is>
          <t>19/06/2026</t>
        </is>
      </c>
      <c r="D599" s="2" t="inlineStr">
        <is>
          <t>19/06/2026</t>
        </is>
      </c>
      <c r="E599" s="2" t="inlineStr">
        <is>
          <t>PIX</t>
        </is>
      </c>
      <c r="F599" s="2" t="inlineStr">
        <is>
          <t>Boleto "59160" do cliente "SELZIO MACHADO NOGUEIRA"</t>
        </is>
      </c>
      <c r="G599" s="2" t="inlineStr">
        <is>
          <t>system</t>
        </is>
      </c>
      <c r="H599" s="2" t="inlineStr">
        <is>
          <t>02.03.02.01 : Cobrança Bancaria</t>
        </is>
      </c>
      <c r="I599" s="2" t="n"/>
      <c r="J599" s="3" t="n">
        <v>-0.49</v>
      </c>
      <c r="K599" s="2">
        <f>IF(H599="02.09 : Outras Saídas", IF(OR(ISNUMBER(SEARCH("CHEQUE COMPE SICREDI", F599)), ISNUMBER(SEARCH("aniversario", F599)), ISNUMBER(SEARCH("churrasco", F599)), ISNUMBER(SEARCH("bolo", F599)), ISNUMBER(SEARCH("SUPERMERCADO", F599))), "6.1 Despesas Administrativas (Pessoal)", IF(OR(ISNUMBER(SEARCH("DLKNET", F599)), ISNUMBER(SEARCH("TESTE", F599))), "6.1 Despesas Administrativas (Gerais)", IFERROR(VLOOKUP(H599, De_Para!A:B, 2, FALSE), "NÃO MAPEADO"))), IFERROR(VLOOKUP(H599, De_Para!A:B, 2, FALSE), "NÃO MAPEADO"))</f>
        <v/>
      </c>
    </row>
    <row r="600">
      <c r="A600" s="2" t="inlineStr">
        <is>
          <t>69087</t>
        </is>
      </c>
      <c r="B600" s="2" t="inlineStr">
        <is>
          <t>Sicredi SNI</t>
        </is>
      </c>
      <c r="C600" s="2" t="inlineStr">
        <is>
          <t>19/06/2026</t>
        </is>
      </c>
      <c r="D600" s="2" t="inlineStr">
        <is>
          <t>19/06/2026</t>
        </is>
      </c>
      <c r="E600" s="2" t="inlineStr">
        <is>
          <t>PIX</t>
        </is>
      </c>
      <c r="F600" s="2" t="inlineStr">
        <is>
          <t>Boleto "59160" do cliente "SELZIO MACHADO NOGUEIRA"</t>
        </is>
      </c>
      <c r="G600" s="2" t="inlineStr">
        <is>
          <t>system</t>
        </is>
      </c>
      <c r="H600" s="2" t="inlineStr">
        <is>
          <t>01.03.01 : Mensalidade</t>
        </is>
      </c>
      <c r="I600" s="3" t="n">
        <v>107.42</v>
      </c>
      <c r="J600" s="2" t="n"/>
      <c r="K600" s="2">
        <f>IF(H600="02.09 : Outras Saídas", IF(OR(ISNUMBER(SEARCH("CHEQUE COMPE SICREDI", F600)), ISNUMBER(SEARCH("aniversario", F600)), ISNUMBER(SEARCH("churrasco", F600)), ISNUMBER(SEARCH("bolo", F600)), ISNUMBER(SEARCH("SUPERMERCADO", F600))), "6.1 Despesas Administrativas (Pessoal)", IF(OR(ISNUMBER(SEARCH("DLKNET", F600)), ISNUMBER(SEARCH("TESTE", F600))), "6.1 Despesas Administrativas (Gerais)", IFERROR(VLOOKUP(H600, De_Para!A:B, 2, FALSE), "NÃO MAPEADO"))), IFERROR(VLOOKUP(H600, De_Para!A:B, 2, FALSE), "NÃO MAPEADO"))</f>
        <v/>
      </c>
    </row>
    <row r="601">
      <c r="A601" s="2" t="inlineStr">
        <is>
          <t>69086</t>
        </is>
      </c>
      <c r="B601" s="2" t="inlineStr">
        <is>
          <t>Sicredi SNI</t>
        </is>
      </c>
      <c r="C601" s="2" t="inlineStr">
        <is>
          <t>19/06/2026</t>
        </is>
      </c>
      <c r="D601" s="2" t="inlineStr">
        <is>
          <t>19/06/2026</t>
        </is>
      </c>
      <c r="E601" s="2" t="inlineStr">
        <is>
          <t>PIX</t>
        </is>
      </c>
      <c r="F601" s="2" t="inlineStr">
        <is>
          <t>Boleto "67313" do cliente "RODNEI GONÇALVES DE OLIVEIRA"</t>
        </is>
      </c>
      <c r="G601" s="2" t="inlineStr">
        <is>
          <t>system</t>
        </is>
      </c>
      <c r="H601" s="2" t="inlineStr">
        <is>
          <t>02.03.02.01 : Cobrança Bancaria</t>
        </is>
      </c>
      <c r="I601" s="2" t="n"/>
      <c r="J601" s="3" t="n">
        <v>-0.49</v>
      </c>
      <c r="K601" s="2">
        <f>IF(H601="02.09 : Outras Saídas", IF(OR(ISNUMBER(SEARCH("CHEQUE COMPE SICREDI", F601)), ISNUMBER(SEARCH("aniversario", F601)), ISNUMBER(SEARCH("churrasco", F601)), ISNUMBER(SEARCH("bolo", F601)), ISNUMBER(SEARCH("SUPERMERCADO", F601))), "6.1 Despesas Administrativas (Pessoal)", IF(OR(ISNUMBER(SEARCH("DLKNET", F601)), ISNUMBER(SEARCH("TESTE", F601))), "6.1 Despesas Administrativas (Gerais)", IFERROR(VLOOKUP(H601, De_Para!A:B, 2, FALSE), "NÃO MAPEADO"))), IFERROR(VLOOKUP(H601, De_Para!A:B, 2, FALSE), "NÃO MAPEADO"))</f>
        <v/>
      </c>
    </row>
    <row r="602">
      <c r="A602" s="2" t="inlineStr">
        <is>
          <t>69085</t>
        </is>
      </c>
      <c r="B602" s="2" t="inlineStr">
        <is>
          <t>Sicredi SNI</t>
        </is>
      </c>
      <c r="C602" s="2" t="inlineStr">
        <is>
          <t>19/06/2026</t>
        </is>
      </c>
      <c r="D602" s="2" t="inlineStr">
        <is>
          <t>19/06/2026</t>
        </is>
      </c>
      <c r="E602" s="2" t="inlineStr">
        <is>
          <t>PIX</t>
        </is>
      </c>
      <c r="F602" s="2" t="inlineStr">
        <is>
          <t>Boleto "67313" do cliente "RODNEI GONÇALVES DE OLIVEIRA"</t>
        </is>
      </c>
      <c r="G602" s="2" t="inlineStr">
        <is>
          <t>system</t>
        </is>
      </c>
      <c r="H602" s="2" t="inlineStr">
        <is>
          <t>01.01.01 : Mensalidade</t>
        </is>
      </c>
      <c r="I602" s="3" t="n">
        <v>109.9</v>
      </c>
      <c r="J602" s="2" t="n"/>
      <c r="K602" s="2">
        <f>IF(H602="02.09 : Outras Saídas", IF(OR(ISNUMBER(SEARCH("CHEQUE COMPE SICREDI", F602)), ISNUMBER(SEARCH("aniversario", F602)), ISNUMBER(SEARCH("churrasco", F602)), ISNUMBER(SEARCH("bolo", F602)), ISNUMBER(SEARCH("SUPERMERCADO", F602))), "6.1 Despesas Administrativas (Pessoal)", IF(OR(ISNUMBER(SEARCH("DLKNET", F602)), ISNUMBER(SEARCH("TESTE", F602))), "6.1 Despesas Administrativas (Gerais)", IFERROR(VLOOKUP(H602, De_Para!A:B, 2, FALSE), "NÃO MAPEADO"))), IFERROR(VLOOKUP(H602, De_Para!A:B, 2, FALSE), "NÃO MAPEADO"))</f>
        <v/>
      </c>
    </row>
    <row r="603">
      <c r="A603" s="2" t="inlineStr">
        <is>
          <t>69084</t>
        </is>
      </c>
      <c r="B603" s="2" t="inlineStr">
        <is>
          <t>Sicredi SNI</t>
        </is>
      </c>
      <c r="C603" s="2" t="inlineStr">
        <is>
          <t>19/06/2026</t>
        </is>
      </c>
      <c r="D603" s="2" t="inlineStr">
        <is>
          <t>19/06/2026</t>
        </is>
      </c>
      <c r="E603" s="2" t="inlineStr">
        <is>
          <t>PIX</t>
        </is>
      </c>
      <c r="F603" s="2" t="inlineStr">
        <is>
          <t>Boleto "67303" do cliente "RODNEI GONÇALVES DE OLIVEIRA"</t>
        </is>
      </c>
      <c r="G603" s="2" t="inlineStr">
        <is>
          <t>system</t>
        </is>
      </c>
      <c r="H603" s="2" t="inlineStr">
        <is>
          <t>02.03.02.01 : Cobrança Bancaria</t>
        </is>
      </c>
      <c r="I603" s="2" t="n"/>
      <c r="J603" s="3" t="n">
        <v>-0.49</v>
      </c>
      <c r="K603" s="2">
        <f>IF(H603="02.09 : Outras Saídas", IF(OR(ISNUMBER(SEARCH("CHEQUE COMPE SICREDI", F603)), ISNUMBER(SEARCH("aniversario", F603)), ISNUMBER(SEARCH("churrasco", F603)), ISNUMBER(SEARCH("bolo", F603)), ISNUMBER(SEARCH("SUPERMERCADO", F603))), "6.1 Despesas Administrativas (Pessoal)", IF(OR(ISNUMBER(SEARCH("DLKNET", F603)), ISNUMBER(SEARCH("TESTE", F603))), "6.1 Despesas Administrativas (Gerais)", IFERROR(VLOOKUP(H603, De_Para!A:B, 2, FALSE), "NÃO MAPEADO"))), IFERROR(VLOOKUP(H603, De_Para!A:B, 2, FALSE), "NÃO MAPEADO"))</f>
        <v/>
      </c>
    </row>
    <row r="604">
      <c r="A604" s="2" t="inlineStr">
        <is>
          <t>69083</t>
        </is>
      </c>
      <c r="B604" s="2" t="inlineStr">
        <is>
          <t>Sicredi SNI</t>
        </is>
      </c>
      <c r="C604" s="2" t="inlineStr">
        <is>
          <t>19/06/2026</t>
        </is>
      </c>
      <c r="D604" s="2" t="inlineStr">
        <is>
          <t>19/06/2026</t>
        </is>
      </c>
      <c r="E604" s="2" t="inlineStr">
        <is>
          <t>PIX</t>
        </is>
      </c>
      <c r="F604" s="2" t="inlineStr">
        <is>
          <t>Boleto "67303" do cliente "RODNEI GONÇALVES DE OLIVEIRA"</t>
        </is>
      </c>
      <c r="G604" s="2" t="inlineStr">
        <is>
          <t>system</t>
        </is>
      </c>
      <c r="H604" s="2" t="inlineStr">
        <is>
          <t>01.01.01 : Mensalidade</t>
        </is>
      </c>
      <c r="I604" s="3" t="n">
        <v>104.9</v>
      </c>
      <c r="J604" s="2" t="n"/>
      <c r="K604" s="2">
        <f>IF(H604="02.09 : Outras Saídas", IF(OR(ISNUMBER(SEARCH("CHEQUE COMPE SICREDI", F604)), ISNUMBER(SEARCH("aniversario", F604)), ISNUMBER(SEARCH("churrasco", F604)), ISNUMBER(SEARCH("bolo", F604)), ISNUMBER(SEARCH("SUPERMERCADO", F604))), "6.1 Despesas Administrativas (Pessoal)", IF(OR(ISNUMBER(SEARCH("DLKNET", F604)), ISNUMBER(SEARCH("TESTE", F604))), "6.1 Despesas Administrativas (Gerais)", IFERROR(VLOOKUP(H604, De_Para!A:B, 2, FALSE), "NÃO MAPEADO"))), IFERROR(VLOOKUP(H604, De_Para!A:B, 2, FALSE), "NÃO MAPEADO"))</f>
        <v/>
      </c>
    </row>
    <row r="605">
      <c r="A605" s="2" t="inlineStr">
        <is>
          <t>69082</t>
        </is>
      </c>
      <c r="B605" s="2" t="inlineStr">
        <is>
          <t>Sicredi SNI</t>
        </is>
      </c>
      <c r="C605" s="2" t="inlineStr">
        <is>
          <t>19/06/2026</t>
        </is>
      </c>
      <c r="D605" s="2" t="inlineStr">
        <is>
          <t>19/06/2026</t>
        </is>
      </c>
      <c r="E605" s="2" t="inlineStr">
        <is>
          <t>PIX</t>
        </is>
      </c>
      <c r="F605" s="2" t="inlineStr">
        <is>
          <t>Boleto "58826" do cliente "JOSE DA COSTA FERREIRA"</t>
        </is>
      </c>
      <c r="G605" s="2" t="inlineStr">
        <is>
          <t>system</t>
        </is>
      </c>
      <c r="H605" s="2" t="inlineStr">
        <is>
          <t>02.03.02.01 : Cobrança Bancaria</t>
        </is>
      </c>
      <c r="I605" s="2" t="n"/>
      <c r="J605" s="3" t="n">
        <v>-0.49</v>
      </c>
      <c r="K605" s="2">
        <f>IF(H605="02.09 : Outras Saídas", IF(OR(ISNUMBER(SEARCH("CHEQUE COMPE SICREDI", F605)), ISNUMBER(SEARCH("aniversario", F605)), ISNUMBER(SEARCH("churrasco", F605)), ISNUMBER(SEARCH("bolo", F605)), ISNUMBER(SEARCH("SUPERMERCADO", F605))), "6.1 Despesas Administrativas (Pessoal)", IF(OR(ISNUMBER(SEARCH("DLKNET", F605)), ISNUMBER(SEARCH("TESTE", F605))), "6.1 Despesas Administrativas (Gerais)", IFERROR(VLOOKUP(H605, De_Para!A:B, 2, FALSE), "NÃO MAPEADO"))), IFERROR(VLOOKUP(H605, De_Para!A:B, 2, FALSE), "NÃO MAPEADO"))</f>
        <v/>
      </c>
    </row>
    <row r="606">
      <c r="A606" s="2" t="inlineStr">
        <is>
          <t>69081</t>
        </is>
      </c>
      <c r="B606" s="2" t="inlineStr">
        <is>
          <t>Sicredi SNI</t>
        </is>
      </c>
      <c r="C606" s="2" t="inlineStr">
        <is>
          <t>19/06/2026</t>
        </is>
      </c>
      <c r="D606" s="2" t="inlineStr">
        <is>
          <t>19/06/2026</t>
        </is>
      </c>
      <c r="E606" s="2" t="inlineStr">
        <is>
          <t>PIX</t>
        </is>
      </c>
      <c r="F606" s="2" t="inlineStr">
        <is>
          <t>Boleto "58826" do cliente "JOSE DA COSTA FERREIRA"</t>
        </is>
      </c>
      <c r="G606" s="2" t="inlineStr">
        <is>
          <t>system</t>
        </is>
      </c>
      <c r="H606" s="2" t="inlineStr">
        <is>
          <t>01.01.01 : Mensalidade</t>
        </is>
      </c>
      <c r="I606" s="3" t="n">
        <v>102.3</v>
      </c>
      <c r="J606" s="2" t="n"/>
      <c r="K606" s="2">
        <f>IF(H606="02.09 : Outras Saídas", IF(OR(ISNUMBER(SEARCH("CHEQUE COMPE SICREDI", F606)), ISNUMBER(SEARCH("aniversario", F606)), ISNUMBER(SEARCH("churrasco", F606)), ISNUMBER(SEARCH("bolo", F606)), ISNUMBER(SEARCH("SUPERMERCADO", F606))), "6.1 Despesas Administrativas (Pessoal)", IF(OR(ISNUMBER(SEARCH("DLKNET", F606)), ISNUMBER(SEARCH("TESTE", F606))), "6.1 Despesas Administrativas (Gerais)", IFERROR(VLOOKUP(H606, De_Para!A:B, 2, FALSE), "NÃO MAPEADO"))), IFERROR(VLOOKUP(H606, De_Para!A:B, 2, FALSE), "NÃO MAPEADO"))</f>
        <v/>
      </c>
    </row>
    <row r="607">
      <c r="A607" s="2" t="inlineStr">
        <is>
          <t>69080</t>
        </is>
      </c>
      <c r="B607" s="2" t="inlineStr">
        <is>
          <t>Sicredi SNI</t>
        </is>
      </c>
      <c r="C607" s="2" t="inlineStr">
        <is>
          <t>19/06/2026</t>
        </is>
      </c>
      <c r="D607" s="2" t="inlineStr">
        <is>
          <t>19/06/2026</t>
        </is>
      </c>
      <c r="E607" s="2" t="inlineStr">
        <is>
          <t>PIX</t>
        </is>
      </c>
      <c r="F607" s="2" t="inlineStr">
        <is>
          <t>Boleto "58815" do cliente "JOSE DA COSTA FERREIRA"</t>
        </is>
      </c>
      <c r="G607" s="2" t="inlineStr">
        <is>
          <t>system</t>
        </is>
      </c>
      <c r="H607" s="2" t="inlineStr">
        <is>
          <t>02.03.02.01 : Cobrança Bancaria</t>
        </is>
      </c>
      <c r="I607" s="2" t="n"/>
      <c r="J607" s="3" t="n">
        <v>-0.49</v>
      </c>
      <c r="K607" s="2">
        <f>IF(H607="02.09 : Outras Saídas", IF(OR(ISNUMBER(SEARCH("CHEQUE COMPE SICREDI", F607)), ISNUMBER(SEARCH("aniversario", F607)), ISNUMBER(SEARCH("churrasco", F607)), ISNUMBER(SEARCH("bolo", F607)), ISNUMBER(SEARCH("SUPERMERCADO", F607))), "6.1 Despesas Administrativas (Pessoal)", IF(OR(ISNUMBER(SEARCH("DLKNET", F607)), ISNUMBER(SEARCH("TESTE", F607))), "6.1 Despesas Administrativas (Gerais)", IFERROR(VLOOKUP(H607, De_Para!A:B, 2, FALSE), "NÃO MAPEADO"))), IFERROR(VLOOKUP(H607, De_Para!A:B, 2, FALSE), "NÃO MAPEADO"))</f>
        <v/>
      </c>
    </row>
    <row r="608">
      <c r="A608" s="2" t="inlineStr">
        <is>
          <t>69079</t>
        </is>
      </c>
      <c r="B608" s="2" t="inlineStr">
        <is>
          <t>Sicredi SNI</t>
        </is>
      </c>
      <c r="C608" s="2" t="inlineStr">
        <is>
          <t>19/06/2026</t>
        </is>
      </c>
      <c r="D608" s="2" t="inlineStr">
        <is>
          <t>19/06/2026</t>
        </is>
      </c>
      <c r="E608" s="2" t="inlineStr">
        <is>
          <t>PIX</t>
        </is>
      </c>
      <c r="F608" s="2" t="inlineStr">
        <is>
          <t>Boleto "58815" do cliente "JOSE DA COSTA FERREIRA"</t>
        </is>
      </c>
      <c r="G608" s="2" t="inlineStr">
        <is>
          <t>system</t>
        </is>
      </c>
      <c r="H608" s="2" t="inlineStr">
        <is>
          <t>01.01.01 : Mensalidade</t>
        </is>
      </c>
      <c r="I608" s="3" t="n">
        <v>102.3</v>
      </c>
      <c r="J608" s="2" t="n"/>
      <c r="K608" s="2">
        <f>IF(H608="02.09 : Outras Saídas", IF(OR(ISNUMBER(SEARCH("CHEQUE COMPE SICREDI", F608)), ISNUMBER(SEARCH("aniversario", F608)), ISNUMBER(SEARCH("churrasco", F608)), ISNUMBER(SEARCH("bolo", F608)), ISNUMBER(SEARCH("SUPERMERCADO", F608))), "6.1 Despesas Administrativas (Pessoal)", IF(OR(ISNUMBER(SEARCH("DLKNET", F608)), ISNUMBER(SEARCH("TESTE", F608))), "6.1 Despesas Administrativas (Gerais)", IFERROR(VLOOKUP(H608, De_Para!A:B, 2, FALSE), "NÃO MAPEADO"))), IFERROR(VLOOKUP(H608, De_Para!A:B, 2, FALSE), "NÃO MAPEADO"))</f>
        <v/>
      </c>
    </row>
    <row r="609">
      <c r="A609" s="2" t="inlineStr">
        <is>
          <t>69078</t>
        </is>
      </c>
      <c r="B609" s="2" t="inlineStr">
        <is>
          <t>Sicredi SNI</t>
        </is>
      </c>
      <c r="C609" s="2" t="inlineStr">
        <is>
          <t>19/06/2026</t>
        </is>
      </c>
      <c r="D609" s="2" t="inlineStr">
        <is>
          <t>19/06/2026</t>
        </is>
      </c>
      <c r="E609" s="2" t="inlineStr">
        <is>
          <t>PIX</t>
        </is>
      </c>
      <c r="F609" s="2" t="inlineStr">
        <is>
          <t>Boleto "54638" do cliente "JOSÉ DA SILVA MACHADO"</t>
        </is>
      </c>
      <c r="G609" s="2" t="inlineStr">
        <is>
          <t>system</t>
        </is>
      </c>
      <c r="H609" s="2" t="inlineStr">
        <is>
          <t>02.03.02.01 : Cobrança Bancaria</t>
        </is>
      </c>
      <c r="I609" s="2" t="n"/>
      <c r="J609" s="3" t="n">
        <v>-0.49</v>
      </c>
      <c r="K609" s="2">
        <f>IF(H609="02.09 : Outras Saídas", IF(OR(ISNUMBER(SEARCH("CHEQUE COMPE SICREDI", F609)), ISNUMBER(SEARCH("aniversario", F609)), ISNUMBER(SEARCH("churrasco", F609)), ISNUMBER(SEARCH("bolo", F609)), ISNUMBER(SEARCH("SUPERMERCADO", F609))), "6.1 Despesas Administrativas (Pessoal)", IF(OR(ISNUMBER(SEARCH("DLKNET", F609)), ISNUMBER(SEARCH("TESTE", F609))), "6.1 Despesas Administrativas (Gerais)", IFERROR(VLOOKUP(H609, De_Para!A:B, 2, FALSE), "NÃO MAPEADO"))), IFERROR(VLOOKUP(H609, De_Para!A:B, 2, FALSE), "NÃO MAPEADO"))</f>
        <v/>
      </c>
    </row>
    <row r="610">
      <c r="A610" s="2" t="inlineStr">
        <is>
          <t>69077</t>
        </is>
      </c>
      <c r="B610" s="2" t="inlineStr">
        <is>
          <t>Sicredi SNI</t>
        </is>
      </c>
      <c r="C610" s="2" t="inlineStr">
        <is>
          <t>19/06/2026</t>
        </is>
      </c>
      <c r="D610" s="2" t="inlineStr">
        <is>
          <t>19/06/2026</t>
        </is>
      </c>
      <c r="E610" s="2" t="inlineStr">
        <is>
          <t>PIX</t>
        </is>
      </c>
      <c r="F610" s="2" t="inlineStr">
        <is>
          <t>Boleto "54638" do cliente "JOSÉ DA SILVA MACHADO"</t>
        </is>
      </c>
      <c r="G610" s="2" t="inlineStr">
        <is>
          <t>system</t>
        </is>
      </c>
      <c r="H610" s="2" t="inlineStr">
        <is>
          <t>01.03.01 : Mensalidade</t>
        </is>
      </c>
      <c r="I610" s="3" t="n">
        <v>105</v>
      </c>
      <c r="J610" s="2" t="n"/>
      <c r="K610" s="2">
        <f>IF(H610="02.09 : Outras Saídas", IF(OR(ISNUMBER(SEARCH("CHEQUE COMPE SICREDI", F610)), ISNUMBER(SEARCH("aniversario", F610)), ISNUMBER(SEARCH("churrasco", F610)), ISNUMBER(SEARCH("bolo", F610)), ISNUMBER(SEARCH("SUPERMERCADO", F610))), "6.1 Despesas Administrativas (Pessoal)", IF(OR(ISNUMBER(SEARCH("DLKNET", F610)), ISNUMBER(SEARCH("TESTE", F610))), "6.1 Despesas Administrativas (Gerais)", IFERROR(VLOOKUP(H610, De_Para!A:B, 2, FALSE), "NÃO MAPEADO"))), IFERROR(VLOOKUP(H610, De_Para!A:B, 2, FALSE), "NÃO MAPEADO"))</f>
        <v/>
      </c>
    </row>
    <row r="611">
      <c r="A611" s="2" t="inlineStr">
        <is>
          <t>69076</t>
        </is>
      </c>
      <c r="B611" s="2" t="inlineStr">
        <is>
          <t>Sicredi SNI</t>
        </is>
      </c>
      <c r="C611" s="2" t="inlineStr">
        <is>
          <t>19/06/2026</t>
        </is>
      </c>
      <c r="D611" s="2" t="inlineStr">
        <is>
          <t>19/06/2026</t>
        </is>
      </c>
      <c r="E611" s="2" t="inlineStr">
        <is>
          <t>PIX</t>
        </is>
      </c>
      <c r="F611" s="2" t="inlineStr">
        <is>
          <t>Boleto "61143" do cliente "MARIA SUELI DA SIILVA"</t>
        </is>
      </c>
      <c r="G611" s="2" t="inlineStr">
        <is>
          <t>system</t>
        </is>
      </c>
      <c r="H611" s="2" t="inlineStr">
        <is>
          <t>02.03.02.01 : Cobrança Bancaria</t>
        </is>
      </c>
      <c r="I611" s="2" t="n"/>
      <c r="J611" s="3" t="n">
        <v>-0.49</v>
      </c>
      <c r="K611" s="2">
        <f>IF(H611="02.09 : Outras Saídas", IF(OR(ISNUMBER(SEARCH("CHEQUE COMPE SICREDI", F611)), ISNUMBER(SEARCH("aniversario", F611)), ISNUMBER(SEARCH("churrasco", F611)), ISNUMBER(SEARCH("bolo", F611)), ISNUMBER(SEARCH("SUPERMERCADO", F611))), "6.1 Despesas Administrativas (Pessoal)", IF(OR(ISNUMBER(SEARCH("DLKNET", F611)), ISNUMBER(SEARCH("TESTE", F611))), "6.1 Despesas Administrativas (Gerais)", IFERROR(VLOOKUP(H611, De_Para!A:B, 2, FALSE), "NÃO MAPEADO"))), IFERROR(VLOOKUP(H611, De_Para!A:B, 2, FALSE), "NÃO MAPEADO"))</f>
        <v/>
      </c>
    </row>
    <row r="612">
      <c r="A612" s="2" t="inlineStr">
        <is>
          <t>69075</t>
        </is>
      </c>
      <c r="B612" s="2" t="inlineStr">
        <is>
          <t>Sicredi SNI</t>
        </is>
      </c>
      <c r="C612" s="2" t="inlineStr">
        <is>
          <t>19/06/2026</t>
        </is>
      </c>
      <c r="D612" s="2" t="inlineStr">
        <is>
          <t>19/06/2026</t>
        </is>
      </c>
      <c r="E612" s="2" t="inlineStr">
        <is>
          <t>PIX</t>
        </is>
      </c>
      <c r="F612" s="2" t="inlineStr">
        <is>
          <t>Boleto "61143" do cliente "MARIA SUELI DA SIILVA"</t>
        </is>
      </c>
      <c r="G612" s="2" t="inlineStr">
        <is>
          <t>system</t>
        </is>
      </c>
      <c r="H612" s="2" t="inlineStr">
        <is>
          <t>01.01.01 : Mensalidade</t>
        </is>
      </c>
      <c r="I612" s="3" t="n">
        <v>105</v>
      </c>
      <c r="J612" s="2" t="n"/>
      <c r="K612" s="2">
        <f>IF(H612="02.09 : Outras Saídas", IF(OR(ISNUMBER(SEARCH("CHEQUE COMPE SICREDI", F612)), ISNUMBER(SEARCH("aniversario", F612)), ISNUMBER(SEARCH("churrasco", F612)), ISNUMBER(SEARCH("bolo", F612)), ISNUMBER(SEARCH("SUPERMERCADO", F612))), "6.1 Despesas Administrativas (Pessoal)", IF(OR(ISNUMBER(SEARCH("DLKNET", F612)), ISNUMBER(SEARCH("TESTE", F612))), "6.1 Despesas Administrativas (Gerais)", IFERROR(VLOOKUP(H612, De_Para!A:B, 2, FALSE), "NÃO MAPEADO"))), IFERROR(VLOOKUP(H612, De_Para!A:B, 2, FALSE), "NÃO MAPEADO"))</f>
        <v/>
      </c>
    </row>
    <row r="613">
      <c r="A613" s="2" t="inlineStr">
        <is>
          <t>69074</t>
        </is>
      </c>
      <c r="B613" s="2" t="inlineStr">
        <is>
          <t>Sicredi SNI</t>
        </is>
      </c>
      <c r="C613" s="2" t="inlineStr">
        <is>
          <t>19/06/2026</t>
        </is>
      </c>
      <c r="D613" s="2" t="inlineStr">
        <is>
          <t>19/06/2026</t>
        </is>
      </c>
      <c r="E613" s="2" t="inlineStr">
        <is>
          <t>Dinheiro</t>
        </is>
      </c>
      <c r="F613" s="2" t="inlineStr">
        <is>
          <t>Boleto "63424" do cliente "GEOVANE LUIZ GONCALVES"</t>
        </is>
      </c>
      <c r="G613" s="2" t="inlineStr">
        <is>
          <t>system</t>
        </is>
      </c>
      <c r="H613" s="2" t="inlineStr">
        <is>
          <t>02.03.02.01 : Cobrança Bancaria</t>
        </is>
      </c>
      <c r="I613" s="2" t="n"/>
      <c r="J613" s="3" t="n">
        <v>-1.08</v>
      </c>
      <c r="K613" s="2">
        <f>IF(H613="02.09 : Outras Saídas", IF(OR(ISNUMBER(SEARCH("CHEQUE COMPE SICREDI", F613)), ISNUMBER(SEARCH("aniversario", F613)), ISNUMBER(SEARCH("churrasco", F613)), ISNUMBER(SEARCH("bolo", F613)), ISNUMBER(SEARCH("SUPERMERCADO", F613))), "6.1 Despesas Administrativas (Pessoal)", IF(OR(ISNUMBER(SEARCH("DLKNET", F613)), ISNUMBER(SEARCH("TESTE", F613))), "6.1 Despesas Administrativas (Gerais)", IFERROR(VLOOKUP(H613, De_Para!A:B, 2, FALSE), "NÃO MAPEADO"))), IFERROR(VLOOKUP(H613, De_Para!A:B, 2, FALSE), "NÃO MAPEADO"))</f>
        <v/>
      </c>
    </row>
    <row r="614">
      <c r="A614" s="2" t="inlineStr">
        <is>
          <t>69073</t>
        </is>
      </c>
      <c r="B614" s="2" t="inlineStr">
        <is>
          <t>Sicredi SNI</t>
        </is>
      </c>
      <c r="C614" s="2" t="inlineStr">
        <is>
          <t>19/06/2026</t>
        </is>
      </c>
      <c r="D614" s="2" t="inlineStr">
        <is>
          <t>19/06/2026</t>
        </is>
      </c>
      <c r="E614" s="2" t="inlineStr">
        <is>
          <t>Dinheiro</t>
        </is>
      </c>
      <c r="F614" s="2" t="inlineStr">
        <is>
          <t>Boleto "63424" do cliente "GEOVANE LUIZ GONCALVES"</t>
        </is>
      </c>
      <c r="G614" s="2" t="inlineStr">
        <is>
          <t>system</t>
        </is>
      </c>
      <c r="H614" s="2" t="inlineStr">
        <is>
          <t>01.03.01 : Mensalidade</t>
        </is>
      </c>
      <c r="I614" s="3" t="n">
        <v>105</v>
      </c>
      <c r="J614" s="2" t="n"/>
      <c r="K614" s="2">
        <f>IF(H614="02.09 : Outras Saídas", IF(OR(ISNUMBER(SEARCH("CHEQUE COMPE SICREDI", F614)), ISNUMBER(SEARCH("aniversario", F614)), ISNUMBER(SEARCH("churrasco", F614)), ISNUMBER(SEARCH("bolo", F614)), ISNUMBER(SEARCH("SUPERMERCADO", F614))), "6.1 Despesas Administrativas (Pessoal)", IF(OR(ISNUMBER(SEARCH("DLKNET", F614)), ISNUMBER(SEARCH("TESTE", F614))), "6.1 Despesas Administrativas (Gerais)", IFERROR(VLOOKUP(H614, De_Para!A:B, 2, FALSE), "NÃO MAPEADO"))), IFERROR(VLOOKUP(H614, De_Para!A:B, 2, FALSE), "NÃO MAPEADO"))</f>
        <v/>
      </c>
    </row>
    <row r="615">
      <c r="A615" s="2" t="inlineStr">
        <is>
          <t>69072</t>
        </is>
      </c>
      <c r="B615" s="2" t="inlineStr">
        <is>
          <t>Sicredi SNI</t>
        </is>
      </c>
      <c r="C615" s="2" t="inlineStr">
        <is>
          <t>19/06/2026</t>
        </is>
      </c>
      <c r="D615" s="2" t="inlineStr">
        <is>
          <t>19/06/2026</t>
        </is>
      </c>
      <c r="E615" s="2" t="inlineStr">
        <is>
          <t>Dinheiro</t>
        </is>
      </c>
      <c r="F615" s="2" t="inlineStr">
        <is>
          <t>Boleto "63414" do cliente "GELSON LUIZ GONCALVES"</t>
        </is>
      </c>
      <c r="G615" s="2" t="inlineStr">
        <is>
          <t>system</t>
        </is>
      </c>
      <c r="H615" s="2" t="inlineStr">
        <is>
          <t>02.03.02.01 : Cobrança Bancaria</t>
        </is>
      </c>
      <c r="I615" s="2" t="n"/>
      <c r="J615" s="3" t="n">
        <v>-1.08</v>
      </c>
      <c r="K615" s="2">
        <f>IF(H615="02.09 : Outras Saídas", IF(OR(ISNUMBER(SEARCH("CHEQUE COMPE SICREDI", F615)), ISNUMBER(SEARCH("aniversario", F615)), ISNUMBER(SEARCH("churrasco", F615)), ISNUMBER(SEARCH("bolo", F615)), ISNUMBER(SEARCH("SUPERMERCADO", F615))), "6.1 Despesas Administrativas (Pessoal)", IF(OR(ISNUMBER(SEARCH("DLKNET", F615)), ISNUMBER(SEARCH("TESTE", F615))), "6.1 Despesas Administrativas (Gerais)", IFERROR(VLOOKUP(H615, De_Para!A:B, 2, FALSE), "NÃO MAPEADO"))), IFERROR(VLOOKUP(H615, De_Para!A:B, 2, FALSE), "NÃO MAPEADO"))</f>
        <v/>
      </c>
    </row>
    <row r="616">
      <c r="A616" s="2" t="inlineStr">
        <is>
          <t>69071</t>
        </is>
      </c>
      <c r="B616" s="2" t="inlineStr">
        <is>
          <t>Sicredi SNI</t>
        </is>
      </c>
      <c r="C616" s="2" t="inlineStr">
        <is>
          <t>19/06/2026</t>
        </is>
      </c>
      <c r="D616" s="2" t="inlineStr">
        <is>
          <t>19/06/2026</t>
        </is>
      </c>
      <c r="E616" s="2" t="inlineStr">
        <is>
          <t>Dinheiro</t>
        </is>
      </c>
      <c r="F616" s="2" t="inlineStr">
        <is>
          <t>Boleto "63414" do cliente "GELSON LUIZ GONCALVES"</t>
        </is>
      </c>
      <c r="G616" s="2" t="inlineStr">
        <is>
          <t>system</t>
        </is>
      </c>
      <c r="H616" s="2" t="inlineStr">
        <is>
          <t>01.03.01 : Mensalidade</t>
        </is>
      </c>
      <c r="I616" s="3" t="n">
        <v>105</v>
      </c>
      <c r="J616" s="2" t="n"/>
      <c r="K616" s="2">
        <f>IF(H616="02.09 : Outras Saídas", IF(OR(ISNUMBER(SEARCH("CHEQUE COMPE SICREDI", F616)), ISNUMBER(SEARCH("aniversario", F616)), ISNUMBER(SEARCH("churrasco", F616)), ISNUMBER(SEARCH("bolo", F616)), ISNUMBER(SEARCH("SUPERMERCADO", F616))), "6.1 Despesas Administrativas (Pessoal)", IF(OR(ISNUMBER(SEARCH("DLKNET", F616)), ISNUMBER(SEARCH("TESTE", F616))), "6.1 Despesas Administrativas (Gerais)", IFERROR(VLOOKUP(H616, De_Para!A:B, 2, FALSE), "NÃO MAPEADO"))), IFERROR(VLOOKUP(H616, De_Para!A:B, 2, FALSE), "NÃO MAPEADO"))</f>
        <v/>
      </c>
    </row>
    <row r="617">
      <c r="A617" s="2" t="inlineStr">
        <is>
          <t>69070</t>
        </is>
      </c>
      <c r="B617" s="2" t="inlineStr">
        <is>
          <t>Sicoob</t>
        </is>
      </c>
      <c r="C617" s="2" t="inlineStr">
        <is>
          <t>19/06/2026</t>
        </is>
      </c>
      <c r="D617" s="2" t="inlineStr">
        <is>
          <t>19/06/2026</t>
        </is>
      </c>
      <c r="E617" s="2" t="inlineStr">
        <is>
          <t>Dinheiro</t>
        </is>
      </c>
      <c r="F617" s="2" t="inlineStr">
        <is>
          <t>Boleto "54780" do cliente "FRANCIELE LIMA"</t>
        </is>
      </c>
      <c r="G617" s="2" t="inlineStr">
        <is>
          <t>system</t>
        </is>
      </c>
      <c r="H617" s="2" t="inlineStr">
        <is>
          <t>02.03.02.01 : Cobrança Bancaria</t>
        </is>
      </c>
      <c r="I617" s="2" t="n"/>
      <c r="J617" s="3" t="n">
        <v>-0.88</v>
      </c>
      <c r="K617" s="2">
        <f>IF(H617="02.09 : Outras Saídas", IF(OR(ISNUMBER(SEARCH("CHEQUE COMPE SICREDI", F617)), ISNUMBER(SEARCH("aniversario", F617)), ISNUMBER(SEARCH("churrasco", F617)), ISNUMBER(SEARCH("bolo", F617)), ISNUMBER(SEARCH("SUPERMERCADO", F617))), "6.1 Despesas Administrativas (Pessoal)", IF(OR(ISNUMBER(SEARCH("DLKNET", F617)), ISNUMBER(SEARCH("TESTE", F617))), "6.1 Despesas Administrativas (Gerais)", IFERROR(VLOOKUP(H617, De_Para!A:B, 2, FALSE), "NÃO MAPEADO"))), IFERROR(VLOOKUP(H617, De_Para!A:B, 2, FALSE), "NÃO MAPEADO"))</f>
        <v/>
      </c>
    </row>
    <row r="618">
      <c r="A618" s="2" t="inlineStr">
        <is>
          <t>69069</t>
        </is>
      </c>
      <c r="B618" s="2" t="inlineStr">
        <is>
          <t>Sicoob</t>
        </is>
      </c>
      <c r="C618" s="2" t="inlineStr">
        <is>
          <t>19/06/2026</t>
        </is>
      </c>
      <c r="D618" s="2" t="inlineStr">
        <is>
          <t>19/06/2026</t>
        </is>
      </c>
      <c r="E618" s="2" t="inlineStr">
        <is>
          <t>Dinheiro</t>
        </is>
      </c>
      <c r="F618" s="2" t="inlineStr">
        <is>
          <t>Boleto "54780" do cliente "FRANCIELE LIMA"</t>
        </is>
      </c>
      <c r="G618" s="2" t="inlineStr">
        <is>
          <t>system</t>
        </is>
      </c>
      <c r="H618" s="2" t="inlineStr">
        <is>
          <t>01.01.01 : Mensalidade</t>
        </is>
      </c>
      <c r="I618" s="3" t="n">
        <v>80</v>
      </c>
      <c r="J618" s="2" t="n"/>
      <c r="K618" s="2">
        <f>IF(H618="02.09 : Outras Saídas", IF(OR(ISNUMBER(SEARCH("CHEQUE COMPE SICREDI", F618)), ISNUMBER(SEARCH("aniversario", F618)), ISNUMBER(SEARCH("churrasco", F618)), ISNUMBER(SEARCH("bolo", F618)), ISNUMBER(SEARCH("SUPERMERCADO", F618))), "6.1 Despesas Administrativas (Pessoal)", IF(OR(ISNUMBER(SEARCH("DLKNET", F618)), ISNUMBER(SEARCH("TESTE", F618))), "6.1 Despesas Administrativas (Gerais)", IFERROR(VLOOKUP(H618, De_Para!A:B, 2, FALSE), "NÃO MAPEADO"))), IFERROR(VLOOKUP(H618, De_Para!A:B, 2, FALSE), "NÃO MAPEADO"))</f>
        <v/>
      </c>
    </row>
    <row r="619">
      <c r="A619" s="2" t="inlineStr">
        <is>
          <t>69068</t>
        </is>
      </c>
      <c r="B619" s="2" t="inlineStr">
        <is>
          <t>Sicoob</t>
        </is>
      </c>
      <c r="C619" s="2" t="inlineStr">
        <is>
          <t>19/06/2026</t>
        </is>
      </c>
      <c r="D619" s="2" t="inlineStr">
        <is>
          <t>19/06/2026</t>
        </is>
      </c>
      <c r="E619" s="2" t="inlineStr">
        <is>
          <t>Dinheiro</t>
        </is>
      </c>
      <c r="F619" s="2" t="inlineStr">
        <is>
          <t>Boleto "65603" do cliente "CARLOS APARECIDO DA SILVA"</t>
        </is>
      </c>
      <c r="G619" s="2" t="inlineStr">
        <is>
          <t>system</t>
        </is>
      </c>
      <c r="H619" s="2" t="inlineStr">
        <is>
          <t>02.03.02.01 : Cobrança Bancaria</t>
        </is>
      </c>
      <c r="I619" s="2" t="n"/>
      <c r="J619" s="3" t="n">
        <v>-0.88</v>
      </c>
      <c r="K619" s="2">
        <f>IF(H619="02.09 : Outras Saídas", IF(OR(ISNUMBER(SEARCH("CHEQUE COMPE SICREDI", F619)), ISNUMBER(SEARCH("aniversario", F619)), ISNUMBER(SEARCH("churrasco", F619)), ISNUMBER(SEARCH("bolo", F619)), ISNUMBER(SEARCH("SUPERMERCADO", F619))), "6.1 Despesas Administrativas (Pessoal)", IF(OR(ISNUMBER(SEARCH("DLKNET", F619)), ISNUMBER(SEARCH("TESTE", F619))), "6.1 Despesas Administrativas (Gerais)", IFERROR(VLOOKUP(H619, De_Para!A:B, 2, FALSE), "NÃO MAPEADO"))), IFERROR(VLOOKUP(H619, De_Para!A:B, 2, FALSE), "NÃO MAPEADO"))</f>
        <v/>
      </c>
    </row>
    <row r="620">
      <c r="A620" s="2" t="inlineStr">
        <is>
          <t>69067</t>
        </is>
      </c>
      <c r="B620" s="2" t="inlineStr">
        <is>
          <t>Sicoob</t>
        </is>
      </c>
      <c r="C620" s="2" t="inlineStr">
        <is>
          <t>19/06/2026</t>
        </is>
      </c>
      <c r="D620" s="2" t="inlineStr">
        <is>
          <t>19/06/2026</t>
        </is>
      </c>
      <c r="E620" s="2" t="inlineStr">
        <is>
          <t>Dinheiro</t>
        </is>
      </c>
      <c r="F620" s="2" t="inlineStr">
        <is>
          <t>Boleto "65603" do cliente "CARLOS APARECIDO DA SILVA"</t>
        </is>
      </c>
      <c r="G620" s="2" t="inlineStr">
        <is>
          <t>system</t>
        </is>
      </c>
      <c r="H620" s="2" t="inlineStr">
        <is>
          <t>01.01.01 : Mensalidade</t>
        </is>
      </c>
      <c r="I620" s="3" t="n">
        <v>112.23</v>
      </c>
      <c r="J620" s="2" t="n"/>
      <c r="K620" s="2">
        <f>IF(H620="02.09 : Outras Saídas", IF(OR(ISNUMBER(SEARCH("CHEQUE COMPE SICREDI", F620)), ISNUMBER(SEARCH("aniversario", F620)), ISNUMBER(SEARCH("churrasco", F620)), ISNUMBER(SEARCH("bolo", F620)), ISNUMBER(SEARCH("SUPERMERCADO", F620))), "6.1 Despesas Administrativas (Pessoal)", IF(OR(ISNUMBER(SEARCH("DLKNET", F620)), ISNUMBER(SEARCH("TESTE", F620))), "6.1 Despesas Administrativas (Gerais)", IFERROR(VLOOKUP(H620, De_Para!A:B, 2, FALSE), "NÃO MAPEADO"))), IFERROR(VLOOKUP(H620, De_Para!A:B, 2, FALSE), "NÃO MAPEADO"))</f>
        <v/>
      </c>
    </row>
    <row r="621">
      <c r="A621" s="2" t="inlineStr">
        <is>
          <t>69066</t>
        </is>
      </c>
      <c r="B621" s="2" t="inlineStr">
        <is>
          <t>Sicoob</t>
        </is>
      </c>
      <c r="C621" s="2" t="inlineStr">
        <is>
          <t>19/06/2026</t>
        </is>
      </c>
      <c r="D621" s="2" t="inlineStr">
        <is>
          <t>19/06/2026</t>
        </is>
      </c>
      <c r="E621" s="2" t="inlineStr">
        <is>
          <t>Dinheiro</t>
        </is>
      </c>
      <c r="F621" s="2" t="inlineStr">
        <is>
          <t>Boleto "59258" do cliente "LUCIANO SEBASTIAO DE OLIVEIRA"</t>
        </is>
      </c>
      <c r="G621" s="2" t="inlineStr">
        <is>
          <t>system</t>
        </is>
      </c>
      <c r="H621" s="2" t="inlineStr">
        <is>
          <t>02.03.02.01 : Cobrança Bancaria</t>
        </is>
      </c>
      <c r="I621" s="2" t="n"/>
      <c r="J621" s="3" t="n">
        <v>-0.88</v>
      </c>
      <c r="K621" s="2">
        <f>IF(H621="02.09 : Outras Saídas", IF(OR(ISNUMBER(SEARCH("CHEQUE COMPE SICREDI", F621)), ISNUMBER(SEARCH("aniversario", F621)), ISNUMBER(SEARCH("churrasco", F621)), ISNUMBER(SEARCH("bolo", F621)), ISNUMBER(SEARCH("SUPERMERCADO", F621))), "6.1 Despesas Administrativas (Pessoal)", IF(OR(ISNUMBER(SEARCH("DLKNET", F621)), ISNUMBER(SEARCH("TESTE", F621))), "6.1 Despesas Administrativas (Gerais)", IFERROR(VLOOKUP(H621, De_Para!A:B, 2, FALSE), "NÃO MAPEADO"))), IFERROR(VLOOKUP(H621, De_Para!A:B, 2, FALSE), "NÃO MAPEADO"))</f>
        <v/>
      </c>
    </row>
    <row r="622">
      <c r="A622" s="2" t="inlineStr">
        <is>
          <t>69065</t>
        </is>
      </c>
      <c r="B622" s="2" t="inlineStr">
        <is>
          <t>Sicoob</t>
        </is>
      </c>
      <c r="C622" s="2" t="inlineStr">
        <is>
          <t>19/06/2026</t>
        </is>
      </c>
      <c r="D622" s="2" t="inlineStr">
        <is>
          <t>19/06/2026</t>
        </is>
      </c>
      <c r="E622" s="2" t="inlineStr">
        <is>
          <t>Dinheiro</t>
        </is>
      </c>
      <c r="F622" s="2" t="inlineStr">
        <is>
          <t>Boleto "59258" do cliente "LUCIANO SEBASTIAO DE OLIVEIRA"</t>
        </is>
      </c>
      <c r="G622" s="2" t="inlineStr">
        <is>
          <t>system</t>
        </is>
      </c>
      <c r="H622" s="2" t="inlineStr">
        <is>
          <t>01.01.01 : Mensalidade</t>
        </is>
      </c>
      <c r="I622" s="3" t="n">
        <v>110</v>
      </c>
      <c r="J622" s="2" t="n"/>
      <c r="K622" s="2">
        <f>IF(H622="02.09 : Outras Saídas", IF(OR(ISNUMBER(SEARCH("CHEQUE COMPE SICREDI", F622)), ISNUMBER(SEARCH("aniversario", F622)), ISNUMBER(SEARCH("churrasco", F622)), ISNUMBER(SEARCH("bolo", F622)), ISNUMBER(SEARCH("SUPERMERCADO", F622))), "6.1 Despesas Administrativas (Pessoal)", IF(OR(ISNUMBER(SEARCH("DLKNET", F622)), ISNUMBER(SEARCH("TESTE", F622))), "6.1 Despesas Administrativas (Gerais)", IFERROR(VLOOKUP(H622, De_Para!A:B, 2, FALSE), "NÃO MAPEADO"))), IFERROR(VLOOKUP(H622, De_Para!A:B, 2, FALSE), "NÃO MAPEADO"))</f>
        <v/>
      </c>
    </row>
    <row r="623">
      <c r="A623" s="2" t="inlineStr">
        <is>
          <t>69064</t>
        </is>
      </c>
      <c r="B623" s="2" t="inlineStr">
        <is>
          <t>Sicoob</t>
        </is>
      </c>
      <c r="C623" s="2" t="inlineStr">
        <is>
          <t>19/06/2026</t>
        </is>
      </c>
      <c r="D623" s="2" t="inlineStr">
        <is>
          <t>19/06/2026</t>
        </is>
      </c>
      <c r="E623" s="2" t="inlineStr">
        <is>
          <t>Dinheiro</t>
        </is>
      </c>
      <c r="F623" s="2" t="inlineStr">
        <is>
          <t>Boleto "59026" do cliente "ALMEIDA &amp; ALMEIDA LTDA"</t>
        </is>
      </c>
      <c r="G623" s="2" t="inlineStr">
        <is>
          <t>system</t>
        </is>
      </c>
      <c r="H623" s="2" t="inlineStr">
        <is>
          <t>02.03.02.01 : Cobrança Bancaria</t>
        </is>
      </c>
      <c r="I623" s="2" t="n"/>
      <c r="J623" s="3" t="n">
        <v>-0.88</v>
      </c>
      <c r="K623" s="2">
        <f>IF(H623="02.09 : Outras Saídas", IF(OR(ISNUMBER(SEARCH("CHEQUE COMPE SICREDI", F623)), ISNUMBER(SEARCH("aniversario", F623)), ISNUMBER(SEARCH("churrasco", F623)), ISNUMBER(SEARCH("bolo", F623)), ISNUMBER(SEARCH("SUPERMERCADO", F623))), "6.1 Despesas Administrativas (Pessoal)", IF(OR(ISNUMBER(SEARCH("DLKNET", F623)), ISNUMBER(SEARCH("TESTE", F623))), "6.1 Despesas Administrativas (Gerais)", IFERROR(VLOOKUP(H623, De_Para!A:B, 2, FALSE), "NÃO MAPEADO"))), IFERROR(VLOOKUP(H623, De_Para!A:B, 2, FALSE), "NÃO MAPEADO"))</f>
        <v/>
      </c>
    </row>
    <row r="624">
      <c r="A624" s="2" t="inlineStr">
        <is>
          <t>69063</t>
        </is>
      </c>
      <c r="B624" s="2" t="inlineStr">
        <is>
          <t>Sicoob</t>
        </is>
      </c>
      <c r="C624" s="2" t="inlineStr">
        <is>
          <t>19/06/2026</t>
        </is>
      </c>
      <c r="D624" s="2" t="inlineStr">
        <is>
          <t>19/06/2026</t>
        </is>
      </c>
      <c r="E624" s="2" t="inlineStr">
        <is>
          <t>Dinheiro</t>
        </is>
      </c>
      <c r="F624" s="2" t="inlineStr">
        <is>
          <t>Boleto "59026" do cliente "ALMEIDA &amp; ALMEIDA LTDA"</t>
        </is>
      </c>
      <c r="G624" s="2" t="inlineStr">
        <is>
          <t>system</t>
        </is>
      </c>
      <c r="H624" s="2" t="inlineStr">
        <is>
          <t>01.03.01 : Mensalidade</t>
        </is>
      </c>
      <c r="I624" s="3" t="n">
        <v>107.41</v>
      </c>
      <c r="J624" s="2" t="n"/>
      <c r="K624" s="2">
        <f>IF(H624="02.09 : Outras Saídas", IF(OR(ISNUMBER(SEARCH("CHEQUE COMPE SICREDI", F624)), ISNUMBER(SEARCH("aniversario", F624)), ISNUMBER(SEARCH("churrasco", F624)), ISNUMBER(SEARCH("bolo", F624)), ISNUMBER(SEARCH("SUPERMERCADO", F624))), "6.1 Despesas Administrativas (Pessoal)", IF(OR(ISNUMBER(SEARCH("DLKNET", F624)), ISNUMBER(SEARCH("TESTE", F624))), "6.1 Despesas Administrativas (Gerais)", IFERROR(VLOOKUP(H624, De_Para!A:B, 2, FALSE), "NÃO MAPEADO"))), IFERROR(VLOOKUP(H624, De_Para!A:B, 2, FALSE), "NÃO MAPEADO"))</f>
        <v/>
      </c>
    </row>
    <row r="625">
      <c r="A625" s="2" t="inlineStr">
        <is>
          <t>69062</t>
        </is>
      </c>
      <c r="B625" s="2" t="inlineStr">
        <is>
          <t>Sicoob</t>
        </is>
      </c>
      <c r="C625" s="2" t="inlineStr">
        <is>
          <t>19/06/2026</t>
        </is>
      </c>
      <c r="D625" s="2" t="inlineStr">
        <is>
          <t>19/06/2026</t>
        </is>
      </c>
      <c r="E625" s="2" t="inlineStr">
        <is>
          <t>Dinheiro</t>
        </is>
      </c>
      <c r="F625" s="2" t="inlineStr">
        <is>
          <t>Boleto "58711" do cliente "WESLEY HIROCHI MENDES SASSAKI"</t>
        </is>
      </c>
      <c r="G625" s="2" t="inlineStr">
        <is>
          <t>system</t>
        </is>
      </c>
      <c r="H625" s="2" t="inlineStr">
        <is>
          <t>02.03.02.01 : Cobrança Bancaria</t>
        </is>
      </c>
      <c r="I625" s="2" t="n"/>
      <c r="J625" s="3" t="n">
        <v>-0.88</v>
      </c>
      <c r="K625" s="2">
        <f>IF(H625="02.09 : Outras Saídas", IF(OR(ISNUMBER(SEARCH("CHEQUE COMPE SICREDI", F625)), ISNUMBER(SEARCH("aniversario", F625)), ISNUMBER(SEARCH("churrasco", F625)), ISNUMBER(SEARCH("bolo", F625)), ISNUMBER(SEARCH("SUPERMERCADO", F625))), "6.1 Despesas Administrativas (Pessoal)", IF(OR(ISNUMBER(SEARCH("DLKNET", F625)), ISNUMBER(SEARCH("TESTE", F625))), "6.1 Despesas Administrativas (Gerais)", IFERROR(VLOOKUP(H625, De_Para!A:B, 2, FALSE), "NÃO MAPEADO"))), IFERROR(VLOOKUP(H625, De_Para!A:B, 2, FALSE), "NÃO MAPEADO"))</f>
        <v/>
      </c>
    </row>
    <row r="626">
      <c r="A626" s="2" t="inlineStr">
        <is>
          <t>69061</t>
        </is>
      </c>
      <c r="B626" s="2" t="inlineStr">
        <is>
          <t>Sicoob</t>
        </is>
      </c>
      <c r="C626" s="2" t="inlineStr">
        <is>
          <t>19/06/2026</t>
        </is>
      </c>
      <c r="D626" s="2" t="inlineStr">
        <is>
          <t>19/06/2026</t>
        </is>
      </c>
      <c r="E626" s="2" t="inlineStr">
        <is>
          <t>Dinheiro</t>
        </is>
      </c>
      <c r="F626" s="2" t="inlineStr">
        <is>
          <t>Boleto "58711" do cliente "WESLEY HIROCHI MENDES SASSAKI"</t>
        </is>
      </c>
      <c r="G626" s="2" t="inlineStr">
        <is>
          <t>system</t>
        </is>
      </c>
      <c r="H626" s="2" t="inlineStr">
        <is>
          <t>01.01.01 : Mensalidade</t>
        </is>
      </c>
      <c r="I626" s="3" t="n">
        <v>81.84</v>
      </c>
      <c r="J626" s="2" t="n"/>
      <c r="K626" s="2">
        <f>IF(H626="02.09 : Outras Saídas", IF(OR(ISNUMBER(SEARCH("CHEQUE COMPE SICREDI", F626)), ISNUMBER(SEARCH("aniversario", F626)), ISNUMBER(SEARCH("churrasco", F626)), ISNUMBER(SEARCH("bolo", F626)), ISNUMBER(SEARCH("SUPERMERCADO", F626))), "6.1 Despesas Administrativas (Pessoal)", IF(OR(ISNUMBER(SEARCH("DLKNET", F626)), ISNUMBER(SEARCH("TESTE", F626))), "6.1 Despesas Administrativas (Gerais)", IFERROR(VLOOKUP(H626, De_Para!A:B, 2, FALSE), "NÃO MAPEADO"))), IFERROR(VLOOKUP(H626, De_Para!A:B, 2, FALSE), "NÃO MAPEADO"))</f>
        <v/>
      </c>
    </row>
    <row r="627">
      <c r="A627" s="2" t="inlineStr">
        <is>
          <t>69060</t>
        </is>
      </c>
      <c r="B627" s="2" t="inlineStr">
        <is>
          <t>Sicoob</t>
        </is>
      </c>
      <c r="C627" s="2" t="inlineStr">
        <is>
          <t>19/06/2026</t>
        </is>
      </c>
      <c r="D627" s="2" t="inlineStr">
        <is>
          <t>19/06/2026</t>
        </is>
      </c>
      <c r="E627" s="2" t="inlineStr">
        <is>
          <t>Dinheiro</t>
        </is>
      </c>
      <c r="F627" s="2" t="inlineStr">
        <is>
          <t>Boleto "57846" do cliente "MATEUS DE GOUVEIA"</t>
        </is>
      </c>
      <c r="G627" s="2" t="inlineStr">
        <is>
          <t>system</t>
        </is>
      </c>
      <c r="H627" s="2" t="inlineStr">
        <is>
          <t>02.03.02.01 : Cobrança Bancaria</t>
        </is>
      </c>
      <c r="I627" s="2" t="n"/>
      <c r="J627" s="3" t="n">
        <v>-0.88</v>
      </c>
      <c r="K627" s="2">
        <f>IF(H627="02.09 : Outras Saídas", IF(OR(ISNUMBER(SEARCH("CHEQUE COMPE SICREDI", F627)), ISNUMBER(SEARCH("aniversario", F627)), ISNUMBER(SEARCH("churrasco", F627)), ISNUMBER(SEARCH("bolo", F627)), ISNUMBER(SEARCH("SUPERMERCADO", F627))), "6.1 Despesas Administrativas (Pessoal)", IF(OR(ISNUMBER(SEARCH("DLKNET", F627)), ISNUMBER(SEARCH("TESTE", F627))), "6.1 Despesas Administrativas (Gerais)", IFERROR(VLOOKUP(H627, De_Para!A:B, 2, FALSE), "NÃO MAPEADO"))), IFERROR(VLOOKUP(H627, De_Para!A:B, 2, FALSE), "NÃO MAPEADO"))</f>
        <v/>
      </c>
    </row>
    <row r="628">
      <c r="A628" s="2" t="inlineStr">
        <is>
          <t>69059</t>
        </is>
      </c>
      <c r="B628" s="2" t="inlineStr">
        <is>
          <t>Sicoob</t>
        </is>
      </c>
      <c r="C628" s="2" t="inlineStr">
        <is>
          <t>19/06/2026</t>
        </is>
      </c>
      <c r="D628" s="2" t="inlineStr">
        <is>
          <t>19/06/2026</t>
        </is>
      </c>
      <c r="E628" s="2" t="inlineStr">
        <is>
          <t>Dinheiro</t>
        </is>
      </c>
      <c r="F628" s="2" t="inlineStr">
        <is>
          <t>Boleto "57846" do cliente "MATEUS DE GOUVEIA"</t>
        </is>
      </c>
      <c r="G628" s="2" t="inlineStr">
        <is>
          <t>system</t>
        </is>
      </c>
      <c r="H628" s="2" t="inlineStr">
        <is>
          <t>01.01.01 : Mensalidade</t>
        </is>
      </c>
      <c r="I628" s="3" t="n">
        <v>107.41</v>
      </c>
      <c r="J628" s="2" t="n"/>
      <c r="K628" s="2">
        <f>IF(H628="02.09 : Outras Saídas", IF(OR(ISNUMBER(SEARCH("CHEQUE COMPE SICREDI", F628)), ISNUMBER(SEARCH("aniversario", F628)), ISNUMBER(SEARCH("churrasco", F628)), ISNUMBER(SEARCH("bolo", F628)), ISNUMBER(SEARCH("SUPERMERCADO", F628))), "6.1 Despesas Administrativas (Pessoal)", IF(OR(ISNUMBER(SEARCH("DLKNET", F628)), ISNUMBER(SEARCH("TESTE", F628))), "6.1 Despesas Administrativas (Gerais)", IFERROR(VLOOKUP(H628, De_Para!A:B, 2, FALSE), "NÃO MAPEADO"))), IFERROR(VLOOKUP(H628, De_Para!A:B, 2, FALSE), "NÃO MAPEADO"))</f>
        <v/>
      </c>
    </row>
    <row r="629">
      <c r="A629" s="2" t="inlineStr">
        <is>
          <t>69058</t>
        </is>
      </c>
      <c r="B629" s="2" t="inlineStr">
        <is>
          <t>Sicredi SNI</t>
        </is>
      </c>
      <c r="C629" s="2" t="inlineStr">
        <is>
          <t>19/06/2026</t>
        </is>
      </c>
      <c r="D629" s="2" t="inlineStr">
        <is>
          <t>19/06/2026</t>
        </is>
      </c>
      <c r="E629" s="2" t="inlineStr">
        <is>
          <t>Dinheiro</t>
        </is>
      </c>
      <c r="F629" s="2" t="inlineStr">
        <is>
          <t>Boleto "67432" do cliente "MOISÉS LINDHOLM"</t>
        </is>
      </c>
      <c r="G629" s="2" t="inlineStr">
        <is>
          <t>system</t>
        </is>
      </c>
      <c r="H629" s="2" t="inlineStr">
        <is>
          <t>02.03.02.01 : Cobrança Bancaria</t>
        </is>
      </c>
      <c r="I629" s="2" t="n"/>
      <c r="J629" s="3" t="n">
        <v>-1.08</v>
      </c>
      <c r="K629" s="2">
        <f>IF(H629="02.09 : Outras Saídas", IF(OR(ISNUMBER(SEARCH("CHEQUE COMPE SICREDI", F629)), ISNUMBER(SEARCH("aniversario", F629)), ISNUMBER(SEARCH("churrasco", F629)), ISNUMBER(SEARCH("bolo", F629)), ISNUMBER(SEARCH("SUPERMERCADO", F629))), "6.1 Despesas Administrativas (Pessoal)", IF(OR(ISNUMBER(SEARCH("DLKNET", F629)), ISNUMBER(SEARCH("TESTE", F629))), "6.1 Despesas Administrativas (Gerais)", IFERROR(VLOOKUP(H629, De_Para!A:B, 2, FALSE), "NÃO MAPEADO"))), IFERROR(VLOOKUP(H629, De_Para!A:B, 2, FALSE), "NÃO MAPEADO"))</f>
        <v/>
      </c>
    </row>
    <row r="630">
      <c r="A630" s="2" t="inlineStr">
        <is>
          <t>69057</t>
        </is>
      </c>
      <c r="B630" s="2" t="inlineStr">
        <is>
          <t>Sicredi SNI</t>
        </is>
      </c>
      <c r="C630" s="2" t="inlineStr">
        <is>
          <t>19/06/2026</t>
        </is>
      </c>
      <c r="D630" s="2" t="inlineStr">
        <is>
          <t>19/06/2026</t>
        </is>
      </c>
      <c r="E630" s="2" t="inlineStr">
        <is>
          <t>Dinheiro</t>
        </is>
      </c>
      <c r="F630" s="2" t="inlineStr">
        <is>
          <t>Boleto "67432" do cliente "MOISÉS LINDHOLM"</t>
        </is>
      </c>
      <c r="G630" s="2" t="inlineStr">
        <is>
          <t>system</t>
        </is>
      </c>
      <c r="H630" s="2" t="inlineStr">
        <is>
          <t>01.01.01 : Mensalidade</t>
        </is>
      </c>
      <c r="I630" s="3" t="n">
        <v>104.9</v>
      </c>
      <c r="J630" s="2" t="n"/>
      <c r="K630" s="2">
        <f>IF(H630="02.09 : Outras Saídas", IF(OR(ISNUMBER(SEARCH("CHEQUE COMPE SICREDI", F630)), ISNUMBER(SEARCH("aniversario", F630)), ISNUMBER(SEARCH("churrasco", F630)), ISNUMBER(SEARCH("bolo", F630)), ISNUMBER(SEARCH("SUPERMERCADO", F630))), "6.1 Despesas Administrativas (Pessoal)", IF(OR(ISNUMBER(SEARCH("DLKNET", F630)), ISNUMBER(SEARCH("TESTE", F630))), "6.1 Despesas Administrativas (Gerais)", IFERROR(VLOOKUP(H630, De_Para!A:B, 2, FALSE), "NÃO MAPEADO"))), IFERROR(VLOOKUP(H630, De_Para!A:B, 2, FALSE), "NÃO MAPEADO"))</f>
        <v/>
      </c>
    </row>
    <row r="631">
      <c r="A631" s="2" t="inlineStr">
        <is>
          <t>69056</t>
        </is>
      </c>
      <c r="B631" s="2" t="inlineStr">
        <is>
          <t>Sicoob</t>
        </is>
      </c>
      <c r="C631" s="2" t="inlineStr">
        <is>
          <t>19/06/2026</t>
        </is>
      </c>
      <c r="D631" s="2" t="inlineStr">
        <is>
          <t>19/06/2026</t>
        </is>
      </c>
      <c r="E631" s="2" t="inlineStr">
        <is>
          <t>Dinheiro</t>
        </is>
      </c>
      <c r="F631" s="2" t="inlineStr">
        <is>
          <t>Boleto "72096" do cliente "SANDRA PAULA DE QUADROS DENIZ"</t>
        </is>
      </c>
      <c r="G631" s="2" t="inlineStr">
        <is>
          <t>system</t>
        </is>
      </c>
      <c r="H631" s="2" t="inlineStr">
        <is>
          <t>02.03.02.01 : Cobrança Bancaria</t>
        </is>
      </c>
      <c r="I631" s="2" t="n"/>
      <c r="J631" s="3" t="n">
        <v>-0.88</v>
      </c>
      <c r="K631" s="2">
        <f>IF(H631="02.09 : Outras Saídas", IF(OR(ISNUMBER(SEARCH("CHEQUE COMPE SICREDI", F631)), ISNUMBER(SEARCH("aniversario", F631)), ISNUMBER(SEARCH("churrasco", F631)), ISNUMBER(SEARCH("bolo", F631)), ISNUMBER(SEARCH("SUPERMERCADO", F631))), "6.1 Despesas Administrativas (Pessoal)", IF(OR(ISNUMBER(SEARCH("DLKNET", F631)), ISNUMBER(SEARCH("TESTE", F631))), "6.1 Despesas Administrativas (Gerais)", IFERROR(VLOOKUP(H631, De_Para!A:B, 2, FALSE), "NÃO MAPEADO"))), IFERROR(VLOOKUP(H631, De_Para!A:B, 2, FALSE), "NÃO MAPEADO"))</f>
        <v/>
      </c>
    </row>
    <row r="632">
      <c r="A632" s="2" t="inlineStr">
        <is>
          <t>69055</t>
        </is>
      </c>
      <c r="B632" s="2" t="inlineStr">
        <is>
          <t>Sicoob</t>
        </is>
      </c>
      <c r="C632" s="2" t="inlineStr">
        <is>
          <t>19/06/2026</t>
        </is>
      </c>
      <c r="D632" s="2" t="inlineStr">
        <is>
          <t>19/06/2026</t>
        </is>
      </c>
      <c r="E632" s="2" t="inlineStr">
        <is>
          <t>Dinheiro</t>
        </is>
      </c>
      <c r="F632" s="2" t="inlineStr">
        <is>
          <t>Boleto "72096" do cliente "SANDRA PAULA DE QUADROS DENIZ"</t>
        </is>
      </c>
      <c r="G632" s="2" t="inlineStr">
        <is>
          <t>system</t>
        </is>
      </c>
      <c r="H632" s="2" t="inlineStr">
        <is>
          <t>01.01.01 : Mensalidade</t>
        </is>
      </c>
      <c r="I632" s="3" t="n">
        <v>14.67</v>
      </c>
      <c r="J632" s="2" t="n"/>
      <c r="K632" s="2">
        <f>IF(H632="02.09 : Outras Saídas", IF(OR(ISNUMBER(SEARCH("CHEQUE COMPE SICREDI", F632)), ISNUMBER(SEARCH("aniversario", F632)), ISNUMBER(SEARCH("churrasco", F632)), ISNUMBER(SEARCH("bolo", F632)), ISNUMBER(SEARCH("SUPERMERCADO", F632))), "6.1 Despesas Administrativas (Pessoal)", IF(OR(ISNUMBER(SEARCH("DLKNET", F632)), ISNUMBER(SEARCH("TESTE", F632))), "6.1 Despesas Administrativas (Gerais)", IFERROR(VLOOKUP(H632, De_Para!A:B, 2, FALSE), "NÃO MAPEADO"))), IFERROR(VLOOKUP(H632, De_Para!A:B, 2, FALSE), "NÃO MAPEADO"))</f>
        <v/>
      </c>
    </row>
    <row r="633">
      <c r="A633" s="2" t="inlineStr">
        <is>
          <t>69054</t>
        </is>
      </c>
      <c r="B633" s="2" t="inlineStr">
        <is>
          <t>Sicoob</t>
        </is>
      </c>
      <c r="C633" s="2" t="inlineStr">
        <is>
          <t>19/06/2026</t>
        </is>
      </c>
      <c r="D633" s="2" t="inlineStr">
        <is>
          <t>19/06/2026</t>
        </is>
      </c>
      <c r="E633" s="2" t="inlineStr">
        <is>
          <t>Dinheiro</t>
        </is>
      </c>
      <c r="F633" s="2" t="inlineStr">
        <is>
          <t>Boleto "61079" do cliente "DANIEL INOCENCIO DE LIMA"</t>
        </is>
      </c>
      <c r="G633" s="2" t="inlineStr">
        <is>
          <t>system</t>
        </is>
      </c>
      <c r="H633" s="2" t="inlineStr">
        <is>
          <t>02.03.02.01 : Cobrança Bancaria</t>
        </is>
      </c>
      <c r="I633" s="2" t="n"/>
      <c r="J633" s="3" t="n">
        <v>-0.88</v>
      </c>
      <c r="K633" s="2">
        <f>IF(H633="02.09 : Outras Saídas", IF(OR(ISNUMBER(SEARCH("CHEQUE COMPE SICREDI", F633)), ISNUMBER(SEARCH("aniversario", F633)), ISNUMBER(SEARCH("churrasco", F633)), ISNUMBER(SEARCH("bolo", F633)), ISNUMBER(SEARCH("SUPERMERCADO", F633))), "6.1 Despesas Administrativas (Pessoal)", IF(OR(ISNUMBER(SEARCH("DLKNET", F633)), ISNUMBER(SEARCH("TESTE", F633))), "6.1 Despesas Administrativas (Gerais)", IFERROR(VLOOKUP(H633, De_Para!A:B, 2, FALSE), "NÃO MAPEADO"))), IFERROR(VLOOKUP(H633, De_Para!A:B, 2, FALSE), "NÃO MAPEADO"))</f>
        <v/>
      </c>
    </row>
    <row r="634">
      <c r="A634" s="2" t="inlineStr">
        <is>
          <t>69053</t>
        </is>
      </c>
      <c r="B634" s="2" t="inlineStr">
        <is>
          <t>Sicoob</t>
        </is>
      </c>
      <c r="C634" s="2" t="inlineStr">
        <is>
          <t>19/06/2026</t>
        </is>
      </c>
      <c r="D634" s="2" t="inlineStr">
        <is>
          <t>19/06/2026</t>
        </is>
      </c>
      <c r="E634" s="2" t="inlineStr">
        <is>
          <t>Dinheiro</t>
        </is>
      </c>
      <c r="F634" s="2" t="inlineStr">
        <is>
          <t>Boleto "61079" do cliente "DANIEL INOCENCIO DE LIMA"</t>
        </is>
      </c>
      <c r="G634" s="2" t="inlineStr">
        <is>
          <t>system</t>
        </is>
      </c>
      <c r="H634" s="2" t="inlineStr">
        <is>
          <t>01.01.01 : Mensalidade</t>
        </is>
      </c>
      <c r="I634" s="3" t="n">
        <v>105</v>
      </c>
      <c r="J634" s="2" t="n"/>
      <c r="K634" s="2">
        <f>IF(H634="02.09 : Outras Saídas", IF(OR(ISNUMBER(SEARCH("CHEQUE COMPE SICREDI", F634)), ISNUMBER(SEARCH("aniversario", F634)), ISNUMBER(SEARCH("churrasco", F634)), ISNUMBER(SEARCH("bolo", F634)), ISNUMBER(SEARCH("SUPERMERCADO", F634))), "6.1 Despesas Administrativas (Pessoal)", IF(OR(ISNUMBER(SEARCH("DLKNET", F634)), ISNUMBER(SEARCH("TESTE", F634))), "6.1 Despesas Administrativas (Gerais)", IFERROR(VLOOKUP(H634, De_Para!A:B, 2, FALSE), "NÃO MAPEADO"))), IFERROR(VLOOKUP(H634, De_Para!A:B, 2, FALSE), "NÃO MAPEADO"))</f>
        <v/>
      </c>
    </row>
    <row r="635">
      <c r="A635" s="2" t="inlineStr">
        <is>
          <t>69052</t>
        </is>
      </c>
      <c r="B635" s="2" t="inlineStr">
        <is>
          <t>Sicoob</t>
        </is>
      </c>
      <c r="C635" s="2" t="inlineStr">
        <is>
          <t>19/06/2026</t>
        </is>
      </c>
      <c r="D635" s="2" t="inlineStr">
        <is>
          <t>19/06/2026</t>
        </is>
      </c>
      <c r="E635" s="2" t="inlineStr">
        <is>
          <t>Dinheiro</t>
        </is>
      </c>
      <c r="F635" s="2" t="inlineStr">
        <is>
          <t>Boleto "54073" do cliente "ROSIMAR APARECIDA DOS SANTOS"</t>
        </is>
      </c>
      <c r="G635" s="2" t="inlineStr">
        <is>
          <t>system</t>
        </is>
      </c>
      <c r="H635" s="2" t="inlineStr">
        <is>
          <t>02.03.02.01 : Cobrança Bancaria</t>
        </is>
      </c>
      <c r="I635" s="2" t="n"/>
      <c r="J635" s="3" t="n">
        <v>-0.88</v>
      </c>
      <c r="K635" s="2">
        <f>IF(H635="02.09 : Outras Saídas", IF(OR(ISNUMBER(SEARCH("CHEQUE COMPE SICREDI", F635)), ISNUMBER(SEARCH("aniversario", F635)), ISNUMBER(SEARCH("churrasco", F635)), ISNUMBER(SEARCH("bolo", F635)), ISNUMBER(SEARCH("SUPERMERCADO", F635))), "6.1 Despesas Administrativas (Pessoal)", IF(OR(ISNUMBER(SEARCH("DLKNET", F635)), ISNUMBER(SEARCH("TESTE", F635))), "6.1 Despesas Administrativas (Gerais)", IFERROR(VLOOKUP(H635, De_Para!A:B, 2, FALSE), "NÃO MAPEADO"))), IFERROR(VLOOKUP(H635, De_Para!A:B, 2, FALSE), "NÃO MAPEADO"))</f>
        <v/>
      </c>
    </row>
    <row r="636">
      <c r="A636" s="2" t="inlineStr">
        <is>
          <t>69051</t>
        </is>
      </c>
      <c r="B636" s="2" t="inlineStr">
        <is>
          <t>Sicoob</t>
        </is>
      </c>
      <c r="C636" s="2" t="inlineStr">
        <is>
          <t>19/06/2026</t>
        </is>
      </c>
      <c r="D636" s="2" t="inlineStr">
        <is>
          <t>19/06/2026</t>
        </is>
      </c>
      <c r="E636" s="2" t="inlineStr">
        <is>
          <t>Dinheiro</t>
        </is>
      </c>
      <c r="F636" s="2" t="inlineStr">
        <is>
          <t>Boleto "54073" do cliente "ROSIMAR APARECIDA DOS SANTOS"</t>
        </is>
      </c>
      <c r="G636" s="2" t="inlineStr">
        <is>
          <t>system</t>
        </is>
      </c>
      <c r="H636" s="2" t="inlineStr">
        <is>
          <t>01.01.01 : Mensalidade</t>
        </is>
      </c>
      <c r="I636" s="3" t="n">
        <v>105</v>
      </c>
      <c r="J636" s="2" t="n"/>
      <c r="K636" s="2">
        <f>IF(H636="02.09 : Outras Saídas", IF(OR(ISNUMBER(SEARCH("CHEQUE COMPE SICREDI", F636)), ISNUMBER(SEARCH("aniversario", F636)), ISNUMBER(SEARCH("churrasco", F636)), ISNUMBER(SEARCH("bolo", F636)), ISNUMBER(SEARCH("SUPERMERCADO", F636))), "6.1 Despesas Administrativas (Pessoal)", IF(OR(ISNUMBER(SEARCH("DLKNET", F636)), ISNUMBER(SEARCH("TESTE", F636))), "6.1 Despesas Administrativas (Gerais)", IFERROR(VLOOKUP(H636, De_Para!A:B, 2, FALSE), "NÃO MAPEADO"))), IFERROR(VLOOKUP(H636, De_Para!A:B, 2, FALSE), "NÃO MAPEADO"))</f>
        <v/>
      </c>
    </row>
    <row r="637">
      <c r="A637" s="2" t="inlineStr">
        <is>
          <t>69050</t>
        </is>
      </c>
      <c r="B637" s="2" t="inlineStr">
        <is>
          <t>Sicredi SNI</t>
        </is>
      </c>
      <c r="C637" s="2" t="inlineStr">
        <is>
          <t>19/06/2026</t>
        </is>
      </c>
      <c r="D637" s="2" t="inlineStr">
        <is>
          <t>19/06/2026</t>
        </is>
      </c>
      <c r="E637" s="2" t="inlineStr">
        <is>
          <t>PIX</t>
        </is>
      </c>
      <c r="F637" s="2" t="inlineStr">
        <is>
          <t>Boleto "68195" do cliente "MICHELE BERNARDINO"</t>
        </is>
      </c>
      <c r="G637" s="2" t="inlineStr">
        <is>
          <t>clau</t>
        </is>
      </c>
      <c r="H637" s="2" t="inlineStr">
        <is>
          <t>01.01.01 : Mensalidade</t>
        </is>
      </c>
      <c r="I637" s="3" t="n">
        <v>98.95</v>
      </c>
      <c r="J637" s="2" t="n"/>
      <c r="K637" s="2">
        <f>IF(H637="02.09 : Outras Saídas", IF(OR(ISNUMBER(SEARCH("CHEQUE COMPE SICREDI", F637)), ISNUMBER(SEARCH("aniversario", F637)), ISNUMBER(SEARCH("churrasco", F637)), ISNUMBER(SEARCH("bolo", F637)), ISNUMBER(SEARCH("SUPERMERCADO", F637))), "6.1 Despesas Administrativas (Pessoal)", IF(OR(ISNUMBER(SEARCH("DLKNET", F637)), ISNUMBER(SEARCH("TESTE", F637))), "6.1 Despesas Administrativas (Gerais)", IFERROR(VLOOKUP(H637, De_Para!A:B, 2, FALSE), "NÃO MAPEADO"))), IFERROR(VLOOKUP(H637, De_Para!A:B, 2, FALSE), "NÃO MAPEADO"))</f>
        <v/>
      </c>
    </row>
    <row r="638">
      <c r="A638" s="2" t="inlineStr">
        <is>
          <t>69049</t>
        </is>
      </c>
      <c r="B638" s="2" t="inlineStr">
        <is>
          <t>Sicredi SNI</t>
        </is>
      </c>
      <c r="C638" s="2" t="inlineStr">
        <is>
          <t>19/06/2026</t>
        </is>
      </c>
      <c r="D638" s="2" t="inlineStr">
        <is>
          <t>19/06/2026</t>
        </is>
      </c>
      <c r="E638" s="2" t="inlineStr">
        <is>
          <t>Dinheiro</t>
        </is>
      </c>
      <c r="F638" s="2" t="inlineStr">
        <is>
          <t>Boleto "61042" do cliente "SERVIÇO DISTRITAL DE CONSELHEIRO ZACARIAS"</t>
        </is>
      </c>
      <c r="G638" s="2" t="inlineStr">
        <is>
          <t>system</t>
        </is>
      </c>
      <c r="H638" s="2" t="inlineStr">
        <is>
          <t>02.03.02.01 : Cobrança Bancaria</t>
        </is>
      </c>
      <c r="I638" s="2" t="n"/>
      <c r="J638" s="3" t="n">
        <v>-1.08</v>
      </c>
      <c r="K638" s="2">
        <f>IF(H638="02.09 : Outras Saídas", IF(OR(ISNUMBER(SEARCH("CHEQUE COMPE SICREDI", F638)), ISNUMBER(SEARCH("aniversario", F638)), ISNUMBER(SEARCH("churrasco", F638)), ISNUMBER(SEARCH("bolo", F638)), ISNUMBER(SEARCH("SUPERMERCADO", F638))), "6.1 Despesas Administrativas (Pessoal)", IF(OR(ISNUMBER(SEARCH("DLKNET", F638)), ISNUMBER(SEARCH("TESTE", F638))), "6.1 Despesas Administrativas (Gerais)", IFERROR(VLOOKUP(H638, De_Para!A:B, 2, FALSE), "NÃO MAPEADO"))), IFERROR(VLOOKUP(H638, De_Para!A:B, 2, FALSE), "NÃO MAPEADO"))</f>
        <v/>
      </c>
    </row>
    <row r="639">
      <c r="A639" s="2" t="inlineStr">
        <is>
          <t>69048</t>
        </is>
      </c>
      <c r="B639" s="2" t="inlineStr">
        <is>
          <t>Sicredi SNI</t>
        </is>
      </c>
      <c r="C639" s="2" t="inlineStr">
        <is>
          <t>19/06/2026</t>
        </is>
      </c>
      <c r="D639" s="2" t="inlineStr">
        <is>
          <t>19/06/2026</t>
        </is>
      </c>
      <c r="E639" s="2" t="inlineStr">
        <is>
          <t>Dinheiro</t>
        </is>
      </c>
      <c r="F639" s="2" t="inlineStr">
        <is>
          <t>Boleto "61042" do cliente "SERVIÇO DISTRITAL DE CONSELHEIRO ZACARIAS"</t>
        </is>
      </c>
      <c r="G639" s="2" t="inlineStr">
        <is>
          <t>system</t>
        </is>
      </c>
      <c r="H639" s="2" t="inlineStr">
        <is>
          <t>01.03.01 : Mensalidade</t>
        </is>
      </c>
      <c r="I639" s="3" t="n">
        <v>105</v>
      </c>
      <c r="J639" s="2" t="n"/>
      <c r="K639" s="2">
        <f>IF(H639="02.09 : Outras Saídas", IF(OR(ISNUMBER(SEARCH("CHEQUE COMPE SICREDI", F639)), ISNUMBER(SEARCH("aniversario", F639)), ISNUMBER(SEARCH("churrasco", F639)), ISNUMBER(SEARCH("bolo", F639)), ISNUMBER(SEARCH("SUPERMERCADO", F639))), "6.1 Despesas Administrativas (Pessoal)", IF(OR(ISNUMBER(SEARCH("DLKNET", F639)), ISNUMBER(SEARCH("TESTE", F639))), "6.1 Despesas Administrativas (Gerais)", IFERROR(VLOOKUP(H639, De_Para!A:B, 2, FALSE), "NÃO MAPEADO"))), IFERROR(VLOOKUP(H639, De_Para!A:B, 2, FALSE), "NÃO MAPEADO"))</f>
        <v/>
      </c>
    </row>
    <row r="640">
      <c r="A640" s="2" t="inlineStr">
        <is>
          <t>69047</t>
        </is>
      </c>
      <c r="B640" s="2" t="inlineStr">
        <is>
          <t>Sicredi SNI</t>
        </is>
      </c>
      <c r="C640" s="2" t="inlineStr">
        <is>
          <t>19/06/2026</t>
        </is>
      </c>
      <c r="D640" s="2" t="inlineStr">
        <is>
          <t>19/06/2026</t>
        </is>
      </c>
      <c r="E640" s="2" t="inlineStr">
        <is>
          <t>Dinheiro</t>
        </is>
      </c>
      <c r="F640" s="2" t="inlineStr">
        <is>
          <t>Boleto "54649" do cliente "LUCINEI APARECIDO BORGES DE CARVALHO"</t>
        </is>
      </c>
      <c r="G640" s="2" t="inlineStr">
        <is>
          <t>system</t>
        </is>
      </c>
      <c r="H640" s="2" t="inlineStr">
        <is>
          <t>02.03.02.01 : Cobrança Bancaria</t>
        </is>
      </c>
      <c r="I640" s="2" t="n"/>
      <c r="J640" s="3" t="n">
        <v>-1.08</v>
      </c>
      <c r="K640" s="2">
        <f>IF(H640="02.09 : Outras Saídas", IF(OR(ISNUMBER(SEARCH("CHEQUE COMPE SICREDI", F640)), ISNUMBER(SEARCH("aniversario", F640)), ISNUMBER(SEARCH("churrasco", F640)), ISNUMBER(SEARCH("bolo", F640)), ISNUMBER(SEARCH("SUPERMERCADO", F640))), "6.1 Despesas Administrativas (Pessoal)", IF(OR(ISNUMBER(SEARCH("DLKNET", F640)), ISNUMBER(SEARCH("TESTE", F640))), "6.1 Despesas Administrativas (Gerais)", IFERROR(VLOOKUP(H640, De_Para!A:B, 2, FALSE), "NÃO MAPEADO"))), IFERROR(VLOOKUP(H640, De_Para!A:B, 2, FALSE), "NÃO MAPEADO"))</f>
        <v/>
      </c>
    </row>
    <row r="641">
      <c r="A641" s="2" t="inlineStr">
        <is>
          <t>69046</t>
        </is>
      </c>
      <c r="B641" s="2" t="inlineStr">
        <is>
          <t>Sicredi SNI</t>
        </is>
      </c>
      <c r="C641" s="2" t="inlineStr">
        <is>
          <t>19/06/2026</t>
        </is>
      </c>
      <c r="D641" s="2" t="inlineStr">
        <is>
          <t>19/06/2026</t>
        </is>
      </c>
      <c r="E641" s="2" t="inlineStr">
        <is>
          <t>Dinheiro</t>
        </is>
      </c>
      <c r="F641" s="2" t="inlineStr">
        <is>
          <t>Boleto "54649" do cliente "LUCINEI APARECIDO BORGES DE CARVALHO"</t>
        </is>
      </c>
      <c r="G641" s="2" t="inlineStr">
        <is>
          <t>system</t>
        </is>
      </c>
      <c r="H641" s="2" t="inlineStr">
        <is>
          <t>01.01.01 : Mensalidade</t>
        </is>
      </c>
      <c r="I641" s="3" t="n">
        <v>100</v>
      </c>
      <c r="J641" s="2" t="n"/>
      <c r="K641" s="2">
        <f>IF(H641="02.09 : Outras Saídas", IF(OR(ISNUMBER(SEARCH("CHEQUE COMPE SICREDI", F641)), ISNUMBER(SEARCH("aniversario", F641)), ISNUMBER(SEARCH("churrasco", F641)), ISNUMBER(SEARCH("bolo", F641)), ISNUMBER(SEARCH("SUPERMERCADO", F641))), "6.1 Despesas Administrativas (Pessoal)", IF(OR(ISNUMBER(SEARCH("DLKNET", F641)), ISNUMBER(SEARCH("TESTE", F641))), "6.1 Despesas Administrativas (Gerais)", IFERROR(VLOOKUP(H641, De_Para!A:B, 2, FALSE), "NÃO MAPEADO"))), IFERROR(VLOOKUP(H641, De_Para!A:B, 2, FALSE), "NÃO MAPEADO"))</f>
        <v/>
      </c>
    </row>
    <row r="642">
      <c r="A642" s="2" t="inlineStr">
        <is>
          <t>69045</t>
        </is>
      </c>
      <c r="B642" s="2" t="inlineStr">
        <is>
          <t>Sicoob</t>
        </is>
      </c>
      <c r="C642" s="2" t="inlineStr">
        <is>
          <t>19/06/2026</t>
        </is>
      </c>
      <c r="D642" s="2" t="inlineStr">
        <is>
          <t>19/06/2026</t>
        </is>
      </c>
      <c r="E642" s="2" t="inlineStr">
        <is>
          <t>Dinheiro</t>
        </is>
      </c>
      <c r="F642" s="2" t="inlineStr">
        <is>
          <t>Boleto "64365" do cliente "DIOMEDES GONÇALVES DA CUNHA"</t>
        </is>
      </c>
      <c r="G642" s="2" t="inlineStr">
        <is>
          <t>system</t>
        </is>
      </c>
      <c r="H642" s="2" t="inlineStr">
        <is>
          <t>02.03.02.01 : Cobrança Bancaria</t>
        </is>
      </c>
      <c r="I642" s="2" t="n"/>
      <c r="J642" s="3" t="n">
        <v>-0.88</v>
      </c>
      <c r="K642" s="2">
        <f>IF(H642="02.09 : Outras Saídas", IF(OR(ISNUMBER(SEARCH("CHEQUE COMPE SICREDI", F642)), ISNUMBER(SEARCH("aniversario", F642)), ISNUMBER(SEARCH("churrasco", F642)), ISNUMBER(SEARCH("bolo", F642)), ISNUMBER(SEARCH("SUPERMERCADO", F642))), "6.1 Despesas Administrativas (Pessoal)", IF(OR(ISNUMBER(SEARCH("DLKNET", F642)), ISNUMBER(SEARCH("TESTE", F642))), "6.1 Despesas Administrativas (Gerais)", IFERROR(VLOOKUP(H642, De_Para!A:B, 2, FALSE), "NÃO MAPEADO"))), IFERROR(VLOOKUP(H642, De_Para!A:B, 2, FALSE), "NÃO MAPEADO"))</f>
        <v/>
      </c>
    </row>
    <row r="643">
      <c r="A643" s="2" t="inlineStr">
        <is>
          <t>69044</t>
        </is>
      </c>
      <c r="B643" s="2" t="inlineStr">
        <is>
          <t>Sicoob</t>
        </is>
      </c>
      <c r="C643" s="2" t="inlineStr">
        <is>
          <t>19/06/2026</t>
        </is>
      </c>
      <c r="D643" s="2" t="inlineStr">
        <is>
          <t>19/06/2026</t>
        </is>
      </c>
      <c r="E643" s="2" t="inlineStr">
        <is>
          <t>Dinheiro</t>
        </is>
      </c>
      <c r="F643" s="2" t="inlineStr">
        <is>
          <t>Boleto "64365" do cliente "DIOMEDES GONÇALVES DA CUNHA"</t>
        </is>
      </c>
      <c r="G643" s="2" t="inlineStr">
        <is>
          <t>system</t>
        </is>
      </c>
      <c r="H643" s="2" t="inlineStr">
        <is>
          <t>01.03.01 : Mensalidade</t>
        </is>
      </c>
      <c r="I643" s="3" t="n">
        <v>107.41</v>
      </c>
      <c r="J643" s="2" t="n"/>
      <c r="K643" s="2">
        <f>IF(H643="02.09 : Outras Saídas", IF(OR(ISNUMBER(SEARCH("CHEQUE COMPE SICREDI", F643)), ISNUMBER(SEARCH("aniversario", F643)), ISNUMBER(SEARCH("churrasco", F643)), ISNUMBER(SEARCH("bolo", F643)), ISNUMBER(SEARCH("SUPERMERCADO", F643))), "6.1 Despesas Administrativas (Pessoal)", IF(OR(ISNUMBER(SEARCH("DLKNET", F643)), ISNUMBER(SEARCH("TESTE", F643))), "6.1 Despesas Administrativas (Gerais)", IFERROR(VLOOKUP(H643, De_Para!A:B, 2, FALSE), "NÃO MAPEADO"))), IFERROR(VLOOKUP(H643, De_Para!A:B, 2, FALSE), "NÃO MAPEADO"))</f>
        <v/>
      </c>
    </row>
    <row r="644">
      <c r="A644" s="2" t="inlineStr">
        <is>
          <t>69043</t>
        </is>
      </c>
      <c r="B644" s="2" t="inlineStr">
        <is>
          <t>Sicoob</t>
        </is>
      </c>
      <c r="C644" s="2" t="inlineStr">
        <is>
          <t>19/06/2026</t>
        </is>
      </c>
      <c r="D644" s="2" t="inlineStr">
        <is>
          <t>19/06/2026</t>
        </is>
      </c>
      <c r="E644" s="2" t="inlineStr">
        <is>
          <t>Dinheiro</t>
        </is>
      </c>
      <c r="F644" s="2" t="inlineStr">
        <is>
          <t>Boleto "60264" do cliente "DANIEL MARIANO DA SILVA"</t>
        </is>
      </c>
      <c r="G644" s="2" t="inlineStr">
        <is>
          <t>system</t>
        </is>
      </c>
      <c r="H644" s="2" t="inlineStr">
        <is>
          <t>02.03.02.01 : Cobrança Bancaria</t>
        </is>
      </c>
      <c r="I644" s="2" t="n"/>
      <c r="J644" s="3" t="n">
        <v>-0.88</v>
      </c>
      <c r="K644" s="2">
        <f>IF(H644="02.09 : Outras Saídas", IF(OR(ISNUMBER(SEARCH("CHEQUE COMPE SICREDI", F644)), ISNUMBER(SEARCH("aniversario", F644)), ISNUMBER(SEARCH("churrasco", F644)), ISNUMBER(SEARCH("bolo", F644)), ISNUMBER(SEARCH("SUPERMERCADO", F644))), "6.1 Despesas Administrativas (Pessoal)", IF(OR(ISNUMBER(SEARCH("DLKNET", F644)), ISNUMBER(SEARCH("TESTE", F644))), "6.1 Despesas Administrativas (Gerais)", IFERROR(VLOOKUP(H644, De_Para!A:B, 2, FALSE), "NÃO MAPEADO"))), IFERROR(VLOOKUP(H644, De_Para!A:B, 2, FALSE), "NÃO MAPEADO"))</f>
        <v/>
      </c>
    </row>
    <row r="645">
      <c r="A645" s="2" t="inlineStr">
        <is>
          <t>69042</t>
        </is>
      </c>
      <c r="B645" s="2" t="inlineStr">
        <is>
          <t>Sicoob</t>
        </is>
      </c>
      <c r="C645" s="2" t="inlineStr">
        <is>
          <t>19/06/2026</t>
        </is>
      </c>
      <c r="D645" s="2" t="inlineStr">
        <is>
          <t>19/06/2026</t>
        </is>
      </c>
      <c r="E645" s="2" t="inlineStr">
        <is>
          <t>Dinheiro</t>
        </is>
      </c>
      <c r="F645" s="2" t="inlineStr">
        <is>
          <t>Boleto "60264" do cliente "DANIEL MARIANO DA SILVA"</t>
        </is>
      </c>
      <c r="G645" s="2" t="inlineStr">
        <is>
          <t>system</t>
        </is>
      </c>
      <c r="H645" s="2" t="inlineStr">
        <is>
          <t>01.01.01 : Mensalidade</t>
        </is>
      </c>
      <c r="I645" s="3" t="n">
        <v>102.13</v>
      </c>
      <c r="J645" s="2" t="n"/>
      <c r="K645" s="2">
        <f>IF(H645="02.09 : Outras Saídas", IF(OR(ISNUMBER(SEARCH("CHEQUE COMPE SICREDI", F645)), ISNUMBER(SEARCH("aniversario", F645)), ISNUMBER(SEARCH("churrasco", F645)), ISNUMBER(SEARCH("bolo", F645)), ISNUMBER(SEARCH("SUPERMERCADO", F645))), "6.1 Despesas Administrativas (Pessoal)", IF(OR(ISNUMBER(SEARCH("DLKNET", F645)), ISNUMBER(SEARCH("TESTE", F645))), "6.1 Despesas Administrativas (Gerais)", IFERROR(VLOOKUP(H645, De_Para!A:B, 2, FALSE), "NÃO MAPEADO"))), IFERROR(VLOOKUP(H645, De_Para!A:B, 2, FALSE), "NÃO MAPEADO"))</f>
        <v/>
      </c>
    </row>
    <row r="646">
      <c r="A646" s="2" t="inlineStr">
        <is>
          <t>69041</t>
        </is>
      </c>
      <c r="B646" s="2" t="inlineStr">
        <is>
          <t>Sicoob</t>
        </is>
      </c>
      <c r="C646" s="2" t="inlineStr">
        <is>
          <t>19/06/2026</t>
        </is>
      </c>
      <c r="D646" s="2" t="inlineStr">
        <is>
          <t>19/06/2026</t>
        </is>
      </c>
      <c r="E646" s="2" t="inlineStr">
        <is>
          <t>Dinheiro</t>
        </is>
      </c>
      <c r="F646" s="2" t="inlineStr">
        <is>
          <t>Boleto "58679" do cliente "JOSE CARLOS  DA SILVA JUNIOR"</t>
        </is>
      </c>
      <c r="G646" s="2" t="inlineStr">
        <is>
          <t>system</t>
        </is>
      </c>
      <c r="H646" s="2" t="inlineStr">
        <is>
          <t>02.03.02.01 : Cobrança Bancaria</t>
        </is>
      </c>
      <c r="I646" s="2" t="n"/>
      <c r="J646" s="3" t="n">
        <v>-0.88</v>
      </c>
      <c r="K646" s="2">
        <f>IF(H646="02.09 : Outras Saídas", IF(OR(ISNUMBER(SEARCH("CHEQUE COMPE SICREDI", F646)), ISNUMBER(SEARCH("aniversario", F646)), ISNUMBER(SEARCH("churrasco", F646)), ISNUMBER(SEARCH("bolo", F646)), ISNUMBER(SEARCH("SUPERMERCADO", F646))), "6.1 Despesas Administrativas (Pessoal)", IF(OR(ISNUMBER(SEARCH("DLKNET", F646)), ISNUMBER(SEARCH("TESTE", F646))), "6.1 Despesas Administrativas (Gerais)", IFERROR(VLOOKUP(H646, De_Para!A:B, 2, FALSE), "NÃO MAPEADO"))), IFERROR(VLOOKUP(H646, De_Para!A:B, 2, FALSE), "NÃO MAPEADO"))</f>
        <v/>
      </c>
    </row>
    <row r="647">
      <c r="A647" s="2" t="inlineStr">
        <is>
          <t>69040</t>
        </is>
      </c>
      <c r="B647" s="2" t="inlineStr">
        <is>
          <t>Sicoob</t>
        </is>
      </c>
      <c r="C647" s="2" t="inlineStr">
        <is>
          <t>19/06/2026</t>
        </is>
      </c>
      <c r="D647" s="2" t="inlineStr">
        <is>
          <t>19/06/2026</t>
        </is>
      </c>
      <c r="E647" s="2" t="inlineStr">
        <is>
          <t>Dinheiro</t>
        </is>
      </c>
      <c r="F647" s="2" t="inlineStr">
        <is>
          <t>Boleto "58679" do cliente "JOSE CARLOS  DA SILVA JUNIOR"</t>
        </is>
      </c>
      <c r="G647" s="2" t="inlineStr">
        <is>
          <t>system</t>
        </is>
      </c>
      <c r="H647" s="2" t="inlineStr">
        <is>
          <t>01.01.01 : Mensalidade</t>
        </is>
      </c>
      <c r="I647" s="3" t="n">
        <v>105</v>
      </c>
      <c r="J647" s="2" t="n"/>
      <c r="K647" s="2">
        <f>IF(H647="02.09 : Outras Saídas", IF(OR(ISNUMBER(SEARCH("CHEQUE COMPE SICREDI", F647)), ISNUMBER(SEARCH("aniversario", F647)), ISNUMBER(SEARCH("churrasco", F647)), ISNUMBER(SEARCH("bolo", F647)), ISNUMBER(SEARCH("SUPERMERCADO", F647))), "6.1 Despesas Administrativas (Pessoal)", IF(OR(ISNUMBER(SEARCH("DLKNET", F647)), ISNUMBER(SEARCH("TESTE", F647))), "6.1 Despesas Administrativas (Gerais)", IFERROR(VLOOKUP(H647, De_Para!A:B, 2, FALSE), "NÃO MAPEADO"))), IFERROR(VLOOKUP(H647, De_Para!A:B, 2, FALSE), "NÃO MAPEADO"))</f>
        <v/>
      </c>
    </row>
    <row r="648">
      <c r="A648" s="2" t="inlineStr">
        <is>
          <t>69039</t>
        </is>
      </c>
      <c r="B648" s="2" t="inlineStr">
        <is>
          <t>Sicoob</t>
        </is>
      </c>
      <c r="C648" s="2" t="inlineStr">
        <is>
          <t>19/06/2026</t>
        </is>
      </c>
      <c r="D648" s="2" t="inlineStr">
        <is>
          <t>19/06/2026</t>
        </is>
      </c>
      <c r="E648" s="2" t="inlineStr">
        <is>
          <t>Dinheiro</t>
        </is>
      </c>
      <c r="F648" s="2" t="inlineStr">
        <is>
          <t>Boleto "58782" do cliente "RODINELE RIBEIRO DO VALE"</t>
        </is>
      </c>
      <c r="G648" s="2" t="inlineStr">
        <is>
          <t>system</t>
        </is>
      </c>
      <c r="H648" s="2" t="inlineStr">
        <is>
          <t>02.03.02.01 : Cobrança Bancaria</t>
        </is>
      </c>
      <c r="I648" s="2" t="n"/>
      <c r="J648" s="3" t="n">
        <v>-0.88</v>
      </c>
      <c r="K648" s="2">
        <f>IF(H648="02.09 : Outras Saídas", IF(OR(ISNUMBER(SEARCH("CHEQUE COMPE SICREDI", F648)), ISNUMBER(SEARCH("aniversario", F648)), ISNUMBER(SEARCH("churrasco", F648)), ISNUMBER(SEARCH("bolo", F648)), ISNUMBER(SEARCH("SUPERMERCADO", F648))), "6.1 Despesas Administrativas (Pessoal)", IF(OR(ISNUMBER(SEARCH("DLKNET", F648)), ISNUMBER(SEARCH("TESTE", F648))), "6.1 Despesas Administrativas (Gerais)", IFERROR(VLOOKUP(H648, De_Para!A:B, 2, FALSE), "NÃO MAPEADO"))), IFERROR(VLOOKUP(H648, De_Para!A:B, 2, FALSE), "NÃO MAPEADO"))</f>
        <v/>
      </c>
    </row>
    <row r="649">
      <c r="A649" s="2" t="inlineStr">
        <is>
          <t>69038</t>
        </is>
      </c>
      <c r="B649" s="2" t="inlineStr">
        <is>
          <t>Sicoob</t>
        </is>
      </c>
      <c r="C649" s="2" t="inlineStr">
        <is>
          <t>19/06/2026</t>
        </is>
      </c>
      <c r="D649" s="2" t="inlineStr">
        <is>
          <t>19/06/2026</t>
        </is>
      </c>
      <c r="E649" s="2" t="inlineStr">
        <is>
          <t>Dinheiro</t>
        </is>
      </c>
      <c r="F649" s="2" t="inlineStr">
        <is>
          <t>Boleto "58782" do cliente "RODINELE RIBEIRO DO VALE"</t>
        </is>
      </c>
      <c r="G649" s="2" t="inlineStr">
        <is>
          <t>system</t>
        </is>
      </c>
      <c r="H649" s="2" t="inlineStr">
        <is>
          <t>01.01.01 : Mensalidade</t>
        </is>
      </c>
      <c r="I649" s="3" t="n">
        <v>107.41</v>
      </c>
      <c r="J649" s="2" t="n"/>
      <c r="K649" s="2">
        <f>IF(H649="02.09 : Outras Saídas", IF(OR(ISNUMBER(SEARCH("CHEQUE COMPE SICREDI", F649)), ISNUMBER(SEARCH("aniversario", F649)), ISNUMBER(SEARCH("churrasco", F649)), ISNUMBER(SEARCH("bolo", F649)), ISNUMBER(SEARCH("SUPERMERCADO", F649))), "6.1 Despesas Administrativas (Pessoal)", IF(OR(ISNUMBER(SEARCH("DLKNET", F649)), ISNUMBER(SEARCH("TESTE", F649))), "6.1 Despesas Administrativas (Gerais)", IFERROR(VLOOKUP(H649, De_Para!A:B, 2, FALSE), "NÃO MAPEADO"))), IFERROR(VLOOKUP(H649, De_Para!A:B, 2, FALSE), "NÃO MAPEADO"))</f>
        <v/>
      </c>
    </row>
    <row r="650">
      <c r="A650" s="2" t="inlineStr">
        <is>
          <t>69037</t>
        </is>
      </c>
      <c r="B650" s="2" t="inlineStr">
        <is>
          <t>Sicoob</t>
        </is>
      </c>
      <c r="C650" s="2" t="inlineStr">
        <is>
          <t>19/06/2026</t>
        </is>
      </c>
      <c r="D650" s="2" t="inlineStr">
        <is>
          <t>19/06/2026</t>
        </is>
      </c>
      <c r="E650" s="2" t="inlineStr">
        <is>
          <t>Dinheiro</t>
        </is>
      </c>
      <c r="F650" s="2" t="inlineStr">
        <is>
          <t>Boleto "58669" do cliente "JOEL NUNES"</t>
        </is>
      </c>
      <c r="G650" s="2" t="inlineStr">
        <is>
          <t>system</t>
        </is>
      </c>
      <c r="H650" s="2" t="inlineStr">
        <is>
          <t>02.03.02.01 : Cobrança Bancaria</t>
        </is>
      </c>
      <c r="I650" s="2" t="n"/>
      <c r="J650" s="3" t="n">
        <v>-0.88</v>
      </c>
      <c r="K650" s="2">
        <f>IF(H650="02.09 : Outras Saídas", IF(OR(ISNUMBER(SEARCH("CHEQUE COMPE SICREDI", F650)), ISNUMBER(SEARCH("aniversario", F650)), ISNUMBER(SEARCH("churrasco", F650)), ISNUMBER(SEARCH("bolo", F650)), ISNUMBER(SEARCH("SUPERMERCADO", F650))), "6.1 Despesas Administrativas (Pessoal)", IF(OR(ISNUMBER(SEARCH("DLKNET", F650)), ISNUMBER(SEARCH("TESTE", F650))), "6.1 Despesas Administrativas (Gerais)", IFERROR(VLOOKUP(H650, De_Para!A:B, 2, FALSE), "NÃO MAPEADO"))), IFERROR(VLOOKUP(H650, De_Para!A:B, 2, FALSE), "NÃO MAPEADO"))</f>
        <v/>
      </c>
    </row>
    <row r="651">
      <c r="A651" s="2" t="inlineStr">
        <is>
          <t>69036</t>
        </is>
      </c>
      <c r="B651" s="2" t="inlineStr">
        <is>
          <t>Sicoob</t>
        </is>
      </c>
      <c r="C651" s="2" t="inlineStr">
        <is>
          <t>19/06/2026</t>
        </is>
      </c>
      <c r="D651" s="2" t="inlineStr">
        <is>
          <t>19/06/2026</t>
        </is>
      </c>
      <c r="E651" s="2" t="inlineStr">
        <is>
          <t>Dinheiro</t>
        </is>
      </c>
      <c r="F651" s="2" t="inlineStr">
        <is>
          <t>Boleto "58669" do cliente "JOEL NUNES"</t>
        </is>
      </c>
      <c r="G651" s="2" t="inlineStr">
        <is>
          <t>system</t>
        </is>
      </c>
      <c r="H651" s="2" t="inlineStr">
        <is>
          <t>01.01.01 : Mensalidade</t>
        </is>
      </c>
      <c r="I651" s="3" t="n">
        <v>105</v>
      </c>
      <c r="J651" s="2" t="n"/>
      <c r="K651" s="2">
        <f>IF(H651="02.09 : Outras Saídas", IF(OR(ISNUMBER(SEARCH("CHEQUE COMPE SICREDI", F651)), ISNUMBER(SEARCH("aniversario", F651)), ISNUMBER(SEARCH("churrasco", F651)), ISNUMBER(SEARCH("bolo", F651)), ISNUMBER(SEARCH("SUPERMERCADO", F651))), "6.1 Despesas Administrativas (Pessoal)", IF(OR(ISNUMBER(SEARCH("DLKNET", F651)), ISNUMBER(SEARCH("TESTE", F651))), "6.1 Despesas Administrativas (Gerais)", IFERROR(VLOOKUP(H651, De_Para!A:B, 2, FALSE), "NÃO MAPEADO"))), IFERROR(VLOOKUP(H651, De_Para!A:B, 2, FALSE), "NÃO MAPEADO"))</f>
        <v/>
      </c>
    </row>
    <row r="652">
      <c r="A652" s="2" t="inlineStr">
        <is>
          <t>69035</t>
        </is>
      </c>
      <c r="B652" s="2" t="inlineStr">
        <is>
          <t>Sicoob</t>
        </is>
      </c>
      <c r="C652" s="2" t="inlineStr">
        <is>
          <t>19/06/2026</t>
        </is>
      </c>
      <c r="D652" s="2" t="inlineStr">
        <is>
          <t>19/06/2026</t>
        </is>
      </c>
      <c r="E652" s="2" t="inlineStr">
        <is>
          <t>Dinheiro</t>
        </is>
      </c>
      <c r="F652" s="2" t="inlineStr">
        <is>
          <t>Boleto "67163" do cliente "DANIEL INOCENCIO DA SILVA - BAR"</t>
        </is>
      </c>
      <c r="G652" s="2" t="inlineStr">
        <is>
          <t>system</t>
        </is>
      </c>
      <c r="H652" s="2" t="inlineStr">
        <is>
          <t>02.03.02.01 : Cobrança Bancaria</t>
        </is>
      </c>
      <c r="I652" s="2" t="n"/>
      <c r="J652" s="3" t="n">
        <v>-0.88</v>
      </c>
      <c r="K652" s="2">
        <f>IF(H652="02.09 : Outras Saídas", IF(OR(ISNUMBER(SEARCH("CHEQUE COMPE SICREDI", F652)), ISNUMBER(SEARCH("aniversario", F652)), ISNUMBER(SEARCH("churrasco", F652)), ISNUMBER(SEARCH("bolo", F652)), ISNUMBER(SEARCH("SUPERMERCADO", F652))), "6.1 Despesas Administrativas (Pessoal)", IF(OR(ISNUMBER(SEARCH("DLKNET", F652)), ISNUMBER(SEARCH("TESTE", F652))), "6.1 Despesas Administrativas (Gerais)", IFERROR(VLOOKUP(H652, De_Para!A:B, 2, FALSE), "NÃO MAPEADO"))), IFERROR(VLOOKUP(H652, De_Para!A:B, 2, FALSE), "NÃO MAPEADO"))</f>
        <v/>
      </c>
    </row>
    <row r="653">
      <c r="A653" s="2" t="inlineStr">
        <is>
          <t>69034</t>
        </is>
      </c>
      <c r="B653" s="2" t="inlineStr">
        <is>
          <t>Sicoob</t>
        </is>
      </c>
      <c r="C653" s="2" t="inlineStr">
        <is>
          <t>19/06/2026</t>
        </is>
      </c>
      <c r="D653" s="2" t="inlineStr">
        <is>
          <t>19/06/2026</t>
        </is>
      </c>
      <c r="E653" s="2" t="inlineStr">
        <is>
          <t>Dinheiro</t>
        </is>
      </c>
      <c r="F653" s="2" t="inlineStr">
        <is>
          <t>Boleto "67163" do cliente "DANIEL INOCENCIO DA SILVA - BAR"</t>
        </is>
      </c>
      <c r="G653" s="2" t="inlineStr">
        <is>
          <t>system</t>
        </is>
      </c>
      <c r="H653" s="2" t="inlineStr">
        <is>
          <t>01.01.01 : Mensalidade</t>
        </is>
      </c>
      <c r="I653" s="3" t="n">
        <v>52.45</v>
      </c>
      <c r="J653" s="2" t="n"/>
      <c r="K653" s="2">
        <f>IF(H653="02.09 : Outras Saídas", IF(OR(ISNUMBER(SEARCH("CHEQUE COMPE SICREDI", F653)), ISNUMBER(SEARCH("aniversario", F653)), ISNUMBER(SEARCH("churrasco", F653)), ISNUMBER(SEARCH("bolo", F653)), ISNUMBER(SEARCH("SUPERMERCADO", F653))), "6.1 Despesas Administrativas (Pessoal)", IF(OR(ISNUMBER(SEARCH("DLKNET", F653)), ISNUMBER(SEARCH("TESTE", F653))), "6.1 Despesas Administrativas (Gerais)", IFERROR(VLOOKUP(H653, De_Para!A:B, 2, FALSE), "NÃO MAPEADO"))), IFERROR(VLOOKUP(H653, De_Para!A:B, 2, FALSE), "NÃO MAPEADO"))</f>
        <v/>
      </c>
    </row>
    <row r="654">
      <c r="A654" s="2" t="inlineStr">
        <is>
          <t>69033</t>
        </is>
      </c>
      <c r="B654" s="2" t="inlineStr">
        <is>
          <t>Sicoob</t>
        </is>
      </c>
      <c r="C654" s="2" t="inlineStr">
        <is>
          <t>19/06/2026</t>
        </is>
      </c>
      <c r="D654" s="2" t="inlineStr">
        <is>
          <t>19/06/2026</t>
        </is>
      </c>
      <c r="E654" s="2" t="inlineStr">
        <is>
          <t>Dinheiro</t>
        </is>
      </c>
      <c r="F654" s="2" t="inlineStr">
        <is>
          <t>Boleto "65839" do cliente "VALDECI DA SILVA SOUZA"</t>
        </is>
      </c>
      <c r="G654" s="2" t="inlineStr">
        <is>
          <t>system</t>
        </is>
      </c>
      <c r="H654" s="2" t="inlineStr">
        <is>
          <t>02.03.02.01 : Cobrança Bancaria</t>
        </is>
      </c>
      <c r="I654" s="2" t="n"/>
      <c r="J654" s="3" t="n">
        <v>-0.88</v>
      </c>
      <c r="K654" s="2">
        <f>IF(H654="02.09 : Outras Saídas", IF(OR(ISNUMBER(SEARCH("CHEQUE COMPE SICREDI", F654)), ISNUMBER(SEARCH("aniversario", F654)), ISNUMBER(SEARCH("churrasco", F654)), ISNUMBER(SEARCH("bolo", F654)), ISNUMBER(SEARCH("SUPERMERCADO", F654))), "6.1 Despesas Administrativas (Pessoal)", IF(OR(ISNUMBER(SEARCH("DLKNET", F654)), ISNUMBER(SEARCH("TESTE", F654))), "6.1 Despesas Administrativas (Gerais)", IFERROR(VLOOKUP(H654, De_Para!A:B, 2, FALSE), "NÃO MAPEADO"))), IFERROR(VLOOKUP(H654, De_Para!A:B, 2, FALSE), "NÃO MAPEADO"))</f>
        <v/>
      </c>
    </row>
    <row r="655">
      <c r="A655" s="2" t="inlineStr">
        <is>
          <t>69032</t>
        </is>
      </c>
      <c r="B655" s="2" t="inlineStr">
        <is>
          <t>Sicoob</t>
        </is>
      </c>
      <c r="C655" s="2" t="inlineStr">
        <is>
          <t>19/06/2026</t>
        </is>
      </c>
      <c r="D655" s="2" t="inlineStr">
        <is>
          <t>19/06/2026</t>
        </is>
      </c>
      <c r="E655" s="2" t="inlineStr">
        <is>
          <t>Dinheiro</t>
        </is>
      </c>
      <c r="F655" s="2" t="inlineStr">
        <is>
          <t>Boleto "65839" do cliente "VALDECI DA SILVA SOUZA"</t>
        </is>
      </c>
      <c r="G655" s="2" t="inlineStr">
        <is>
          <t>system</t>
        </is>
      </c>
      <c r="H655" s="2" t="inlineStr">
        <is>
          <t>01.01.01 : Mensalidade</t>
        </is>
      </c>
      <c r="I655" s="3" t="n">
        <v>107.3</v>
      </c>
      <c r="J655" s="2" t="n"/>
      <c r="K655" s="2">
        <f>IF(H655="02.09 : Outras Saídas", IF(OR(ISNUMBER(SEARCH("CHEQUE COMPE SICREDI", F655)), ISNUMBER(SEARCH("aniversario", F655)), ISNUMBER(SEARCH("churrasco", F655)), ISNUMBER(SEARCH("bolo", F655)), ISNUMBER(SEARCH("SUPERMERCADO", F655))), "6.1 Despesas Administrativas (Pessoal)", IF(OR(ISNUMBER(SEARCH("DLKNET", F655)), ISNUMBER(SEARCH("TESTE", F655))), "6.1 Despesas Administrativas (Gerais)", IFERROR(VLOOKUP(H655, De_Para!A:B, 2, FALSE), "NÃO MAPEADO"))), IFERROR(VLOOKUP(H655, De_Para!A:B, 2, FALSE), "NÃO MAPEADO"))</f>
        <v/>
      </c>
    </row>
    <row r="656">
      <c r="A656" s="2" t="inlineStr">
        <is>
          <t>69031</t>
        </is>
      </c>
      <c r="B656" s="2" t="inlineStr">
        <is>
          <t>Sicredi SNI</t>
        </is>
      </c>
      <c r="C656" s="2" t="inlineStr">
        <is>
          <t>18/06/2026</t>
        </is>
      </c>
      <c r="D656" s="2" t="inlineStr">
        <is>
          <t>18/06/2026</t>
        </is>
      </c>
      <c r="E656" s="2" t="inlineStr">
        <is>
          <t>PIX</t>
        </is>
      </c>
      <c r="F656" s="2" t="inlineStr">
        <is>
          <t>Boleto "62318" do cliente "REINALDO SEBASTIÃO FERNANDES"</t>
        </is>
      </c>
      <c r="G656" s="2" t="inlineStr">
        <is>
          <t>system</t>
        </is>
      </c>
      <c r="H656" s="2" t="inlineStr">
        <is>
          <t>02.03.02.01 : Cobrança Bancaria</t>
        </is>
      </c>
      <c r="I656" s="2" t="n"/>
      <c r="J656" s="3" t="n">
        <v>-0.49</v>
      </c>
      <c r="K656" s="2">
        <f>IF(H656="02.09 : Outras Saídas", IF(OR(ISNUMBER(SEARCH("CHEQUE COMPE SICREDI", F656)), ISNUMBER(SEARCH("aniversario", F656)), ISNUMBER(SEARCH("churrasco", F656)), ISNUMBER(SEARCH("bolo", F656)), ISNUMBER(SEARCH("SUPERMERCADO", F656))), "6.1 Despesas Administrativas (Pessoal)", IF(OR(ISNUMBER(SEARCH("DLKNET", F656)), ISNUMBER(SEARCH("TESTE", F656))), "6.1 Despesas Administrativas (Gerais)", IFERROR(VLOOKUP(H656, De_Para!A:B, 2, FALSE), "NÃO MAPEADO"))), IFERROR(VLOOKUP(H656, De_Para!A:B, 2, FALSE), "NÃO MAPEADO"))</f>
        <v/>
      </c>
    </row>
    <row r="657">
      <c r="A657" s="2" t="inlineStr">
        <is>
          <t>69030</t>
        </is>
      </c>
      <c r="B657" s="2" t="inlineStr">
        <is>
          <t>Sicredi SNI</t>
        </is>
      </c>
      <c r="C657" s="2" t="inlineStr">
        <is>
          <t>18/06/2026</t>
        </is>
      </c>
      <c r="D657" s="2" t="inlineStr">
        <is>
          <t>18/06/2026</t>
        </is>
      </c>
      <c r="E657" s="2" t="inlineStr">
        <is>
          <t>PIX</t>
        </is>
      </c>
      <c r="F657" s="2" t="inlineStr">
        <is>
          <t>Boleto "62318" do cliente "REINALDO SEBASTIÃO FERNANDES"</t>
        </is>
      </c>
      <c r="G657" s="2" t="inlineStr">
        <is>
          <t>system</t>
        </is>
      </c>
      <c r="H657" s="2" t="inlineStr">
        <is>
          <t>01.01.01 : Mensalidade</t>
        </is>
      </c>
      <c r="I657" s="3" t="n">
        <v>107.2</v>
      </c>
      <c r="J657" s="2" t="n"/>
      <c r="K657" s="2">
        <f>IF(H657="02.09 : Outras Saídas", IF(OR(ISNUMBER(SEARCH("CHEQUE COMPE SICREDI", F657)), ISNUMBER(SEARCH("aniversario", F657)), ISNUMBER(SEARCH("churrasco", F657)), ISNUMBER(SEARCH("bolo", F657)), ISNUMBER(SEARCH("SUPERMERCADO", F657))), "6.1 Despesas Administrativas (Pessoal)", IF(OR(ISNUMBER(SEARCH("DLKNET", F657)), ISNUMBER(SEARCH("TESTE", F657))), "6.1 Despesas Administrativas (Gerais)", IFERROR(VLOOKUP(H657, De_Para!A:B, 2, FALSE), "NÃO MAPEADO"))), IFERROR(VLOOKUP(H657, De_Para!A:B, 2, FALSE), "NÃO MAPEADO"))</f>
        <v/>
      </c>
    </row>
    <row r="658">
      <c r="A658" s="2" t="inlineStr">
        <is>
          <t>69029</t>
        </is>
      </c>
      <c r="B658" s="2" t="inlineStr">
        <is>
          <t>Sicredi SNI</t>
        </is>
      </c>
      <c r="C658" s="2" t="inlineStr">
        <is>
          <t>18/06/2026</t>
        </is>
      </c>
      <c r="D658" s="2" t="inlineStr">
        <is>
          <t>18/06/2026</t>
        </is>
      </c>
      <c r="E658" s="2" t="inlineStr">
        <is>
          <t>PIX</t>
        </is>
      </c>
      <c r="F658" s="2" t="inlineStr">
        <is>
          <t>Boleto "58949" do cliente "LUIZ CARLOS WALCKER"</t>
        </is>
      </c>
      <c r="G658" s="2" t="inlineStr">
        <is>
          <t>system</t>
        </is>
      </c>
      <c r="H658" s="2" t="inlineStr">
        <is>
          <t>02.03.02.01 : Cobrança Bancaria</t>
        </is>
      </c>
      <c r="I658" s="2" t="n"/>
      <c r="J658" s="3" t="n">
        <v>-0.49</v>
      </c>
      <c r="K658" s="2">
        <f>IF(H658="02.09 : Outras Saídas", IF(OR(ISNUMBER(SEARCH("CHEQUE COMPE SICREDI", F658)), ISNUMBER(SEARCH("aniversario", F658)), ISNUMBER(SEARCH("churrasco", F658)), ISNUMBER(SEARCH("bolo", F658)), ISNUMBER(SEARCH("SUPERMERCADO", F658))), "6.1 Despesas Administrativas (Pessoal)", IF(OR(ISNUMBER(SEARCH("DLKNET", F658)), ISNUMBER(SEARCH("TESTE", F658))), "6.1 Despesas Administrativas (Gerais)", IFERROR(VLOOKUP(H658, De_Para!A:B, 2, FALSE), "NÃO MAPEADO"))), IFERROR(VLOOKUP(H658, De_Para!A:B, 2, FALSE), "NÃO MAPEADO"))</f>
        <v/>
      </c>
    </row>
    <row r="659">
      <c r="A659" s="2" t="inlineStr">
        <is>
          <t>69028</t>
        </is>
      </c>
      <c r="B659" s="2" t="inlineStr">
        <is>
          <t>Sicredi SNI</t>
        </is>
      </c>
      <c r="C659" s="2" t="inlineStr">
        <is>
          <t>18/06/2026</t>
        </is>
      </c>
      <c r="D659" s="2" t="inlineStr">
        <is>
          <t>18/06/2026</t>
        </is>
      </c>
      <c r="E659" s="2" t="inlineStr">
        <is>
          <t>PIX</t>
        </is>
      </c>
      <c r="F659" s="2" t="inlineStr">
        <is>
          <t>Boleto "58949" do cliente "LUIZ CARLOS WALCKER"</t>
        </is>
      </c>
      <c r="G659" s="2" t="inlineStr">
        <is>
          <t>system</t>
        </is>
      </c>
      <c r="H659" s="2" t="inlineStr">
        <is>
          <t>01.01.01 : Mensalidade</t>
        </is>
      </c>
      <c r="I659" s="3" t="n">
        <v>102.1</v>
      </c>
      <c r="J659" s="2" t="n"/>
      <c r="K659" s="2">
        <f>IF(H659="02.09 : Outras Saídas", IF(OR(ISNUMBER(SEARCH("CHEQUE COMPE SICREDI", F659)), ISNUMBER(SEARCH("aniversario", F659)), ISNUMBER(SEARCH("churrasco", F659)), ISNUMBER(SEARCH("bolo", F659)), ISNUMBER(SEARCH("SUPERMERCADO", F659))), "6.1 Despesas Administrativas (Pessoal)", IF(OR(ISNUMBER(SEARCH("DLKNET", F659)), ISNUMBER(SEARCH("TESTE", F659))), "6.1 Despesas Administrativas (Gerais)", IFERROR(VLOOKUP(H659, De_Para!A:B, 2, FALSE), "NÃO MAPEADO"))), IFERROR(VLOOKUP(H659, De_Para!A:B, 2, FALSE), "NÃO MAPEADO"))</f>
        <v/>
      </c>
    </row>
    <row r="660">
      <c r="A660" s="2" t="inlineStr">
        <is>
          <t>69027</t>
        </is>
      </c>
      <c r="B660" s="2" t="inlineStr">
        <is>
          <t>Sicredi SNI</t>
        </is>
      </c>
      <c r="C660" s="2" t="inlineStr">
        <is>
          <t>18/06/2026</t>
        </is>
      </c>
      <c r="D660" s="2" t="inlineStr">
        <is>
          <t>18/06/2026</t>
        </is>
      </c>
      <c r="E660" s="2" t="inlineStr">
        <is>
          <t>PIX</t>
        </is>
      </c>
      <c r="F660" s="2" t="inlineStr">
        <is>
          <t>Boleto "54559" do cliente "MAIKON DOUGLAS MARTINS"</t>
        </is>
      </c>
      <c r="G660" s="2" t="inlineStr">
        <is>
          <t>system</t>
        </is>
      </c>
      <c r="H660" s="2" t="inlineStr">
        <is>
          <t>02.03.02.01 : Cobrança Bancaria</t>
        </is>
      </c>
      <c r="I660" s="2" t="n"/>
      <c r="J660" s="3" t="n">
        <v>-0.49</v>
      </c>
      <c r="K660" s="2">
        <f>IF(H660="02.09 : Outras Saídas", IF(OR(ISNUMBER(SEARCH("CHEQUE COMPE SICREDI", F660)), ISNUMBER(SEARCH("aniversario", F660)), ISNUMBER(SEARCH("churrasco", F660)), ISNUMBER(SEARCH("bolo", F660)), ISNUMBER(SEARCH("SUPERMERCADO", F660))), "6.1 Despesas Administrativas (Pessoal)", IF(OR(ISNUMBER(SEARCH("DLKNET", F660)), ISNUMBER(SEARCH("TESTE", F660))), "6.1 Despesas Administrativas (Gerais)", IFERROR(VLOOKUP(H660, De_Para!A:B, 2, FALSE), "NÃO MAPEADO"))), IFERROR(VLOOKUP(H660, De_Para!A:B, 2, FALSE), "NÃO MAPEADO"))</f>
        <v/>
      </c>
    </row>
    <row r="661">
      <c r="A661" s="2" t="inlineStr">
        <is>
          <t>69026</t>
        </is>
      </c>
      <c r="B661" s="2" t="inlineStr">
        <is>
          <t>Sicredi SNI</t>
        </is>
      </c>
      <c r="C661" s="2" t="inlineStr">
        <is>
          <t>18/06/2026</t>
        </is>
      </c>
      <c r="D661" s="2" t="inlineStr">
        <is>
          <t>18/06/2026</t>
        </is>
      </c>
      <c r="E661" s="2" t="inlineStr">
        <is>
          <t>PIX</t>
        </is>
      </c>
      <c r="F661" s="2" t="inlineStr">
        <is>
          <t>Boleto "54559" do cliente "MAIKON DOUGLAS MARTINS"</t>
        </is>
      </c>
      <c r="G661" s="2" t="inlineStr">
        <is>
          <t>system</t>
        </is>
      </c>
      <c r="H661" s="2" t="inlineStr">
        <is>
          <t>01.01.01 : Mensalidade</t>
        </is>
      </c>
      <c r="I661" s="3" t="n">
        <v>100</v>
      </c>
      <c r="J661" s="2" t="n"/>
      <c r="K661" s="2">
        <f>IF(H661="02.09 : Outras Saídas", IF(OR(ISNUMBER(SEARCH("CHEQUE COMPE SICREDI", F661)), ISNUMBER(SEARCH("aniversario", F661)), ISNUMBER(SEARCH("churrasco", F661)), ISNUMBER(SEARCH("bolo", F661)), ISNUMBER(SEARCH("SUPERMERCADO", F661))), "6.1 Despesas Administrativas (Pessoal)", IF(OR(ISNUMBER(SEARCH("DLKNET", F661)), ISNUMBER(SEARCH("TESTE", F661))), "6.1 Despesas Administrativas (Gerais)", IFERROR(VLOOKUP(H661, De_Para!A:B, 2, FALSE), "NÃO MAPEADO"))), IFERROR(VLOOKUP(H661, De_Para!A:B, 2, FALSE), "NÃO MAPEADO"))</f>
        <v/>
      </c>
    </row>
    <row r="662">
      <c r="A662" s="2" t="inlineStr">
        <is>
          <t>69025</t>
        </is>
      </c>
      <c r="B662" s="2" t="inlineStr">
        <is>
          <t>Sicredi SNI</t>
        </is>
      </c>
      <c r="C662" s="2" t="inlineStr">
        <is>
          <t>18/06/2026</t>
        </is>
      </c>
      <c r="D662" s="2" t="inlineStr">
        <is>
          <t>18/06/2026</t>
        </is>
      </c>
      <c r="E662" s="2" t="inlineStr">
        <is>
          <t>PIX</t>
        </is>
      </c>
      <c r="F662" s="2" t="inlineStr">
        <is>
          <t>Boleto "59193" do cliente "FABIO JOSÉ DE FREITAS"</t>
        </is>
      </c>
      <c r="G662" s="2" t="inlineStr">
        <is>
          <t>system</t>
        </is>
      </c>
      <c r="H662" s="2" t="inlineStr">
        <is>
          <t>02.03.02.01 : Cobrança Bancaria</t>
        </is>
      </c>
      <c r="I662" s="2" t="n"/>
      <c r="J662" s="3" t="n">
        <v>-0.49</v>
      </c>
      <c r="K662" s="2">
        <f>IF(H662="02.09 : Outras Saídas", IF(OR(ISNUMBER(SEARCH("CHEQUE COMPE SICREDI", F662)), ISNUMBER(SEARCH("aniversario", F662)), ISNUMBER(SEARCH("churrasco", F662)), ISNUMBER(SEARCH("bolo", F662)), ISNUMBER(SEARCH("SUPERMERCADO", F662))), "6.1 Despesas Administrativas (Pessoal)", IF(OR(ISNUMBER(SEARCH("DLKNET", F662)), ISNUMBER(SEARCH("TESTE", F662))), "6.1 Despesas Administrativas (Gerais)", IFERROR(VLOOKUP(H662, De_Para!A:B, 2, FALSE), "NÃO MAPEADO"))), IFERROR(VLOOKUP(H662, De_Para!A:B, 2, FALSE), "NÃO MAPEADO"))</f>
        <v/>
      </c>
    </row>
    <row r="663">
      <c r="A663" s="2" t="inlineStr">
        <is>
          <t>69024</t>
        </is>
      </c>
      <c r="B663" s="2" t="inlineStr">
        <is>
          <t>Sicredi SNI</t>
        </is>
      </c>
      <c r="C663" s="2" t="inlineStr">
        <is>
          <t>18/06/2026</t>
        </is>
      </c>
      <c r="D663" s="2" t="inlineStr">
        <is>
          <t>18/06/2026</t>
        </is>
      </c>
      <c r="E663" s="2" t="inlineStr">
        <is>
          <t>PIX</t>
        </is>
      </c>
      <c r="F663" s="2" t="inlineStr">
        <is>
          <t>Boleto "59193" do cliente "FABIO JOSÉ DE FREITAS"</t>
        </is>
      </c>
      <c r="G663" s="2" t="inlineStr">
        <is>
          <t>system</t>
        </is>
      </c>
      <c r="H663" s="2" t="inlineStr">
        <is>
          <t>01.01.01 : Mensalidade</t>
        </is>
      </c>
      <c r="I663" s="3" t="n">
        <v>107.38</v>
      </c>
      <c r="J663" s="2" t="n"/>
      <c r="K663" s="2">
        <f>IF(H663="02.09 : Outras Saídas", IF(OR(ISNUMBER(SEARCH("CHEQUE COMPE SICREDI", F663)), ISNUMBER(SEARCH("aniversario", F663)), ISNUMBER(SEARCH("churrasco", F663)), ISNUMBER(SEARCH("bolo", F663)), ISNUMBER(SEARCH("SUPERMERCADO", F663))), "6.1 Despesas Administrativas (Pessoal)", IF(OR(ISNUMBER(SEARCH("DLKNET", F663)), ISNUMBER(SEARCH("TESTE", F663))), "6.1 Despesas Administrativas (Gerais)", IFERROR(VLOOKUP(H663, De_Para!A:B, 2, FALSE), "NÃO MAPEADO"))), IFERROR(VLOOKUP(H663, De_Para!A:B, 2, FALSE), "NÃO MAPEADO"))</f>
        <v/>
      </c>
    </row>
    <row r="664">
      <c r="A664" s="2" t="inlineStr">
        <is>
          <t>69023</t>
        </is>
      </c>
      <c r="B664" s="2" t="inlineStr">
        <is>
          <t>Sicoob</t>
        </is>
      </c>
      <c r="C664" s="2" t="inlineStr">
        <is>
          <t>18/06/2026</t>
        </is>
      </c>
      <c r="D664" s="2" t="inlineStr">
        <is>
          <t>18/06/2026</t>
        </is>
      </c>
      <c r="E664" s="2" t="inlineStr">
        <is>
          <t>Dinheiro</t>
        </is>
      </c>
      <c r="F664" s="2" t="inlineStr">
        <is>
          <t>Boleto "65828" do cliente "JOANA RODRIGUES LOPES"</t>
        </is>
      </c>
      <c r="G664" s="2" t="inlineStr">
        <is>
          <t>system</t>
        </is>
      </c>
      <c r="H664" s="2" t="inlineStr">
        <is>
          <t>02.03.02.01 : Cobrança Bancaria</t>
        </is>
      </c>
      <c r="I664" s="2" t="n"/>
      <c r="J664" s="3" t="n">
        <v>-0.88</v>
      </c>
      <c r="K664" s="2">
        <f>IF(H664="02.09 : Outras Saídas", IF(OR(ISNUMBER(SEARCH("CHEQUE COMPE SICREDI", F664)), ISNUMBER(SEARCH("aniversario", F664)), ISNUMBER(SEARCH("churrasco", F664)), ISNUMBER(SEARCH("bolo", F664)), ISNUMBER(SEARCH("SUPERMERCADO", F664))), "6.1 Despesas Administrativas (Pessoal)", IF(OR(ISNUMBER(SEARCH("DLKNET", F664)), ISNUMBER(SEARCH("TESTE", F664))), "6.1 Despesas Administrativas (Gerais)", IFERROR(VLOOKUP(H664, De_Para!A:B, 2, FALSE), "NÃO MAPEADO"))), IFERROR(VLOOKUP(H664, De_Para!A:B, 2, FALSE), "NÃO MAPEADO"))</f>
        <v/>
      </c>
    </row>
    <row r="665">
      <c r="A665" s="2" t="inlineStr">
        <is>
          <t>69022</t>
        </is>
      </c>
      <c r="B665" s="2" t="inlineStr">
        <is>
          <t>Sicoob</t>
        </is>
      </c>
      <c r="C665" s="2" t="inlineStr">
        <is>
          <t>18/06/2026</t>
        </is>
      </c>
      <c r="D665" s="2" t="inlineStr">
        <is>
          <t>18/06/2026</t>
        </is>
      </c>
      <c r="E665" s="2" t="inlineStr">
        <is>
          <t>Dinheiro</t>
        </is>
      </c>
      <c r="F665" s="2" t="inlineStr">
        <is>
          <t>Boleto "65828" do cliente "JOANA RODRIGUES LOPES"</t>
        </is>
      </c>
      <c r="G665" s="2" t="inlineStr">
        <is>
          <t>system</t>
        </is>
      </c>
      <c r="H665" s="2" t="inlineStr">
        <is>
          <t>01.01.01 : Mensalidade</t>
        </is>
      </c>
      <c r="I665" s="3" t="n">
        <v>112.38</v>
      </c>
      <c r="J665" s="2" t="n"/>
      <c r="K665" s="2">
        <f>IF(H665="02.09 : Outras Saídas", IF(OR(ISNUMBER(SEARCH("CHEQUE COMPE SICREDI", F665)), ISNUMBER(SEARCH("aniversario", F665)), ISNUMBER(SEARCH("churrasco", F665)), ISNUMBER(SEARCH("bolo", F665)), ISNUMBER(SEARCH("SUPERMERCADO", F665))), "6.1 Despesas Administrativas (Pessoal)", IF(OR(ISNUMBER(SEARCH("DLKNET", F665)), ISNUMBER(SEARCH("TESTE", F665))), "6.1 Despesas Administrativas (Gerais)", IFERROR(VLOOKUP(H665, De_Para!A:B, 2, FALSE), "NÃO MAPEADO"))), IFERROR(VLOOKUP(H665, De_Para!A:B, 2, FALSE), "NÃO MAPEADO"))</f>
        <v/>
      </c>
    </row>
    <row r="666">
      <c r="A666" s="2" t="inlineStr">
        <is>
          <t>69021</t>
        </is>
      </c>
      <c r="B666" s="2" t="inlineStr">
        <is>
          <t>Sicoob</t>
        </is>
      </c>
      <c r="C666" s="2" t="inlineStr">
        <is>
          <t>18/06/2026</t>
        </is>
      </c>
      <c r="D666" s="2" t="inlineStr">
        <is>
          <t>18/06/2026</t>
        </is>
      </c>
      <c r="E666" s="2" t="inlineStr">
        <is>
          <t>Dinheiro</t>
        </is>
      </c>
      <c r="F666" s="2" t="inlineStr">
        <is>
          <t>Boleto "65179" do cliente "PEDRO LUIZ CAVALHEIRO"</t>
        </is>
      </c>
      <c r="G666" s="2" t="inlineStr">
        <is>
          <t>system</t>
        </is>
      </c>
      <c r="H666" s="2" t="inlineStr">
        <is>
          <t>02.03.02.01 : Cobrança Bancaria</t>
        </is>
      </c>
      <c r="I666" s="2" t="n"/>
      <c r="J666" s="3" t="n">
        <v>-0.88</v>
      </c>
      <c r="K666" s="2">
        <f>IF(H666="02.09 : Outras Saídas", IF(OR(ISNUMBER(SEARCH("CHEQUE COMPE SICREDI", F666)), ISNUMBER(SEARCH("aniversario", F666)), ISNUMBER(SEARCH("churrasco", F666)), ISNUMBER(SEARCH("bolo", F666)), ISNUMBER(SEARCH("SUPERMERCADO", F666))), "6.1 Despesas Administrativas (Pessoal)", IF(OR(ISNUMBER(SEARCH("DLKNET", F666)), ISNUMBER(SEARCH("TESTE", F666))), "6.1 Despesas Administrativas (Gerais)", IFERROR(VLOOKUP(H666, De_Para!A:B, 2, FALSE), "NÃO MAPEADO"))), IFERROR(VLOOKUP(H666, De_Para!A:B, 2, FALSE), "NÃO MAPEADO"))</f>
        <v/>
      </c>
    </row>
    <row r="667">
      <c r="A667" s="2" t="inlineStr">
        <is>
          <t>69020</t>
        </is>
      </c>
      <c r="B667" s="2" t="inlineStr">
        <is>
          <t>Sicoob</t>
        </is>
      </c>
      <c r="C667" s="2" t="inlineStr">
        <is>
          <t>18/06/2026</t>
        </is>
      </c>
      <c r="D667" s="2" t="inlineStr">
        <is>
          <t>18/06/2026</t>
        </is>
      </c>
      <c r="E667" s="2" t="inlineStr">
        <is>
          <t>Dinheiro</t>
        </is>
      </c>
      <c r="F667" s="2" t="inlineStr">
        <is>
          <t>Boleto "65179" do cliente "PEDRO LUIZ CAVALHEIRO"</t>
        </is>
      </c>
      <c r="G667" s="2" t="inlineStr">
        <is>
          <t>system</t>
        </is>
      </c>
      <c r="H667" s="2" t="inlineStr">
        <is>
          <t>01.01.01 : Mensalidade</t>
        </is>
      </c>
      <c r="I667" s="3" t="n">
        <v>107.26</v>
      </c>
      <c r="J667" s="2" t="n"/>
      <c r="K667" s="2">
        <f>IF(H667="02.09 : Outras Saídas", IF(OR(ISNUMBER(SEARCH("CHEQUE COMPE SICREDI", F667)), ISNUMBER(SEARCH("aniversario", F667)), ISNUMBER(SEARCH("churrasco", F667)), ISNUMBER(SEARCH("bolo", F667)), ISNUMBER(SEARCH("SUPERMERCADO", F667))), "6.1 Despesas Administrativas (Pessoal)", IF(OR(ISNUMBER(SEARCH("DLKNET", F667)), ISNUMBER(SEARCH("TESTE", F667))), "6.1 Despesas Administrativas (Gerais)", IFERROR(VLOOKUP(H667, De_Para!A:B, 2, FALSE), "NÃO MAPEADO"))), IFERROR(VLOOKUP(H667, De_Para!A:B, 2, FALSE), "NÃO MAPEADO"))</f>
        <v/>
      </c>
    </row>
    <row r="668">
      <c r="A668" s="2" t="inlineStr">
        <is>
          <t>69019</t>
        </is>
      </c>
      <c r="B668" s="2" t="inlineStr">
        <is>
          <t>Sicoob</t>
        </is>
      </c>
      <c r="C668" s="2" t="inlineStr">
        <is>
          <t>18/06/2026</t>
        </is>
      </c>
      <c r="D668" s="2" t="inlineStr">
        <is>
          <t>18/06/2026</t>
        </is>
      </c>
      <c r="E668" s="2" t="inlineStr">
        <is>
          <t>Dinheiro</t>
        </is>
      </c>
      <c r="F668" s="2" t="inlineStr">
        <is>
          <t>Boleto "65933" do cliente "ADEJAIR PARMEZAN"</t>
        </is>
      </c>
      <c r="G668" s="2" t="inlineStr">
        <is>
          <t>system</t>
        </is>
      </c>
      <c r="H668" s="2" t="inlineStr">
        <is>
          <t>02.03.02.01 : Cobrança Bancaria</t>
        </is>
      </c>
      <c r="I668" s="2" t="n"/>
      <c r="J668" s="3" t="n">
        <v>-0.88</v>
      </c>
      <c r="K668" s="2">
        <f>IF(H668="02.09 : Outras Saídas", IF(OR(ISNUMBER(SEARCH("CHEQUE COMPE SICREDI", F668)), ISNUMBER(SEARCH("aniversario", F668)), ISNUMBER(SEARCH("churrasco", F668)), ISNUMBER(SEARCH("bolo", F668)), ISNUMBER(SEARCH("SUPERMERCADO", F668))), "6.1 Despesas Administrativas (Pessoal)", IF(OR(ISNUMBER(SEARCH("DLKNET", F668)), ISNUMBER(SEARCH("TESTE", F668))), "6.1 Despesas Administrativas (Gerais)", IFERROR(VLOOKUP(H668, De_Para!A:B, 2, FALSE), "NÃO MAPEADO"))), IFERROR(VLOOKUP(H668, De_Para!A:B, 2, FALSE), "NÃO MAPEADO"))</f>
        <v/>
      </c>
    </row>
    <row r="669">
      <c r="A669" s="2" t="inlineStr">
        <is>
          <t>69018</t>
        </is>
      </c>
      <c r="B669" s="2" t="inlineStr">
        <is>
          <t>Sicoob</t>
        </is>
      </c>
      <c r="C669" s="2" t="inlineStr">
        <is>
          <t>18/06/2026</t>
        </is>
      </c>
      <c r="D669" s="2" t="inlineStr">
        <is>
          <t>18/06/2026</t>
        </is>
      </c>
      <c r="E669" s="2" t="inlineStr">
        <is>
          <t>Dinheiro</t>
        </is>
      </c>
      <c r="F669" s="2" t="inlineStr">
        <is>
          <t>Boleto "65933" do cliente "ADEJAIR PARMEZAN"</t>
        </is>
      </c>
      <c r="G669" s="2" t="inlineStr">
        <is>
          <t>system</t>
        </is>
      </c>
      <c r="H669" s="2" t="inlineStr">
        <is>
          <t>01.01.01 : Mensalidade</t>
        </is>
      </c>
      <c r="I669" s="3" t="n">
        <v>99.90000000000001</v>
      </c>
      <c r="J669" s="2" t="n"/>
      <c r="K669" s="2">
        <f>IF(H669="02.09 : Outras Saídas", IF(OR(ISNUMBER(SEARCH("CHEQUE COMPE SICREDI", F669)), ISNUMBER(SEARCH("aniversario", F669)), ISNUMBER(SEARCH("churrasco", F669)), ISNUMBER(SEARCH("bolo", F669)), ISNUMBER(SEARCH("SUPERMERCADO", F669))), "6.1 Despesas Administrativas (Pessoal)", IF(OR(ISNUMBER(SEARCH("DLKNET", F669)), ISNUMBER(SEARCH("TESTE", F669))), "6.1 Despesas Administrativas (Gerais)", IFERROR(VLOOKUP(H669, De_Para!A:B, 2, FALSE), "NÃO MAPEADO"))), IFERROR(VLOOKUP(H669, De_Para!A:B, 2, FALSE), "NÃO MAPEADO"))</f>
        <v/>
      </c>
    </row>
    <row r="670">
      <c r="A670" s="2" t="inlineStr">
        <is>
          <t>69017</t>
        </is>
      </c>
      <c r="B670" s="2" t="inlineStr">
        <is>
          <t>Sicredi SNI</t>
        </is>
      </c>
      <c r="C670" s="2" t="inlineStr">
        <is>
          <t>18/06/2026</t>
        </is>
      </c>
      <c r="D670" s="2" t="inlineStr">
        <is>
          <t>18/06/2026</t>
        </is>
      </c>
      <c r="E670" s="2" t="inlineStr">
        <is>
          <t>Dinheiro</t>
        </is>
      </c>
      <c r="F670" s="2" t="inlineStr">
        <is>
          <t>Boleto "63444" do cliente "JOSE LEONEL CORREA"</t>
        </is>
      </c>
      <c r="G670" s="2" t="inlineStr">
        <is>
          <t>system</t>
        </is>
      </c>
      <c r="H670" s="2" t="inlineStr">
        <is>
          <t>02.03.02.01 : Cobrança Bancaria</t>
        </is>
      </c>
      <c r="I670" s="2" t="n"/>
      <c r="J670" s="3" t="n">
        <v>-1.08</v>
      </c>
      <c r="K670" s="2">
        <f>IF(H670="02.09 : Outras Saídas", IF(OR(ISNUMBER(SEARCH("CHEQUE COMPE SICREDI", F670)), ISNUMBER(SEARCH("aniversario", F670)), ISNUMBER(SEARCH("churrasco", F670)), ISNUMBER(SEARCH("bolo", F670)), ISNUMBER(SEARCH("SUPERMERCADO", F670))), "6.1 Despesas Administrativas (Pessoal)", IF(OR(ISNUMBER(SEARCH("DLKNET", F670)), ISNUMBER(SEARCH("TESTE", F670))), "6.1 Despesas Administrativas (Gerais)", IFERROR(VLOOKUP(H670, De_Para!A:B, 2, FALSE), "NÃO MAPEADO"))), IFERROR(VLOOKUP(H670, De_Para!A:B, 2, FALSE), "NÃO MAPEADO"))</f>
        <v/>
      </c>
    </row>
    <row r="671">
      <c r="A671" s="2" t="inlineStr">
        <is>
          <t>69016</t>
        </is>
      </c>
      <c r="B671" s="2" t="inlineStr">
        <is>
          <t>Sicredi SNI</t>
        </is>
      </c>
      <c r="C671" s="2" t="inlineStr">
        <is>
          <t>18/06/2026</t>
        </is>
      </c>
      <c r="D671" s="2" t="inlineStr">
        <is>
          <t>18/06/2026</t>
        </is>
      </c>
      <c r="E671" s="2" t="inlineStr">
        <is>
          <t>Dinheiro</t>
        </is>
      </c>
      <c r="F671" s="2" t="inlineStr">
        <is>
          <t>Boleto "63444" do cliente "JOSE LEONEL CORREA"</t>
        </is>
      </c>
      <c r="G671" s="2" t="inlineStr">
        <is>
          <t>system</t>
        </is>
      </c>
      <c r="H671" s="2" t="inlineStr">
        <is>
          <t>01.01.01 : Mensalidade</t>
        </is>
      </c>
      <c r="I671" s="3" t="n">
        <v>99.90000000000001</v>
      </c>
      <c r="J671" s="2" t="n"/>
      <c r="K671" s="2">
        <f>IF(H671="02.09 : Outras Saídas", IF(OR(ISNUMBER(SEARCH("CHEQUE COMPE SICREDI", F671)), ISNUMBER(SEARCH("aniversario", F671)), ISNUMBER(SEARCH("churrasco", F671)), ISNUMBER(SEARCH("bolo", F671)), ISNUMBER(SEARCH("SUPERMERCADO", F671))), "6.1 Despesas Administrativas (Pessoal)", IF(OR(ISNUMBER(SEARCH("DLKNET", F671)), ISNUMBER(SEARCH("TESTE", F671))), "6.1 Despesas Administrativas (Gerais)", IFERROR(VLOOKUP(H671, De_Para!A:B, 2, FALSE), "NÃO MAPEADO"))), IFERROR(VLOOKUP(H671, De_Para!A:B, 2, FALSE), "NÃO MAPEADO"))</f>
        <v/>
      </c>
    </row>
    <row r="672">
      <c r="A672" s="2" t="inlineStr">
        <is>
          <t>69015</t>
        </is>
      </c>
      <c r="B672" s="2" t="inlineStr">
        <is>
          <t>Sicredi SNI</t>
        </is>
      </c>
      <c r="C672" s="2" t="inlineStr">
        <is>
          <t>18/06/2026</t>
        </is>
      </c>
      <c r="D672" s="2" t="inlineStr">
        <is>
          <t>18/06/2026</t>
        </is>
      </c>
      <c r="E672" s="2" t="inlineStr">
        <is>
          <t>Dinheiro</t>
        </is>
      </c>
      <c r="F672" s="2" t="inlineStr">
        <is>
          <t>Boleto "60931" do cliente "REIMI MARTINS VIEIRA"</t>
        </is>
      </c>
      <c r="G672" s="2" t="inlineStr">
        <is>
          <t>system</t>
        </is>
      </c>
      <c r="H672" s="2" t="inlineStr">
        <is>
          <t>02.03.02.01 : Cobrança Bancaria</t>
        </is>
      </c>
      <c r="I672" s="2" t="n"/>
      <c r="J672" s="3" t="n">
        <v>-1.08</v>
      </c>
      <c r="K672" s="2">
        <f>IF(H672="02.09 : Outras Saídas", IF(OR(ISNUMBER(SEARCH("CHEQUE COMPE SICREDI", F672)), ISNUMBER(SEARCH("aniversario", F672)), ISNUMBER(SEARCH("churrasco", F672)), ISNUMBER(SEARCH("bolo", F672)), ISNUMBER(SEARCH("SUPERMERCADO", F672))), "6.1 Despesas Administrativas (Pessoal)", IF(OR(ISNUMBER(SEARCH("DLKNET", F672)), ISNUMBER(SEARCH("TESTE", F672))), "6.1 Despesas Administrativas (Gerais)", IFERROR(VLOOKUP(H672, De_Para!A:B, 2, FALSE), "NÃO MAPEADO"))), IFERROR(VLOOKUP(H672, De_Para!A:B, 2, FALSE), "NÃO MAPEADO"))</f>
        <v/>
      </c>
    </row>
    <row r="673">
      <c r="A673" s="2" t="inlineStr">
        <is>
          <t>69014</t>
        </is>
      </c>
      <c r="B673" s="2" t="inlineStr">
        <is>
          <t>Sicredi SNI</t>
        </is>
      </c>
      <c r="C673" s="2" t="inlineStr">
        <is>
          <t>18/06/2026</t>
        </is>
      </c>
      <c r="D673" s="2" t="inlineStr">
        <is>
          <t>18/06/2026</t>
        </is>
      </c>
      <c r="E673" s="2" t="inlineStr">
        <is>
          <t>Dinheiro</t>
        </is>
      </c>
      <c r="F673" s="2" t="inlineStr">
        <is>
          <t>Boleto "60931" do cliente "REIMI MARTINS VIEIRA"</t>
        </is>
      </c>
      <c r="G673" s="2" t="inlineStr">
        <is>
          <t>system</t>
        </is>
      </c>
      <c r="H673" s="2" t="inlineStr">
        <is>
          <t>01.01.01 : Mensalidade</t>
        </is>
      </c>
      <c r="I673" s="3" t="n">
        <v>105</v>
      </c>
      <c r="J673" s="2" t="n"/>
      <c r="K673" s="2">
        <f>IF(H673="02.09 : Outras Saídas", IF(OR(ISNUMBER(SEARCH("CHEQUE COMPE SICREDI", F673)), ISNUMBER(SEARCH("aniversario", F673)), ISNUMBER(SEARCH("churrasco", F673)), ISNUMBER(SEARCH("bolo", F673)), ISNUMBER(SEARCH("SUPERMERCADO", F673))), "6.1 Despesas Administrativas (Pessoal)", IF(OR(ISNUMBER(SEARCH("DLKNET", F673)), ISNUMBER(SEARCH("TESTE", F673))), "6.1 Despesas Administrativas (Gerais)", IFERROR(VLOOKUP(H673, De_Para!A:B, 2, FALSE), "NÃO MAPEADO"))), IFERROR(VLOOKUP(H673, De_Para!A:B, 2, FALSE), "NÃO MAPEADO"))</f>
        <v/>
      </c>
    </row>
    <row r="674">
      <c r="A674" s="2" t="inlineStr">
        <is>
          <t>69013</t>
        </is>
      </c>
      <c r="B674" s="2" t="inlineStr">
        <is>
          <t>Sicoob</t>
        </is>
      </c>
      <c r="C674" s="2" t="inlineStr">
        <is>
          <t>18/06/2026</t>
        </is>
      </c>
      <c r="D674" s="2" t="inlineStr">
        <is>
          <t>18/06/2026</t>
        </is>
      </c>
      <c r="E674" s="2" t="inlineStr">
        <is>
          <t>Dinheiro</t>
        </is>
      </c>
      <c r="F674" s="2" t="inlineStr">
        <is>
          <t>Boleto "67050" do cliente "GUSTAVO ANDRADE DO VALE"</t>
        </is>
      </c>
      <c r="G674" s="2" t="inlineStr">
        <is>
          <t>system</t>
        </is>
      </c>
      <c r="H674" s="2" t="inlineStr">
        <is>
          <t>02.03.02.01 : Cobrança Bancaria</t>
        </is>
      </c>
      <c r="I674" s="2" t="n"/>
      <c r="J674" s="3" t="n">
        <v>-0.88</v>
      </c>
      <c r="K674" s="2">
        <f>IF(H674="02.09 : Outras Saídas", IF(OR(ISNUMBER(SEARCH("CHEQUE COMPE SICREDI", F674)), ISNUMBER(SEARCH("aniversario", F674)), ISNUMBER(SEARCH("churrasco", F674)), ISNUMBER(SEARCH("bolo", F674)), ISNUMBER(SEARCH("SUPERMERCADO", F674))), "6.1 Despesas Administrativas (Pessoal)", IF(OR(ISNUMBER(SEARCH("DLKNET", F674)), ISNUMBER(SEARCH("TESTE", F674))), "6.1 Despesas Administrativas (Gerais)", IFERROR(VLOOKUP(H674, De_Para!A:B, 2, FALSE), "NÃO MAPEADO"))), IFERROR(VLOOKUP(H674, De_Para!A:B, 2, FALSE), "NÃO MAPEADO"))</f>
        <v/>
      </c>
    </row>
    <row r="675">
      <c r="A675" s="2" t="inlineStr">
        <is>
          <t>69012</t>
        </is>
      </c>
      <c r="B675" s="2" t="inlineStr">
        <is>
          <t>Sicoob</t>
        </is>
      </c>
      <c r="C675" s="2" t="inlineStr">
        <is>
          <t>18/06/2026</t>
        </is>
      </c>
      <c r="D675" s="2" t="inlineStr">
        <is>
          <t>18/06/2026</t>
        </is>
      </c>
      <c r="E675" s="2" t="inlineStr">
        <is>
          <t>Dinheiro</t>
        </is>
      </c>
      <c r="F675" s="2" t="inlineStr">
        <is>
          <t>Boleto "67050" do cliente "GUSTAVO ANDRADE DO VALE"</t>
        </is>
      </c>
      <c r="G675" s="2" t="inlineStr">
        <is>
          <t>system</t>
        </is>
      </c>
      <c r="H675" s="2" t="inlineStr">
        <is>
          <t>01.01.01 : Mensalidade</t>
        </is>
      </c>
      <c r="I675" s="3" t="n">
        <v>104.9</v>
      </c>
      <c r="J675" s="2" t="n"/>
      <c r="K675" s="2">
        <f>IF(H675="02.09 : Outras Saídas", IF(OR(ISNUMBER(SEARCH("CHEQUE COMPE SICREDI", F675)), ISNUMBER(SEARCH("aniversario", F675)), ISNUMBER(SEARCH("churrasco", F675)), ISNUMBER(SEARCH("bolo", F675)), ISNUMBER(SEARCH("SUPERMERCADO", F675))), "6.1 Despesas Administrativas (Pessoal)", IF(OR(ISNUMBER(SEARCH("DLKNET", F675)), ISNUMBER(SEARCH("TESTE", F675))), "6.1 Despesas Administrativas (Gerais)", IFERROR(VLOOKUP(H675, De_Para!A:B, 2, FALSE), "NÃO MAPEADO"))), IFERROR(VLOOKUP(H675, De_Para!A:B, 2, FALSE), "NÃO MAPEADO"))</f>
        <v/>
      </c>
    </row>
    <row r="676">
      <c r="A676" s="2" t="inlineStr">
        <is>
          <t>69011</t>
        </is>
      </c>
      <c r="B676" s="2" t="inlineStr">
        <is>
          <t>Sicoob</t>
        </is>
      </c>
      <c r="C676" s="2" t="inlineStr">
        <is>
          <t>18/06/2026</t>
        </is>
      </c>
      <c r="D676" s="2" t="inlineStr">
        <is>
          <t>18/06/2026</t>
        </is>
      </c>
      <c r="E676" s="2" t="inlineStr">
        <is>
          <t>Dinheiro</t>
        </is>
      </c>
      <c r="F676" s="2" t="inlineStr">
        <is>
          <t>Boleto "60243" do cliente "ALBINA RIBEIRO DE ANDRADE DO VALE"</t>
        </is>
      </c>
      <c r="G676" s="2" t="inlineStr">
        <is>
          <t>system</t>
        </is>
      </c>
      <c r="H676" s="2" t="inlineStr">
        <is>
          <t>02.03.02.01 : Cobrança Bancaria</t>
        </is>
      </c>
      <c r="I676" s="2" t="n"/>
      <c r="J676" s="3" t="n">
        <v>-0.88</v>
      </c>
      <c r="K676" s="2">
        <f>IF(H676="02.09 : Outras Saídas", IF(OR(ISNUMBER(SEARCH("CHEQUE COMPE SICREDI", F676)), ISNUMBER(SEARCH("aniversario", F676)), ISNUMBER(SEARCH("churrasco", F676)), ISNUMBER(SEARCH("bolo", F676)), ISNUMBER(SEARCH("SUPERMERCADO", F676))), "6.1 Despesas Administrativas (Pessoal)", IF(OR(ISNUMBER(SEARCH("DLKNET", F676)), ISNUMBER(SEARCH("TESTE", F676))), "6.1 Despesas Administrativas (Gerais)", IFERROR(VLOOKUP(H676, De_Para!A:B, 2, FALSE), "NÃO MAPEADO"))), IFERROR(VLOOKUP(H676, De_Para!A:B, 2, FALSE), "NÃO MAPEADO"))</f>
        <v/>
      </c>
    </row>
    <row r="677">
      <c r="A677" s="2" t="inlineStr">
        <is>
          <t>69010</t>
        </is>
      </c>
      <c r="B677" s="2" t="inlineStr">
        <is>
          <t>Sicoob</t>
        </is>
      </c>
      <c r="C677" s="2" t="inlineStr">
        <is>
          <t>18/06/2026</t>
        </is>
      </c>
      <c r="D677" s="2" t="inlineStr">
        <is>
          <t>18/06/2026</t>
        </is>
      </c>
      <c r="E677" s="2" t="inlineStr">
        <is>
          <t>Dinheiro</t>
        </is>
      </c>
      <c r="F677" s="2" t="inlineStr">
        <is>
          <t>Boleto "60243" do cliente "ALBINA RIBEIRO DE ANDRADE DO VALE"</t>
        </is>
      </c>
      <c r="G677" s="2" t="inlineStr">
        <is>
          <t>system</t>
        </is>
      </c>
      <c r="H677" s="2" t="inlineStr">
        <is>
          <t>01.01.01 : Mensalidade</t>
        </is>
      </c>
      <c r="I677" s="3" t="n">
        <v>110</v>
      </c>
      <c r="J677" s="2" t="n"/>
      <c r="K677" s="2">
        <f>IF(H677="02.09 : Outras Saídas", IF(OR(ISNUMBER(SEARCH("CHEQUE COMPE SICREDI", F677)), ISNUMBER(SEARCH("aniversario", F677)), ISNUMBER(SEARCH("churrasco", F677)), ISNUMBER(SEARCH("bolo", F677)), ISNUMBER(SEARCH("SUPERMERCADO", F677))), "6.1 Despesas Administrativas (Pessoal)", IF(OR(ISNUMBER(SEARCH("DLKNET", F677)), ISNUMBER(SEARCH("TESTE", F677))), "6.1 Despesas Administrativas (Gerais)", IFERROR(VLOOKUP(H677, De_Para!A:B, 2, FALSE), "NÃO MAPEADO"))), IFERROR(VLOOKUP(H677, De_Para!A:B, 2, FALSE), "NÃO MAPEADO"))</f>
        <v/>
      </c>
    </row>
    <row r="678">
      <c r="A678" s="2" t="inlineStr">
        <is>
          <t>69009</t>
        </is>
      </c>
      <c r="B678" s="2" t="inlineStr">
        <is>
          <t>Sicoob</t>
        </is>
      </c>
      <c r="C678" s="2" t="inlineStr">
        <is>
          <t>18/06/2026</t>
        </is>
      </c>
      <c r="D678" s="2" t="inlineStr">
        <is>
          <t>18/06/2026</t>
        </is>
      </c>
      <c r="E678" s="2" t="inlineStr">
        <is>
          <t>Dinheiro</t>
        </is>
      </c>
      <c r="F678" s="2" t="inlineStr">
        <is>
          <t>Boleto "58848" do cliente "OSMAR DOS SANTOS OLIVEIRA"</t>
        </is>
      </c>
      <c r="G678" s="2" t="inlineStr">
        <is>
          <t>system</t>
        </is>
      </c>
      <c r="H678" s="2" t="inlineStr">
        <is>
          <t>02.03.02.01 : Cobrança Bancaria</t>
        </is>
      </c>
      <c r="I678" s="2" t="n"/>
      <c r="J678" s="3" t="n">
        <v>-0.88</v>
      </c>
      <c r="K678" s="2">
        <f>IF(H678="02.09 : Outras Saídas", IF(OR(ISNUMBER(SEARCH("CHEQUE COMPE SICREDI", F678)), ISNUMBER(SEARCH("aniversario", F678)), ISNUMBER(SEARCH("churrasco", F678)), ISNUMBER(SEARCH("bolo", F678)), ISNUMBER(SEARCH("SUPERMERCADO", F678))), "6.1 Despesas Administrativas (Pessoal)", IF(OR(ISNUMBER(SEARCH("DLKNET", F678)), ISNUMBER(SEARCH("TESTE", F678))), "6.1 Despesas Administrativas (Gerais)", IFERROR(VLOOKUP(H678, De_Para!A:B, 2, FALSE), "NÃO MAPEADO"))), IFERROR(VLOOKUP(H678, De_Para!A:B, 2, FALSE), "NÃO MAPEADO"))</f>
        <v/>
      </c>
    </row>
    <row r="679">
      <c r="A679" s="2" t="inlineStr">
        <is>
          <t>69008</t>
        </is>
      </c>
      <c r="B679" s="2" t="inlineStr">
        <is>
          <t>Sicoob</t>
        </is>
      </c>
      <c r="C679" s="2" t="inlineStr">
        <is>
          <t>18/06/2026</t>
        </is>
      </c>
      <c r="D679" s="2" t="inlineStr">
        <is>
          <t>18/06/2026</t>
        </is>
      </c>
      <c r="E679" s="2" t="inlineStr">
        <is>
          <t>Dinheiro</t>
        </is>
      </c>
      <c r="F679" s="2" t="inlineStr">
        <is>
          <t>Boleto "58848" do cliente "OSMAR DOS SANTOS OLIVEIRA"</t>
        </is>
      </c>
      <c r="G679" s="2" t="inlineStr">
        <is>
          <t>system</t>
        </is>
      </c>
      <c r="H679" s="2" t="inlineStr">
        <is>
          <t>01.01.01 : Mensalidade</t>
        </is>
      </c>
      <c r="I679" s="3" t="n">
        <v>107.2</v>
      </c>
      <c r="J679" s="2" t="n"/>
      <c r="K679" s="2">
        <f>IF(H679="02.09 : Outras Saídas", IF(OR(ISNUMBER(SEARCH("CHEQUE COMPE SICREDI", F679)), ISNUMBER(SEARCH("aniversario", F679)), ISNUMBER(SEARCH("churrasco", F679)), ISNUMBER(SEARCH("bolo", F679)), ISNUMBER(SEARCH("SUPERMERCADO", F679))), "6.1 Despesas Administrativas (Pessoal)", IF(OR(ISNUMBER(SEARCH("DLKNET", F679)), ISNUMBER(SEARCH("TESTE", F679))), "6.1 Despesas Administrativas (Gerais)", IFERROR(VLOOKUP(H679, De_Para!A:B, 2, FALSE), "NÃO MAPEADO"))), IFERROR(VLOOKUP(H679, De_Para!A:B, 2, FALSE), "NÃO MAPEADO"))</f>
        <v/>
      </c>
    </row>
    <row r="680">
      <c r="A680" s="2" t="inlineStr">
        <is>
          <t>69007</t>
        </is>
      </c>
      <c r="B680" s="2" t="inlineStr">
        <is>
          <t>Sicredi SNI</t>
        </is>
      </c>
      <c r="C680" s="2" t="inlineStr">
        <is>
          <t>18/06/2026</t>
        </is>
      </c>
      <c r="D680" s="2" t="inlineStr">
        <is>
          <t>17/06/2026</t>
        </is>
      </c>
      <c r="E680" s="2" t="inlineStr">
        <is>
          <t>Dinheiro</t>
        </is>
      </c>
      <c r="F680" s="2" t="inlineStr">
        <is>
          <t>Boleto "58255" do cliente "LUCILEI PINTO DOS SANTOS"</t>
        </is>
      </c>
      <c r="G680" s="2" t="inlineStr">
        <is>
          <t>system</t>
        </is>
      </c>
      <c r="H680" s="2" t="inlineStr">
        <is>
          <t>02.03.02.01 : Cobrança Bancaria</t>
        </is>
      </c>
      <c r="I680" s="2" t="n"/>
      <c r="J680" s="3" t="n">
        <v>-1.08</v>
      </c>
      <c r="K680" s="2">
        <f>IF(H680="02.09 : Outras Saídas", IF(OR(ISNUMBER(SEARCH("CHEQUE COMPE SICREDI", F680)), ISNUMBER(SEARCH("aniversario", F680)), ISNUMBER(SEARCH("churrasco", F680)), ISNUMBER(SEARCH("bolo", F680)), ISNUMBER(SEARCH("SUPERMERCADO", F680))), "6.1 Despesas Administrativas (Pessoal)", IF(OR(ISNUMBER(SEARCH("DLKNET", F680)), ISNUMBER(SEARCH("TESTE", F680))), "6.1 Despesas Administrativas (Gerais)", IFERROR(VLOOKUP(H680, De_Para!A:B, 2, FALSE), "NÃO MAPEADO"))), IFERROR(VLOOKUP(H680, De_Para!A:B, 2, FALSE), "NÃO MAPEADO"))</f>
        <v/>
      </c>
    </row>
    <row r="681">
      <c r="A681" s="2" t="inlineStr">
        <is>
          <t>69006</t>
        </is>
      </c>
      <c r="B681" s="2" t="inlineStr">
        <is>
          <t>Sicredi SNI</t>
        </is>
      </c>
      <c r="C681" s="2" t="inlineStr">
        <is>
          <t>18/06/2026</t>
        </is>
      </c>
      <c r="D681" s="2" t="inlineStr">
        <is>
          <t>17/06/2026</t>
        </is>
      </c>
      <c r="E681" s="2" t="inlineStr">
        <is>
          <t>Dinheiro</t>
        </is>
      </c>
      <c r="F681" s="2" t="inlineStr">
        <is>
          <t>Boleto "58255" do cliente "LUCILEI PINTO DOS SANTOS"</t>
        </is>
      </c>
      <c r="G681" s="2" t="inlineStr">
        <is>
          <t>system</t>
        </is>
      </c>
      <c r="H681" s="2" t="inlineStr">
        <is>
          <t>01.01.01 : Mensalidade</t>
        </is>
      </c>
      <c r="I681" s="3" t="n">
        <v>107.38</v>
      </c>
      <c r="J681" s="2" t="n"/>
      <c r="K681" s="2">
        <f>IF(H681="02.09 : Outras Saídas", IF(OR(ISNUMBER(SEARCH("CHEQUE COMPE SICREDI", F681)), ISNUMBER(SEARCH("aniversario", F681)), ISNUMBER(SEARCH("churrasco", F681)), ISNUMBER(SEARCH("bolo", F681)), ISNUMBER(SEARCH("SUPERMERCADO", F681))), "6.1 Despesas Administrativas (Pessoal)", IF(OR(ISNUMBER(SEARCH("DLKNET", F681)), ISNUMBER(SEARCH("TESTE", F681))), "6.1 Despesas Administrativas (Gerais)", IFERROR(VLOOKUP(H681, De_Para!A:B, 2, FALSE), "NÃO MAPEADO"))), IFERROR(VLOOKUP(H681, De_Para!A:B, 2, FALSE), "NÃO MAPEADO"))</f>
        <v/>
      </c>
    </row>
    <row r="682">
      <c r="A682" s="2" t="inlineStr">
        <is>
          <t>69005</t>
        </is>
      </c>
      <c r="B682" s="2" t="inlineStr">
        <is>
          <t>Sicredi SNI</t>
        </is>
      </c>
      <c r="C682" s="2" t="inlineStr">
        <is>
          <t>17/06/2026</t>
        </is>
      </c>
      <c r="D682" s="2" t="inlineStr">
        <is>
          <t>17/06/2026</t>
        </is>
      </c>
      <c r="E682" s="2" t="inlineStr">
        <is>
          <t>PIX</t>
        </is>
      </c>
      <c r="F682" s="2" t="inlineStr">
        <is>
          <t>Boleto "65677" do cliente "JOICE AMANDA DE LIMA"</t>
        </is>
      </c>
      <c r="G682" s="2" t="inlineStr">
        <is>
          <t>system</t>
        </is>
      </c>
      <c r="H682" s="2" t="inlineStr">
        <is>
          <t>02.03.02.01 : Cobrança Bancaria</t>
        </is>
      </c>
      <c r="I682" s="2" t="n"/>
      <c r="J682" s="3" t="n">
        <v>-0.49</v>
      </c>
      <c r="K682" s="2">
        <f>IF(H682="02.09 : Outras Saídas", IF(OR(ISNUMBER(SEARCH("CHEQUE COMPE SICREDI", F682)), ISNUMBER(SEARCH("aniversario", F682)), ISNUMBER(SEARCH("churrasco", F682)), ISNUMBER(SEARCH("bolo", F682)), ISNUMBER(SEARCH("SUPERMERCADO", F682))), "6.1 Despesas Administrativas (Pessoal)", IF(OR(ISNUMBER(SEARCH("DLKNET", F682)), ISNUMBER(SEARCH("TESTE", F682))), "6.1 Despesas Administrativas (Gerais)", IFERROR(VLOOKUP(H682, De_Para!A:B, 2, FALSE), "NÃO MAPEADO"))), IFERROR(VLOOKUP(H682, De_Para!A:B, 2, FALSE), "NÃO MAPEADO"))</f>
        <v/>
      </c>
    </row>
    <row r="683">
      <c r="A683" s="2" t="inlineStr">
        <is>
          <t>69004</t>
        </is>
      </c>
      <c r="B683" s="2" t="inlineStr">
        <is>
          <t>Sicredi SNI</t>
        </is>
      </c>
      <c r="C683" s="2" t="inlineStr">
        <is>
          <t>17/06/2026</t>
        </is>
      </c>
      <c r="D683" s="2" t="inlineStr">
        <is>
          <t>17/06/2026</t>
        </is>
      </c>
      <c r="E683" s="2" t="inlineStr">
        <is>
          <t>PIX</t>
        </is>
      </c>
      <c r="F683" s="2" t="inlineStr">
        <is>
          <t>Boleto "65677" do cliente "JOICE AMANDA DE LIMA"</t>
        </is>
      </c>
      <c r="G683" s="2" t="inlineStr">
        <is>
          <t>system</t>
        </is>
      </c>
      <c r="H683" s="2" t="inlineStr">
        <is>
          <t>01.01.01 : Mensalidade</t>
        </is>
      </c>
      <c r="I683" s="3" t="n">
        <v>102.07</v>
      </c>
      <c r="J683" s="2" t="n"/>
      <c r="K683" s="2">
        <f>IF(H683="02.09 : Outras Saídas", IF(OR(ISNUMBER(SEARCH("CHEQUE COMPE SICREDI", F683)), ISNUMBER(SEARCH("aniversario", F683)), ISNUMBER(SEARCH("churrasco", F683)), ISNUMBER(SEARCH("bolo", F683)), ISNUMBER(SEARCH("SUPERMERCADO", F683))), "6.1 Despesas Administrativas (Pessoal)", IF(OR(ISNUMBER(SEARCH("DLKNET", F683)), ISNUMBER(SEARCH("TESTE", F683))), "6.1 Despesas Administrativas (Gerais)", IFERROR(VLOOKUP(H683, De_Para!A:B, 2, FALSE), "NÃO MAPEADO"))), IFERROR(VLOOKUP(H683, De_Para!A:B, 2, FALSE), "NÃO MAPEADO"))</f>
        <v/>
      </c>
    </row>
    <row r="684">
      <c r="A684" s="2" t="inlineStr">
        <is>
          <t>69003</t>
        </is>
      </c>
      <c r="B684" s="2" t="inlineStr">
        <is>
          <t>Sicredi SNI</t>
        </is>
      </c>
      <c r="C684" s="2" t="inlineStr">
        <is>
          <t>17/06/2026</t>
        </is>
      </c>
      <c r="D684" s="2" t="inlineStr">
        <is>
          <t>17/06/2026</t>
        </is>
      </c>
      <c r="E684" s="2" t="inlineStr">
        <is>
          <t>PIX</t>
        </is>
      </c>
      <c r="F684" s="2" t="inlineStr">
        <is>
          <t>Boleto "64177" do cliente "ANTONIO LUIZ CASSIMIRO"</t>
        </is>
      </c>
      <c r="G684" s="2" t="inlineStr">
        <is>
          <t>system</t>
        </is>
      </c>
      <c r="H684" s="2" t="inlineStr">
        <is>
          <t>02.03.02.01 : Cobrança Bancaria</t>
        </is>
      </c>
      <c r="I684" s="2" t="n"/>
      <c r="J684" s="3" t="n">
        <v>-0.49</v>
      </c>
      <c r="K684" s="2">
        <f>IF(H684="02.09 : Outras Saídas", IF(OR(ISNUMBER(SEARCH("CHEQUE COMPE SICREDI", F684)), ISNUMBER(SEARCH("aniversario", F684)), ISNUMBER(SEARCH("churrasco", F684)), ISNUMBER(SEARCH("bolo", F684)), ISNUMBER(SEARCH("SUPERMERCADO", F684))), "6.1 Despesas Administrativas (Pessoal)", IF(OR(ISNUMBER(SEARCH("DLKNET", F684)), ISNUMBER(SEARCH("TESTE", F684))), "6.1 Despesas Administrativas (Gerais)", IFERROR(VLOOKUP(H684, De_Para!A:B, 2, FALSE), "NÃO MAPEADO"))), IFERROR(VLOOKUP(H684, De_Para!A:B, 2, FALSE), "NÃO MAPEADO"))</f>
        <v/>
      </c>
    </row>
    <row r="685">
      <c r="A685" s="2" t="inlineStr">
        <is>
          <t>69002</t>
        </is>
      </c>
      <c r="B685" s="2" t="inlineStr">
        <is>
          <t>Sicredi SNI</t>
        </is>
      </c>
      <c r="C685" s="2" t="inlineStr">
        <is>
          <t>17/06/2026</t>
        </is>
      </c>
      <c r="D685" s="2" t="inlineStr">
        <is>
          <t>17/06/2026</t>
        </is>
      </c>
      <c r="E685" s="2" t="inlineStr">
        <is>
          <t>PIX</t>
        </is>
      </c>
      <c r="F685" s="2" t="inlineStr">
        <is>
          <t>Boleto "64177" do cliente "ANTONIO LUIZ CASSIMIRO"</t>
        </is>
      </c>
      <c r="G685" s="2" t="inlineStr">
        <is>
          <t>system</t>
        </is>
      </c>
      <c r="H685" s="2" t="inlineStr">
        <is>
          <t>01.01.01 : Mensalidade</t>
        </is>
      </c>
      <c r="I685" s="3" t="n">
        <v>107.35</v>
      </c>
      <c r="J685" s="2" t="n"/>
      <c r="K685" s="2">
        <f>IF(H685="02.09 : Outras Saídas", IF(OR(ISNUMBER(SEARCH("CHEQUE COMPE SICREDI", F685)), ISNUMBER(SEARCH("aniversario", F685)), ISNUMBER(SEARCH("churrasco", F685)), ISNUMBER(SEARCH("bolo", F685)), ISNUMBER(SEARCH("SUPERMERCADO", F685))), "6.1 Despesas Administrativas (Pessoal)", IF(OR(ISNUMBER(SEARCH("DLKNET", F685)), ISNUMBER(SEARCH("TESTE", F685))), "6.1 Despesas Administrativas (Gerais)", IFERROR(VLOOKUP(H685, De_Para!A:B, 2, FALSE), "NÃO MAPEADO"))), IFERROR(VLOOKUP(H685, De_Para!A:B, 2, FALSE), "NÃO MAPEADO"))</f>
        <v/>
      </c>
    </row>
    <row r="686">
      <c r="A686" s="2" t="inlineStr">
        <is>
          <t>69001</t>
        </is>
      </c>
      <c r="B686" s="2" t="inlineStr">
        <is>
          <t>Sicredi SNI</t>
        </is>
      </c>
      <c r="C686" s="2" t="inlineStr">
        <is>
          <t>17/06/2026</t>
        </is>
      </c>
      <c r="D686" s="2" t="inlineStr">
        <is>
          <t>17/06/2026</t>
        </is>
      </c>
      <c r="E686" s="2" t="inlineStr">
        <is>
          <t>PIX</t>
        </is>
      </c>
      <c r="F686" s="2" t="inlineStr">
        <is>
          <t>Boleto "64603" do cliente "SIDINHA MARIA DA SILVA SANTOS"</t>
        </is>
      </c>
      <c r="G686" s="2" t="inlineStr">
        <is>
          <t>system</t>
        </is>
      </c>
      <c r="H686" s="2" t="inlineStr">
        <is>
          <t>02.03.02.01 : Cobrança Bancaria</t>
        </is>
      </c>
      <c r="I686" s="2" t="n"/>
      <c r="J686" s="3" t="n">
        <v>-0.49</v>
      </c>
      <c r="K686" s="2">
        <f>IF(H686="02.09 : Outras Saídas", IF(OR(ISNUMBER(SEARCH("CHEQUE COMPE SICREDI", F686)), ISNUMBER(SEARCH("aniversario", F686)), ISNUMBER(SEARCH("churrasco", F686)), ISNUMBER(SEARCH("bolo", F686)), ISNUMBER(SEARCH("SUPERMERCADO", F686))), "6.1 Despesas Administrativas (Pessoal)", IF(OR(ISNUMBER(SEARCH("DLKNET", F686)), ISNUMBER(SEARCH("TESTE", F686))), "6.1 Despesas Administrativas (Gerais)", IFERROR(VLOOKUP(H686, De_Para!A:B, 2, FALSE), "NÃO MAPEADO"))), IFERROR(VLOOKUP(H686, De_Para!A:B, 2, FALSE), "NÃO MAPEADO"))</f>
        <v/>
      </c>
    </row>
    <row r="687">
      <c r="A687" s="2" t="inlineStr">
        <is>
          <t>69000</t>
        </is>
      </c>
      <c r="B687" s="2" t="inlineStr">
        <is>
          <t>Sicredi SNI</t>
        </is>
      </c>
      <c r="C687" s="2" t="inlineStr">
        <is>
          <t>17/06/2026</t>
        </is>
      </c>
      <c r="D687" s="2" t="inlineStr">
        <is>
          <t>17/06/2026</t>
        </is>
      </c>
      <c r="E687" s="2" t="inlineStr">
        <is>
          <t>PIX</t>
        </is>
      </c>
      <c r="F687" s="2" t="inlineStr">
        <is>
          <t>Boleto "64603" do cliente "SIDINHA MARIA DA SILVA SANTOS"</t>
        </is>
      </c>
      <c r="G687" s="2" t="inlineStr">
        <is>
          <t>system</t>
        </is>
      </c>
      <c r="H687" s="2" t="inlineStr">
        <is>
          <t>01.01.01 : Mensalidade</t>
        </is>
      </c>
      <c r="I687" s="3" t="n">
        <v>107.07</v>
      </c>
      <c r="J687" s="2" t="n"/>
      <c r="K687" s="2">
        <f>IF(H687="02.09 : Outras Saídas", IF(OR(ISNUMBER(SEARCH("CHEQUE COMPE SICREDI", F687)), ISNUMBER(SEARCH("aniversario", F687)), ISNUMBER(SEARCH("churrasco", F687)), ISNUMBER(SEARCH("bolo", F687)), ISNUMBER(SEARCH("SUPERMERCADO", F687))), "6.1 Despesas Administrativas (Pessoal)", IF(OR(ISNUMBER(SEARCH("DLKNET", F687)), ISNUMBER(SEARCH("TESTE", F687))), "6.1 Despesas Administrativas (Gerais)", IFERROR(VLOOKUP(H687, De_Para!A:B, 2, FALSE), "NÃO MAPEADO"))), IFERROR(VLOOKUP(H687, De_Para!A:B, 2, FALSE), "NÃO MAPEADO"))</f>
        <v/>
      </c>
    </row>
    <row r="688">
      <c r="A688" s="2" t="inlineStr">
        <is>
          <t>68999</t>
        </is>
      </c>
      <c r="B688" s="2" t="inlineStr">
        <is>
          <t>Sicredi SNI</t>
        </is>
      </c>
      <c r="C688" s="2" t="inlineStr">
        <is>
          <t>17/06/2026</t>
        </is>
      </c>
      <c r="D688" s="2" t="inlineStr">
        <is>
          <t>17/06/2026</t>
        </is>
      </c>
      <c r="E688" s="2" t="inlineStr">
        <is>
          <t>PIX</t>
        </is>
      </c>
      <c r="F688" s="2" t="inlineStr">
        <is>
          <t>Boleto "58321" do cliente "NEUSA ASSI GARANHANI"</t>
        </is>
      </c>
      <c r="G688" s="2" t="inlineStr">
        <is>
          <t>system</t>
        </is>
      </c>
      <c r="H688" s="2" t="inlineStr">
        <is>
          <t>02.03.02.01 : Cobrança Bancaria</t>
        </is>
      </c>
      <c r="I688" s="2" t="n"/>
      <c r="J688" s="3" t="n">
        <v>-0.49</v>
      </c>
      <c r="K688" s="2">
        <f>IF(H688="02.09 : Outras Saídas", IF(OR(ISNUMBER(SEARCH("CHEQUE COMPE SICREDI", F688)), ISNUMBER(SEARCH("aniversario", F688)), ISNUMBER(SEARCH("churrasco", F688)), ISNUMBER(SEARCH("bolo", F688)), ISNUMBER(SEARCH("SUPERMERCADO", F688))), "6.1 Despesas Administrativas (Pessoal)", IF(OR(ISNUMBER(SEARCH("DLKNET", F688)), ISNUMBER(SEARCH("TESTE", F688))), "6.1 Despesas Administrativas (Gerais)", IFERROR(VLOOKUP(H688, De_Para!A:B, 2, FALSE), "NÃO MAPEADO"))), IFERROR(VLOOKUP(H688, De_Para!A:B, 2, FALSE), "NÃO MAPEADO"))</f>
        <v/>
      </c>
    </row>
    <row r="689">
      <c r="A689" s="2" t="inlineStr">
        <is>
          <t>68998</t>
        </is>
      </c>
      <c r="B689" s="2" t="inlineStr">
        <is>
          <t>Sicredi SNI</t>
        </is>
      </c>
      <c r="C689" s="2" t="inlineStr">
        <is>
          <t>17/06/2026</t>
        </is>
      </c>
      <c r="D689" s="2" t="inlineStr">
        <is>
          <t>17/06/2026</t>
        </is>
      </c>
      <c r="E689" s="2" t="inlineStr">
        <is>
          <t>PIX</t>
        </is>
      </c>
      <c r="F689" s="2" t="inlineStr">
        <is>
          <t>Boleto "58321" do cliente "NEUSA ASSI GARANHANI"</t>
        </is>
      </c>
      <c r="G689" s="2" t="inlineStr">
        <is>
          <t>system</t>
        </is>
      </c>
      <c r="H689" s="2" t="inlineStr">
        <is>
          <t>01.01.01 : Mensalidade</t>
        </is>
      </c>
      <c r="I689" s="3" t="n">
        <v>107.17</v>
      </c>
      <c r="J689" s="2" t="n"/>
      <c r="K689" s="2">
        <f>IF(H689="02.09 : Outras Saídas", IF(OR(ISNUMBER(SEARCH("CHEQUE COMPE SICREDI", F689)), ISNUMBER(SEARCH("aniversario", F689)), ISNUMBER(SEARCH("churrasco", F689)), ISNUMBER(SEARCH("bolo", F689)), ISNUMBER(SEARCH("SUPERMERCADO", F689))), "6.1 Despesas Administrativas (Pessoal)", IF(OR(ISNUMBER(SEARCH("DLKNET", F689)), ISNUMBER(SEARCH("TESTE", F689))), "6.1 Despesas Administrativas (Gerais)", IFERROR(VLOOKUP(H689, De_Para!A:B, 2, FALSE), "NÃO MAPEADO"))), IFERROR(VLOOKUP(H689, De_Para!A:B, 2, FALSE), "NÃO MAPEADO"))</f>
        <v/>
      </c>
    </row>
    <row r="690">
      <c r="A690" s="2" t="inlineStr">
        <is>
          <t>68997</t>
        </is>
      </c>
      <c r="B690" s="2" t="inlineStr">
        <is>
          <t>Sicredi SNI</t>
        </is>
      </c>
      <c r="C690" s="2" t="inlineStr">
        <is>
          <t>17/06/2026</t>
        </is>
      </c>
      <c r="D690" s="2" t="inlineStr">
        <is>
          <t>17/06/2026</t>
        </is>
      </c>
      <c r="E690" s="2" t="inlineStr">
        <is>
          <t>PIX</t>
        </is>
      </c>
      <c r="F690" s="2" t="inlineStr">
        <is>
          <t>Boleto "64615" do cliente "RENATO GALO"</t>
        </is>
      </c>
      <c r="G690" s="2" t="inlineStr">
        <is>
          <t>system</t>
        </is>
      </c>
      <c r="H690" s="2" t="inlineStr">
        <is>
          <t>02.03.02.01 : Cobrança Bancaria</t>
        </is>
      </c>
      <c r="I690" s="2" t="n"/>
      <c r="J690" s="3" t="n">
        <v>-0.49</v>
      </c>
      <c r="K690" s="2">
        <f>IF(H690="02.09 : Outras Saídas", IF(OR(ISNUMBER(SEARCH("CHEQUE COMPE SICREDI", F690)), ISNUMBER(SEARCH("aniversario", F690)), ISNUMBER(SEARCH("churrasco", F690)), ISNUMBER(SEARCH("bolo", F690)), ISNUMBER(SEARCH("SUPERMERCADO", F690))), "6.1 Despesas Administrativas (Pessoal)", IF(OR(ISNUMBER(SEARCH("DLKNET", F690)), ISNUMBER(SEARCH("TESTE", F690))), "6.1 Despesas Administrativas (Gerais)", IFERROR(VLOOKUP(H690, De_Para!A:B, 2, FALSE), "NÃO MAPEADO"))), IFERROR(VLOOKUP(H690, De_Para!A:B, 2, FALSE), "NÃO MAPEADO"))</f>
        <v/>
      </c>
    </row>
    <row r="691">
      <c r="A691" s="2" t="inlineStr">
        <is>
          <t>68996</t>
        </is>
      </c>
      <c r="B691" s="2" t="inlineStr">
        <is>
          <t>Sicredi SNI</t>
        </is>
      </c>
      <c r="C691" s="2" t="inlineStr">
        <is>
          <t>17/06/2026</t>
        </is>
      </c>
      <c r="D691" s="2" t="inlineStr">
        <is>
          <t>17/06/2026</t>
        </is>
      </c>
      <c r="E691" s="2" t="inlineStr">
        <is>
          <t>PIX</t>
        </is>
      </c>
      <c r="F691" s="2" t="inlineStr">
        <is>
          <t>Boleto "64615" do cliente "RENATO GALO"</t>
        </is>
      </c>
      <c r="G691" s="2" t="inlineStr">
        <is>
          <t>system</t>
        </is>
      </c>
      <c r="H691" s="2" t="inlineStr">
        <is>
          <t>01.01.01 : Mensalidade</t>
        </is>
      </c>
      <c r="I691" s="3" t="n">
        <v>109.9</v>
      </c>
      <c r="J691" s="2" t="n"/>
      <c r="K691" s="2">
        <f>IF(H691="02.09 : Outras Saídas", IF(OR(ISNUMBER(SEARCH("CHEQUE COMPE SICREDI", F691)), ISNUMBER(SEARCH("aniversario", F691)), ISNUMBER(SEARCH("churrasco", F691)), ISNUMBER(SEARCH("bolo", F691)), ISNUMBER(SEARCH("SUPERMERCADO", F691))), "6.1 Despesas Administrativas (Pessoal)", IF(OR(ISNUMBER(SEARCH("DLKNET", F691)), ISNUMBER(SEARCH("TESTE", F691))), "6.1 Despesas Administrativas (Gerais)", IFERROR(VLOOKUP(H691, De_Para!A:B, 2, FALSE), "NÃO MAPEADO"))), IFERROR(VLOOKUP(H691, De_Para!A:B, 2, FALSE), "NÃO MAPEADO"))</f>
        <v/>
      </c>
    </row>
    <row r="692">
      <c r="A692" s="2" t="inlineStr">
        <is>
          <t>68995</t>
        </is>
      </c>
      <c r="B692" s="2" t="inlineStr">
        <is>
          <t>Sicredi SNI</t>
        </is>
      </c>
      <c r="C692" s="2" t="inlineStr">
        <is>
          <t>17/06/2026</t>
        </is>
      </c>
      <c r="D692" s="2" t="inlineStr">
        <is>
          <t>17/06/2026</t>
        </is>
      </c>
      <c r="E692" s="2" t="inlineStr">
        <is>
          <t>PIX</t>
        </is>
      </c>
      <c r="F692" s="2" t="inlineStr">
        <is>
          <t>Boleto "63401" do cliente "DALVANI DE OLIVEIRA"</t>
        </is>
      </c>
      <c r="G692" s="2" t="inlineStr">
        <is>
          <t>system</t>
        </is>
      </c>
      <c r="H692" s="2" t="inlineStr">
        <is>
          <t>02.03.02.01 : Cobrança Bancaria</t>
        </is>
      </c>
      <c r="I692" s="2" t="n"/>
      <c r="J692" s="3" t="n">
        <v>-0.49</v>
      </c>
      <c r="K692" s="2">
        <f>IF(H692="02.09 : Outras Saídas", IF(OR(ISNUMBER(SEARCH("CHEQUE COMPE SICREDI", F692)), ISNUMBER(SEARCH("aniversario", F692)), ISNUMBER(SEARCH("churrasco", F692)), ISNUMBER(SEARCH("bolo", F692)), ISNUMBER(SEARCH("SUPERMERCADO", F692))), "6.1 Despesas Administrativas (Pessoal)", IF(OR(ISNUMBER(SEARCH("DLKNET", F692)), ISNUMBER(SEARCH("TESTE", F692))), "6.1 Despesas Administrativas (Gerais)", IFERROR(VLOOKUP(H692, De_Para!A:B, 2, FALSE), "NÃO MAPEADO"))), IFERROR(VLOOKUP(H692, De_Para!A:B, 2, FALSE), "NÃO MAPEADO"))</f>
        <v/>
      </c>
    </row>
    <row r="693">
      <c r="A693" s="2" t="inlineStr">
        <is>
          <t>68994</t>
        </is>
      </c>
      <c r="B693" s="2" t="inlineStr">
        <is>
          <t>Sicredi SNI</t>
        </is>
      </c>
      <c r="C693" s="2" t="inlineStr">
        <is>
          <t>17/06/2026</t>
        </is>
      </c>
      <c r="D693" s="2" t="inlineStr">
        <is>
          <t>17/06/2026</t>
        </is>
      </c>
      <c r="E693" s="2" t="inlineStr">
        <is>
          <t>PIX</t>
        </is>
      </c>
      <c r="F693" s="2" t="inlineStr">
        <is>
          <t>Boleto "63401" do cliente "DALVANI DE OLIVEIRA"</t>
        </is>
      </c>
      <c r="G693" s="2" t="inlineStr">
        <is>
          <t>system</t>
        </is>
      </c>
      <c r="H693" s="2" t="inlineStr">
        <is>
          <t>01.01.01 : Mensalidade</t>
        </is>
      </c>
      <c r="I693" s="3" t="n">
        <v>102.23</v>
      </c>
      <c r="J693" s="2" t="n"/>
      <c r="K693" s="2">
        <f>IF(H693="02.09 : Outras Saídas", IF(OR(ISNUMBER(SEARCH("CHEQUE COMPE SICREDI", F693)), ISNUMBER(SEARCH("aniversario", F693)), ISNUMBER(SEARCH("churrasco", F693)), ISNUMBER(SEARCH("bolo", F693)), ISNUMBER(SEARCH("SUPERMERCADO", F693))), "6.1 Despesas Administrativas (Pessoal)", IF(OR(ISNUMBER(SEARCH("DLKNET", F693)), ISNUMBER(SEARCH("TESTE", F693))), "6.1 Despesas Administrativas (Gerais)", IFERROR(VLOOKUP(H693, De_Para!A:B, 2, FALSE), "NÃO MAPEADO"))), IFERROR(VLOOKUP(H693, De_Para!A:B, 2, FALSE), "NÃO MAPEADO"))</f>
        <v/>
      </c>
    </row>
    <row r="694">
      <c r="A694" s="2" t="inlineStr">
        <is>
          <t>68993</t>
        </is>
      </c>
      <c r="B694" s="2" t="inlineStr">
        <is>
          <t>Sicredi SNI</t>
        </is>
      </c>
      <c r="C694" s="2" t="inlineStr">
        <is>
          <t>17/06/2026</t>
        </is>
      </c>
      <c r="D694" s="2" t="inlineStr">
        <is>
          <t>17/06/2026</t>
        </is>
      </c>
      <c r="E694" s="2" t="inlineStr">
        <is>
          <t>PIX</t>
        </is>
      </c>
      <c r="F694" s="2" t="inlineStr">
        <is>
          <t>Boleto "66381" do cliente "FERNANDA APARECIDA MATIAS"</t>
        </is>
      </c>
      <c r="G694" s="2" t="inlineStr">
        <is>
          <t>system</t>
        </is>
      </c>
      <c r="H694" s="2" t="inlineStr">
        <is>
          <t>02.03.02.01 : Cobrança Bancaria</t>
        </is>
      </c>
      <c r="I694" s="2" t="n"/>
      <c r="J694" s="3" t="n">
        <v>-0.49</v>
      </c>
      <c r="K694" s="2">
        <f>IF(H694="02.09 : Outras Saídas", IF(OR(ISNUMBER(SEARCH("CHEQUE COMPE SICREDI", F694)), ISNUMBER(SEARCH("aniversario", F694)), ISNUMBER(SEARCH("churrasco", F694)), ISNUMBER(SEARCH("bolo", F694)), ISNUMBER(SEARCH("SUPERMERCADO", F694))), "6.1 Despesas Administrativas (Pessoal)", IF(OR(ISNUMBER(SEARCH("DLKNET", F694)), ISNUMBER(SEARCH("TESTE", F694))), "6.1 Despesas Administrativas (Gerais)", IFERROR(VLOOKUP(H694, De_Para!A:B, 2, FALSE), "NÃO MAPEADO"))), IFERROR(VLOOKUP(H694, De_Para!A:B, 2, FALSE), "NÃO MAPEADO"))</f>
        <v/>
      </c>
    </row>
    <row r="695">
      <c r="A695" s="2" t="inlineStr">
        <is>
          <t>68992</t>
        </is>
      </c>
      <c r="B695" s="2" t="inlineStr">
        <is>
          <t>Sicredi SNI</t>
        </is>
      </c>
      <c r="C695" s="2" t="inlineStr">
        <is>
          <t>17/06/2026</t>
        </is>
      </c>
      <c r="D695" s="2" t="inlineStr">
        <is>
          <t>17/06/2026</t>
        </is>
      </c>
      <c r="E695" s="2" t="inlineStr">
        <is>
          <t>PIX</t>
        </is>
      </c>
      <c r="F695" s="2" t="inlineStr">
        <is>
          <t>Boleto "66381" do cliente "FERNANDA APARECIDA MATIAS"</t>
        </is>
      </c>
      <c r="G695" s="2" t="inlineStr">
        <is>
          <t>system</t>
        </is>
      </c>
      <c r="H695" s="2" t="inlineStr">
        <is>
          <t>01.01.01 : Mensalidade</t>
        </is>
      </c>
      <c r="I695" s="3" t="n">
        <v>110</v>
      </c>
      <c r="J695" s="2" t="n"/>
      <c r="K695" s="2">
        <f>IF(H695="02.09 : Outras Saídas", IF(OR(ISNUMBER(SEARCH("CHEQUE COMPE SICREDI", F695)), ISNUMBER(SEARCH("aniversario", F695)), ISNUMBER(SEARCH("churrasco", F695)), ISNUMBER(SEARCH("bolo", F695)), ISNUMBER(SEARCH("SUPERMERCADO", F695))), "6.1 Despesas Administrativas (Pessoal)", IF(OR(ISNUMBER(SEARCH("DLKNET", F695)), ISNUMBER(SEARCH("TESTE", F695))), "6.1 Despesas Administrativas (Gerais)", IFERROR(VLOOKUP(H695, De_Para!A:B, 2, FALSE), "NÃO MAPEADO"))), IFERROR(VLOOKUP(H695, De_Para!A:B, 2, FALSE), "NÃO MAPEADO"))</f>
        <v/>
      </c>
    </row>
    <row r="696">
      <c r="A696" s="2" t="inlineStr">
        <is>
          <t>68991</t>
        </is>
      </c>
      <c r="B696" s="2" t="inlineStr">
        <is>
          <t>Sicredi SNI</t>
        </is>
      </c>
      <c r="C696" s="2" t="inlineStr">
        <is>
          <t>17/06/2026</t>
        </is>
      </c>
      <c r="D696" s="2" t="inlineStr">
        <is>
          <t>17/06/2026</t>
        </is>
      </c>
      <c r="E696" s="2" t="inlineStr">
        <is>
          <t>PIX</t>
        </is>
      </c>
      <c r="F696" s="2" t="inlineStr">
        <is>
          <t>Boleto "67183" do cliente "ROBERTO DE QUEIROZ"</t>
        </is>
      </c>
      <c r="G696" s="2" t="inlineStr">
        <is>
          <t>system</t>
        </is>
      </c>
      <c r="H696" s="2" t="inlineStr">
        <is>
          <t>02.03.02.01 : Cobrança Bancaria</t>
        </is>
      </c>
      <c r="I696" s="2" t="n"/>
      <c r="J696" s="3" t="n">
        <v>-0.49</v>
      </c>
      <c r="K696" s="2">
        <f>IF(H696="02.09 : Outras Saídas", IF(OR(ISNUMBER(SEARCH("CHEQUE COMPE SICREDI", F696)), ISNUMBER(SEARCH("aniversario", F696)), ISNUMBER(SEARCH("churrasco", F696)), ISNUMBER(SEARCH("bolo", F696)), ISNUMBER(SEARCH("SUPERMERCADO", F696))), "6.1 Despesas Administrativas (Pessoal)", IF(OR(ISNUMBER(SEARCH("DLKNET", F696)), ISNUMBER(SEARCH("TESTE", F696))), "6.1 Despesas Administrativas (Gerais)", IFERROR(VLOOKUP(H696, De_Para!A:B, 2, FALSE), "NÃO MAPEADO"))), IFERROR(VLOOKUP(H696, De_Para!A:B, 2, FALSE), "NÃO MAPEADO"))</f>
        <v/>
      </c>
    </row>
    <row r="697">
      <c r="A697" s="2" t="inlineStr">
        <is>
          <t>68990</t>
        </is>
      </c>
      <c r="B697" s="2" t="inlineStr">
        <is>
          <t>Sicredi SNI</t>
        </is>
      </c>
      <c r="C697" s="2" t="inlineStr">
        <is>
          <t>17/06/2026</t>
        </is>
      </c>
      <c r="D697" s="2" t="inlineStr">
        <is>
          <t>17/06/2026</t>
        </is>
      </c>
      <c r="E697" s="2" t="inlineStr">
        <is>
          <t>PIX</t>
        </is>
      </c>
      <c r="F697" s="2" t="inlineStr">
        <is>
          <t>Boleto "67183" do cliente "ROBERTO DE QUEIROZ"</t>
        </is>
      </c>
      <c r="G697" s="2" t="inlineStr">
        <is>
          <t>system</t>
        </is>
      </c>
      <c r="H697" s="2" t="inlineStr">
        <is>
          <t>01.01.01 : Mensalidade</t>
        </is>
      </c>
      <c r="I697" s="3" t="n">
        <v>104.9</v>
      </c>
      <c r="J697" s="2" t="n"/>
      <c r="K697" s="2">
        <f>IF(H697="02.09 : Outras Saídas", IF(OR(ISNUMBER(SEARCH("CHEQUE COMPE SICREDI", F697)), ISNUMBER(SEARCH("aniversario", F697)), ISNUMBER(SEARCH("churrasco", F697)), ISNUMBER(SEARCH("bolo", F697)), ISNUMBER(SEARCH("SUPERMERCADO", F697))), "6.1 Despesas Administrativas (Pessoal)", IF(OR(ISNUMBER(SEARCH("DLKNET", F697)), ISNUMBER(SEARCH("TESTE", F697))), "6.1 Despesas Administrativas (Gerais)", IFERROR(VLOOKUP(H697, De_Para!A:B, 2, FALSE), "NÃO MAPEADO"))), IFERROR(VLOOKUP(H697, De_Para!A:B, 2, FALSE), "NÃO MAPEADO"))</f>
        <v/>
      </c>
    </row>
    <row r="698">
      <c r="A698" s="2" t="inlineStr">
        <is>
          <t>68989</t>
        </is>
      </c>
      <c r="B698" s="2" t="inlineStr">
        <is>
          <t>Sicredi SNI</t>
        </is>
      </c>
      <c r="C698" s="2" t="inlineStr">
        <is>
          <t>17/06/2026</t>
        </is>
      </c>
      <c r="D698" s="2" t="inlineStr">
        <is>
          <t>17/06/2026</t>
        </is>
      </c>
      <c r="E698" s="2" t="inlineStr">
        <is>
          <t>Dinheiro</t>
        </is>
      </c>
      <c r="F698" s="2" t="inlineStr">
        <is>
          <t>Boleto "69217" do cliente "VAUDENIR ROSA DE LIMA"</t>
        </is>
      </c>
      <c r="G698" s="2" t="inlineStr">
        <is>
          <t>system</t>
        </is>
      </c>
      <c r="H698" s="2" t="inlineStr">
        <is>
          <t>02.03.02.01 : Cobrança Bancaria</t>
        </is>
      </c>
      <c r="I698" s="2" t="n"/>
      <c r="J698" s="3" t="n">
        <v>-1.08</v>
      </c>
      <c r="K698" s="2">
        <f>IF(H698="02.09 : Outras Saídas", IF(OR(ISNUMBER(SEARCH("CHEQUE COMPE SICREDI", F698)), ISNUMBER(SEARCH("aniversario", F698)), ISNUMBER(SEARCH("churrasco", F698)), ISNUMBER(SEARCH("bolo", F698)), ISNUMBER(SEARCH("SUPERMERCADO", F698))), "6.1 Despesas Administrativas (Pessoal)", IF(OR(ISNUMBER(SEARCH("DLKNET", F698)), ISNUMBER(SEARCH("TESTE", F698))), "6.1 Despesas Administrativas (Gerais)", IFERROR(VLOOKUP(H698, De_Para!A:B, 2, FALSE), "NÃO MAPEADO"))), IFERROR(VLOOKUP(H698, De_Para!A:B, 2, FALSE), "NÃO MAPEADO"))</f>
        <v/>
      </c>
    </row>
    <row r="699">
      <c r="A699" s="2" t="inlineStr">
        <is>
          <t>68988</t>
        </is>
      </c>
      <c r="B699" s="2" t="inlineStr">
        <is>
          <t>Sicredi SNI</t>
        </is>
      </c>
      <c r="C699" s="2" t="inlineStr">
        <is>
          <t>17/06/2026</t>
        </is>
      </c>
      <c r="D699" s="2" t="inlineStr">
        <is>
          <t>17/06/2026</t>
        </is>
      </c>
      <c r="E699" s="2" t="inlineStr">
        <is>
          <t>Dinheiro</t>
        </is>
      </c>
      <c r="F699" s="2" t="inlineStr">
        <is>
          <t>Boleto "69217" do cliente "VAUDENIR ROSA DE LIMA"</t>
        </is>
      </c>
      <c r="G699" s="2" t="inlineStr">
        <is>
          <t>system</t>
        </is>
      </c>
      <c r="H699" s="2" t="inlineStr">
        <is>
          <t>01.01.01 : Mensalidade</t>
        </is>
      </c>
      <c r="I699" s="3" t="n">
        <v>107.21</v>
      </c>
      <c r="J699" s="2" t="n"/>
      <c r="K699" s="2">
        <f>IF(H699="02.09 : Outras Saídas", IF(OR(ISNUMBER(SEARCH("CHEQUE COMPE SICREDI", F699)), ISNUMBER(SEARCH("aniversario", F699)), ISNUMBER(SEARCH("churrasco", F699)), ISNUMBER(SEARCH("bolo", F699)), ISNUMBER(SEARCH("SUPERMERCADO", F699))), "6.1 Despesas Administrativas (Pessoal)", IF(OR(ISNUMBER(SEARCH("DLKNET", F699)), ISNUMBER(SEARCH("TESTE", F699))), "6.1 Despesas Administrativas (Gerais)", IFERROR(VLOOKUP(H699, De_Para!A:B, 2, FALSE), "NÃO MAPEADO"))), IFERROR(VLOOKUP(H699, De_Para!A:B, 2, FALSE), "NÃO MAPEADO"))</f>
        <v/>
      </c>
    </row>
    <row r="700">
      <c r="A700" s="2" t="inlineStr">
        <is>
          <t>68987</t>
        </is>
      </c>
      <c r="B700" s="2" t="inlineStr">
        <is>
          <t>Sicredi SNI</t>
        </is>
      </c>
      <c r="C700" s="2" t="inlineStr">
        <is>
          <t>17/06/2026</t>
        </is>
      </c>
      <c r="D700" s="2" t="inlineStr">
        <is>
          <t>17/06/2026</t>
        </is>
      </c>
      <c r="E700" s="2" t="inlineStr">
        <is>
          <t>Dinheiro</t>
        </is>
      </c>
      <c r="F700" s="2" t="inlineStr">
        <is>
          <t>Boleto "65871" do cliente "CLEUZA LUIZ GONÇALVES"</t>
        </is>
      </c>
      <c r="G700" s="2" t="inlineStr">
        <is>
          <t>system</t>
        </is>
      </c>
      <c r="H700" s="2" t="inlineStr">
        <is>
          <t>02.03.02.01 : Cobrança Bancaria</t>
        </is>
      </c>
      <c r="I700" s="2" t="n"/>
      <c r="J700" s="3" t="n">
        <v>-1.08</v>
      </c>
      <c r="K700" s="2">
        <f>IF(H700="02.09 : Outras Saídas", IF(OR(ISNUMBER(SEARCH("CHEQUE COMPE SICREDI", F700)), ISNUMBER(SEARCH("aniversario", F700)), ISNUMBER(SEARCH("churrasco", F700)), ISNUMBER(SEARCH("bolo", F700)), ISNUMBER(SEARCH("SUPERMERCADO", F700))), "6.1 Despesas Administrativas (Pessoal)", IF(OR(ISNUMBER(SEARCH("DLKNET", F700)), ISNUMBER(SEARCH("TESTE", F700))), "6.1 Despesas Administrativas (Gerais)", IFERROR(VLOOKUP(H700, De_Para!A:B, 2, FALSE), "NÃO MAPEADO"))), IFERROR(VLOOKUP(H700, De_Para!A:B, 2, FALSE), "NÃO MAPEADO"))</f>
        <v/>
      </c>
    </row>
    <row r="701">
      <c r="A701" s="2" t="inlineStr">
        <is>
          <t>68986</t>
        </is>
      </c>
      <c r="B701" s="2" t="inlineStr">
        <is>
          <t>Sicredi SNI</t>
        </is>
      </c>
      <c r="C701" s="2" t="inlineStr">
        <is>
          <t>17/06/2026</t>
        </is>
      </c>
      <c r="D701" s="2" t="inlineStr">
        <is>
          <t>17/06/2026</t>
        </is>
      </c>
      <c r="E701" s="2" t="inlineStr">
        <is>
          <t>Dinheiro</t>
        </is>
      </c>
      <c r="F701" s="2" t="inlineStr">
        <is>
          <t>Boleto "65871" do cliente "CLEUZA LUIZ GONÇALVES"</t>
        </is>
      </c>
      <c r="G701" s="2" t="inlineStr">
        <is>
          <t>system</t>
        </is>
      </c>
      <c r="H701" s="2" t="inlineStr">
        <is>
          <t>01.01.01 : Mensalidade</t>
        </is>
      </c>
      <c r="I701" s="3" t="n">
        <v>104.9</v>
      </c>
      <c r="J701" s="2" t="n"/>
      <c r="K701" s="2">
        <f>IF(H701="02.09 : Outras Saídas", IF(OR(ISNUMBER(SEARCH("CHEQUE COMPE SICREDI", F701)), ISNUMBER(SEARCH("aniversario", F701)), ISNUMBER(SEARCH("churrasco", F701)), ISNUMBER(SEARCH("bolo", F701)), ISNUMBER(SEARCH("SUPERMERCADO", F701))), "6.1 Despesas Administrativas (Pessoal)", IF(OR(ISNUMBER(SEARCH("DLKNET", F701)), ISNUMBER(SEARCH("TESTE", F701))), "6.1 Despesas Administrativas (Gerais)", IFERROR(VLOOKUP(H701, De_Para!A:B, 2, FALSE), "NÃO MAPEADO"))), IFERROR(VLOOKUP(H701, De_Para!A:B, 2, FALSE), "NÃO MAPEADO"))</f>
        <v/>
      </c>
    </row>
    <row r="702">
      <c r="A702" s="2" t="inlineStr">
        <is>
          <t>68985</t>
        </is>
      </c>
      <c r="B702" s="2" t="inlineStr">
        <is>
          <t>Sicoob</t>
        </is>
      </c>
      <c r="C702" s="2" t="inlineStr">
        <is>
          <t>17/06/2026</t>
        </is>
      </c>
      <c r="D702" s="2" t="inlineStr">
        <is>
          <t>17/06/2026</t>
        </is>
      </c>
      <c r="E702" s="2" t="inlineStr">
        <is>
          <t>Dinheiro</t>
        </is>
      </c>
      <c r="F702" s="2" t="inlineStr">
        <is>
          <t>Boleto "67060" do cliente "DAIANE DE MOURA SANTOS"</t>
        </is>
      </c>
      <c r="G702" s="2" t="inlineStr">
        <is>
          <t>system</t>
        </is>
      </c>
      <c r="H702" s="2" t="inlineStr">
        <is>
          <t>02.03.02.01 : Cobrança Bancaria</t>
        </is>
      </c>
      <c r="I702" s="2" t="n"/>
      <c r="J702" s="3" t="n">
        <v>-0.88</v>
      </c>
      <c r="K702" s="2">
        <f>IF(H702="02.09 : Outras Saídas", IF(OR(ISNUMBER(SEARCH("CHEQUE COMPE SICREDI", F702)), ISNUMBER(SEARCH("aniversario", F702)), ISNUMBER(SEARCH("churrasco", F702)), ISNUMBER(SEARCH("bolo", F702)), ISNUMBER(SEARCH("SUPERMERCADO", F702))), "6.1 Despesas Administrativas (Pessoal)", IF(OR(ISNUMBER(SEARCH("DLKNET", F702)), ISNUMBER(SEARCH("TESTE", F702))), "6.1 Despesas Administrativas (Gerais)", IFERROR(VLOOKUP(H702, De_Para!A:B, 2, FALSE), "NÃO MAPEADO"))), IFERROR(VLOOKUP(H702, De_Para!A:B, 2, FALSE), "NÃO MAPEADO"))</f>
        <v/>
      </c>
    </row>
    <row r="703">
      <c r="A703" s="2" t="inlineStr">
        <is>
          <t>68984</t>
        </is>
      </c>
      <c r="B703" s="2" t="inlineStr">
        <is>
          <t>Sicoob</t>
        </is>
      </c>
      <c r="C703" s="2" t="inlineStr">
        <is>
          <t>17/06/2026</t>
        </is>
      </c>
      <c r="D703" s="2" t="inlineStr">
        <is>
          <t>17/06/2026</t>
        </is>
      </c>
      <c r="E703" s="2" t="inlineStr">
        <is>
          <t>Dinheiro</t>
        </is>
      </c>
      <c r="F703" s="2" t="inlineStr">
        <is>
          <t>Boleto "67060" do cliente "DAIANE DE MOURA SANTOS"</t>
        </is>
      </c>
      <c r="G703" s="2" t="inlineStr">
        <is>
          <t>system</t>
        </is>
      </c>
      <c r="H703" s="2" t="inlineStr">
        <is>
          <t>01.01.01 : Mensalidade</t>
        </is>
      </c>
      <c r="I703" s="3" t="n">
        <v>104.9</v>
      </c>
      <c r="J703" s="2" t="n"/>
      <c r="K703" s="2">
        <f>IF(H703="02.09 : Outras Saídas", IF(OR(ISNUMBER(SEARCH("CHEQUE COMPE SICREDI", F703)), ISNUMBER(SEARCH("aniversario", F703)), ISNUMBER(SEARCH("churrasco", F703)), ISNUMBER(SEARCH("bolo", F703)), ISNUMBER(SEARCH("SUPERMERCADO", F703))), "6.1 Despesas Administrativas (Pessoal)", IF(OR(ISNUMBER(SEARCH("DLKNET", F703)), ISNUMBER(SEARCH("TESTE", F703))), "6.1 Despesas Administrativas (Gerais)", IFERROR(VLOOKUP(H703, De_Para!A:B, 2, FALSE), "NÃO MAPEADO"))), IFERROR(VLOOKUP(H703, De_Para!A:B, 2, FALSE), "NÃO MAPEADO"))</f>
        <v/>
      </c>
    </row>
    <row r="704">
      <c r="A704" s="2" t="inlineStr">
        <is>
          <t>68983</t>
        </is>
      </c>
      <c r="B704" s="2" t="inlineStr">
        <is>
          <t>Sicoob</t>
        </is>
      </c>
      <c r="C704" s="2" t="inlineStr">
        <is>
          <t>17/06/2026</t>
        </is>
      </c>
      <c r="D704" s="2" t="inlineStr">
        <is>
          <t>17/06/2026</t>
        </is>
      </c>
      <c r="E704" s="2" t="inlineStr">
        <is>
          <t>Dinheiro</t>
        </is>
      </c>
      <c r="F704" s="2" t="inlineStr">
        <is>
          <t>Boleto "60952" do cliente "ANTONIO CRUZ DE SOUZA JUNIOR"</t>
        </is>
      </c>
      <c r="G704" s="2" t="inlineStr">
        <is>
          <t>system</t>
        </is>
      </c>
      <c r="H704" s="2" t="inlineStr">
        <is>
          <t>02.03.02.01 : Cobrança Bancaria</t>
        </is>
      </c>
      <c r="I704" s="2" t="n"/>
      <c r="J704" s="3" t="n">
        <v>-0.88</v>
      </c>
      <c r="K704" s="2">
        <f>IF(H704="02.09 : Outras Saídas", IF(OR(ISNUMBER(SEARCH("CHEQUE COMPE SICREDI", F704)), ISNUMBER(SEARCH("aniversario", F704)), ISNUMBER(SEARCH("churrasco", F704)), ISNUMBER(SEARCH("bolo", F704)), ISNUMBER(SEARCH("SUPERMERCADO", F704))), "6.1 Despesas Administrativas (Pessoal)", IF(OR(ISNUMBER(SEARCH("DLKNET", F704)), ISNUMBER(SEARCH("TESTE", F704))), "6.1 Despesas Administrativas (Gerais)", IFERROR(VLOOKUP(H704, De_Para!A:B, 2, FALSE), "NÃO MAPEADO"))), IFERROR(VLOOKUP(H704, De_Para!A:B, 2, FALSE), "NÃO MAPEADO"))</f>
        <v/>
      </c>
    </row>
    <row r="705">
      <c r="A705" s="2" t="inlineStr">
        <is>
          <t>68982</t>
        </is>
      </c>
      <c r="B705" s="2" t="inlineStr">
        <is>
          <t>Sicoob</t>
        </is>
      </c>
      <c r="C705" s="2" t="inlineStr">
        <is>
          <t>17/06/2026</t>
        </is>
      </c>
      <c r="D705" s="2" t="inlineStr">
        <is>
          <t>17/06/2026</t>
        </is>
      </c>
      <c r="E705" s="2" t="inlineStr">
        <is>
          <t>Dinheiro</t>
        </is>
      </c>
      <c r="F705" s="2" t="inlineStr">
        <is>
          <t>Boleto "60952" do cliente "ANTONIO CRUZ DE SOUZA JUNIOR"</t>
        </is>
      </c>
      <c r="G705" s="2" t="inlineStr">
        <is>
          <t>system</t>
        </is>
      </c>
      <c r="H705" s="2" t="inlineStr">
        <is>
          <t>01.01.01 : Mensalidade</t>
        </is>
      </c>
      <c r="I705" s="3" t="n">
        <v>105</v>
      </c>
      <c r="J705" s="2" t="n"/>
      <c r="K705" s="2">
        <f>IF(H705="02.09 : Outras Saídas", IF(OR(ISNUMBER(SEARCH("CHEQUE COMPE SICREDI", F705)), ISNUMBER(SEARCH("aniversario", F705)), ISNUMBER(SEARCH("churrasco", F705)), ISNUMBER(SEARCH("bolo", F705)), ISNUMBER(SEARCH("SUPERMERCADO", F705))), "6.1 Despesas Administrativas (Pessoal)", IF(OR(ISNUMBER(SEARCH("DLKNET", F705)), ISNUMBER(SEARCH("TESTE", F705))), "6.1 Despesas Administrativas (Gerais)", IFERROR(VLOOKUP(H705, De_Para!A:B, 2, FALSE), "NÃO MAPEADO"))), IFERROR(VLOOKUP(H705, De_Para!A:B, 2, FALSE), "NÃO MAPEADO"))</f>
        <v/>
      </c>
    </row>
    <row r="706">
      <c r="A706" s="2" t="inlineStr">
        <is>
          <t>68981</t>
        </is>
      </c>
      <c r="B706" s="2" t="inlineStr">
        <is>
          <t>Sicredi SNI</t>
        </is>
      </c>
      <c r="C706" s="2" t="inlineStr">
        <is>
          <t>17/06/2026</t>
        </is>
      </c>
      <c r="D706" s="2" t="inlineStr">
        <is>
          <t>17/06/2026</t>
        </is>
      </c>
      <c r="E706" s="2" t="inlineStr">
        <is>
          <t>Dinheiro</t>
        </is>
      </c>
      <c r="F706" s="2" t="inlineStr">
        <is>
          <t>Boleto "63380" do cliente "JOSE CARLOS BRANCO"</t>
        </is>
      </c>
      <c r="G706" s="2" t="inlineStr">
        <is>
          <t>system</t>
        </is>
      </c>
      <c r="H706" s="2" t="inlineStr">
        <is>
          <t>02.03.02.01 : Cobrança Bancaria</t>
        </is>
      </c>
      <c r="I706" s="2" t="n"/>
      <c r="J706" s="3" t="n">
        <v>-1.08</v>
      </c>
      <c r="K706" s="2">
        <f>IF(H706="02.09 : Outras Saídas", IF(OR(ISNUMBER(SEARCH("CHEQUE COMPE SICREDI", F706)), ISNUMBER(SEARCH("aniversario", F706)), ISNUMBER(SEARCH("churrasco", F706)), ISNUMBER(SEARCH("bolo", F706)), ISNUMBER(SEARCH("SUPERMERCADO", F706))), "6.1 Despesas Administrativas (Pessoal)", IF(OR(ISNUMBER(SEARCH("DLKNET", F706)), ISNUMBER(SEARCH("TESTE", F706))), "6.1 Despesas Administrativas (Gerais)", IFERROR(VLOOKUP(H706, De_Para!A:B, 2, FALSE), "NÃO MAPEADO"))), IFERROR(VLOOKUP(H706, De_Para!A:B, 2, FALSE), "NÃO MAPEADO"))</f>
        <v/>
      </c>
    </row>
    <row r="707">
      <c r="A707" s="2" t="inlineStr">
        <is>
          <t>68980</t>
        </is>
      </c>
      <c r="B707" s="2" t="inlineStr">
        <is>
          <t>Sicredi SNI</t>
        </is>
      </c>
      <c r="C707" s="2" t="inlineStr">
        <is>
          <t>17/06/2026</t>
        </is>
      </c>
      <c r="D707" s="2" t="inlineStr">
        <is>
          <t>17/06/2026</t>
        </is>
      </c>
      <c r="E707" s="2" t="inlineStr">
        <is>
          <t>Dinheiro</t>
        </is>
      </c>
      <c r="F707" s="2" t="inlineStr">
        <is>
          <t>Boleto "63380" do cliente "JOSE CARLOS BRANCO"</t>
        </is>
      </c>
      <c r="G707" s="2" t="inlineStr">
        <is>
          <t>system</t>
        </is>
      </c>
      <c r="H707" s="2" t="inlineStr">
        <is>
          <t>01.01.01 : Mensalidade</t>
        </is>
      </c>
      <c r="I707" s="3" t="n">
        <v>99.90000000000001</v>
      </c>
      <c r="J707" s="2" t="n"/>
      <c r="K707" s="2">
        <f>IF(H707="02.09 : Outras Saídas", IF(OR(ISNUMBER(SEARCH("CHEQUE COMPE SICREDI", F707)), ISNUMBER(SEARCH("aniversario", F707)), ISNUMBER(SEARCH("churrasco", F707)), ISNUMBER(SEARCH("bolo", F707)), ISNUMBER(SEARCH("SUPERMERCADO", F707))), "6.1 Despesas Administrativas (Pessoal)", IF(OR(ISNUMBER(SEARCH("DLKNET", F707)), ISNUMBER(SEARCH("TESTE", F707))), "6.1 Despesas Administrativas (Gerais)", IFERROR(VLOOKUP(H707, De_Para!A:B, 2, FALSE), "NÃO MAPEADO"))), IFERROR(VLOOKUP(H707, De_Para!A:B, 2, FALSE), "NÃO MAPEADO"))</f>
        <v/>
      </c>
    </row>
    <row r="708">
      <c r="A708" s="2" t="inlineStr">
        <is>
          <t>68979</t>
        </is>
      </c>
      <c r="B708" s="2" t="inlineStr">
        <is>
          <t>Sicoob</t>
        </is>
      </c>
      <c r="C708" s="2" t="inlineStr">
        <is>
          <t>17/06/2026</t>
        </is>
      </c>
      <c r="D708" s="2" t="inlineStr">
        <is>
          <t>17/06/2026</t>
        </is>
      </c>
      <c r="E708" s="2" t="inlineStr">
        <is>
          <t>Dinheiro</t>
        </is>
      </c>
      <c r="F708" s="2" t="inlineStr">
        <is>
          <t>Boleto "60233" do cliente "JOAO MARIA DA COSTA"</t>
        </is>
      </c>
      <c r="G708" s="2" t="inlineStr">
        <is>
          <t>system</t>
        </is>
      </c>
      <c r="H708" s="2" t="inlineStr">
        <is>
          <t>02.03.02.01 : Cobrança Bancaria</t>
        </is>
      </c>
      <c r="I708" s="2" t="n"/>
      <c r="J708" s="3" t="n">
        <v>-0.88</v>
      </c>
      <c r="K708" s="2">
        <f>IF(H708="02.09 : Outras Saídas", IF(OR(ISNUMBER(SEARCH("CHEQUE COMPE SICREDI", F708)), ISNUMBER(SEARCH("aniversario", F708)), ISNUMBER(SEARCH("churrasco", F708)), ISNUMBER(SEARCH("bolo", F708)), ISNUMBER(SEARCH("SUPERMERCADO", F708))), "6.1 Despesas Administrativas (Pessoal)", IF(OR(ISNUMBER(SEARCH("DLKNET", F708)), ISNUMBER(SEARCH("TESTE", F708))), "6.1 Despesas Administrativas (Gerais)", IFERROR(VLOOKUP(H708, De_Para!A:B, 2, FALSE), "NÃO MAPEADO"))), IFERROR(VLOOKUP(H708, De_Para!A:B, 2, FALSE), "NÃO MAPEADO"))</f>
        <v/>
      </c>
    </row>
    <row r="709">
      <c r="A709" s="2" t="inlineStr">
        <is>
          <t>68978</t>
        </is>
      </c>
      <c r="B709" s="2" t="inlineStr">
        <is>
          <t>Sicoob</t>
        </is>
      </c>
      <c r="C709" s="2" t="inlineStr">
        <is>
          <t>17/06/2026</t>
        </is>
      </c>
      <c r="D709" s="2" t="inlineStr">
        <is>
          <t>17/06/2026</t>
        </is>
      </c>
      <c r="E709" s="2" t="inlineStr">
        <is>
          <t>Dinheiro</t>
        </is>
      </c>
      <c r="F709" s="2" t="inlineStr">
        <is>
          <t>Boleto "60233" do cliente "JOAO MARIA DA COSTA"</t>
        </is>
      </c>
      <c r="G709" s="2" t="inlineStr">
        <is>
          <t>system</t>
        </is>
      </c>
      <c r="H709" s="2" t="inlineStr">
        <is>
          <t>01.01.01 : Mensalidade</t>
        </is>
      </c>
      <c r="I709" s="3" t="n">
        <v>105</v>
      </c>
      <c r="J709" s="2" t="n"/>
      <c r="K709" s="2">
        <f>IF(H709="02.09 : Outras Saídas", IF(OR(ISNUMBER(SEARCH("CHEQUE COMPE SICREDI", F709)), ISNUMBER(SEARCH("aniversario", F709)), ISNUMBER(SEARCH("churrasco", F709)), ISNUMBER(SEARCH("bolo", F709)), ISNUMBER(SEARCH("SUPERMERCADO", F709))), "6.1 Despesas Administrativas (Pessoal)", IF(OR(ISNUMBER(SEARCH("DLKNET", F709)), ISNUMBER(SEARCH("TESTE", F709))), "6.1 Despesas Administrativas (Gerais)", IFERROR(VLOOKUP(H709, De_Para!A:B, 2, FALSE), "NÃO MAPEADO"))), IFERROR(VLOOKUP(H709, De_Para!A:B, 2, FALSE), "NÃO MAPEADO"))</f>
        <v/>
      </c>
    </row>
    <row r="710">
      <c r="A710" s="2" t="inlineStr">
        <is>
          <t>68977</t>
        </is>
      </c>
      <c r="B710" s="2" t="inlineStr">
        <is>
          <t>Sicoob</t>
        </is>
      </c>
      <c r="C710" s="2" t="inlineStr">
        <is>
          <t>17/06/2026</t>
        </is>
      </c>
      <c r="D710" s="2" t="inlineStr">
        <is>
          <t>17/06/2026</t>
        </is>
      </c>
      <c r="E710" s="2" t="inlineStr">
        <is>
          <t>Dinheiro</t>
        </is>
      </c>
      <c r="F710" s="2" t="inlineStr">
        <is>
          <t>Boleto "64475" do cliente "MARCELO APARECIDO PADILHA"</t>
        </is>
      </c>
      <c r="G710" s="2" t="inlineStr">
        <is>
          <t>system</t>
        </is>
      </c>
      <c r="H710" s="2" t="inlineStr">
        <is>
          <t>02.03.02.01 : Cobrança Bancaria</t>
        </is>
      </c>
      <c r="I710" s="2" t="n"/>
      <c r="J710" s="3" t="n">
        <v>-0.88</v>
      </c>
      <c r="K710" s="2">
        <f>IF(H710="02.09 : Outras Saídas", IF(OR(ISNUMBER(SEARCH("CHEQUE COMPE SICREDI", F710)), ISNUMBER(SEARCH("aniversario", F710)), ISNUMBER(SEARCH("churrasco", F710)), ISNUMBER(SEARCH("bolo", F710)), ISNUMBER(SEARCH("SUPERMERCADO", F710))), "6.1 Despesas Administrativas (Pessoal)", IF(OR(ISNUMBER(SEARCH("DLKNET", F710)), ISNUMBER(SEARCH("TESTE", F710))), "6.1 Despesas Administrativas (Gerais)", IFERROR(VLOOKUP(H710, De_Para!A:B, 2, FALSE), "NÃO MAPEADO"))), IFERROR(VLOOKUP(H710, De_Para!A:B, 2, FALSE), "NÃO MAPEADO"))</f>
        <v/>
      </c>
    </row>
    <row r="711">
      <c r="A711" s="2" t="inlineStr">
        <is>
          <t>68976</t>
        </is>
      </c>
      <c r="B711" s="2" t="inlineStr">
        <is>
          <t>Sicoob</t>
        </is>
      </c>
      <c r="C711" s="2" t="inlineStr">
        <is>
          <t>17/06/2026</t>
        </is>
      </c>
      <c r="D711" s="2" t="inlineStr">
        <is>
          <t>17/06/2026</t>
        </is>
      </c>
      <c r="E711" s="2" t="inlineStr">
        <is>
          <t>Dinheiro</t>
        </is>
      </c>
      <c r="F711" s="2" t="inlineStr">
        <is>
          <t>Boleto "64475" do cliente "MARCELO APARECIDO PADILHA"</t>
        </is>
      </c>
      <c r="G711" s="2" t="inlineStr">
        <is>
          <t>system</t>
        </is>
      </c>
      <c r="H711" s="2" t="inlineStr">
        <is>
          <t>01.01.01 : Mensalidade</t>
        </is>
      </c>
      <c r="I711" s="3" t="n">
        <v>112.27</v>
      </c>
      <c r="J711" s="2" t="n"/>
      <c r="K711" s="2">
        <f>IF(H711="02.09 : Outras Saídas", IF(OR(ISNUMBER(SEARCH("CHEQUE COMPE SICREDI", F711)), ISNUMBER(SEARCH("aniversario", F711)), ISNUMBER(SEARCH("churrasco", F711)), ISNUMBER(SEARCH("bolo", F711)), ISNUMBER(SEARCH("SUPERMERCADO", F711))), "6.1 Despesas Administrativas (Pessoal)", IF(OR(ISNUMBER(SEARCH("DLKNET", F711)), ISNUMBER(SEARCH("TESTE", F711))), "6.1 Despesas Administrativas (Gerais)", IFERROR(VLOOKUP(H711, De_Para!A:B, 2, FALSE), "NÃO MAPEADO"))), IFERROR(VLOOKUP(H711, De_Para!A:B, 2, FALSE), "NÃO MAPEADO"))</f>
        <v/>
      </c>
    </row>
    <row r="712">
      <c r="A712" s="2" t="inlineStr">
        <is>
          <t>68975</t>
        </is>
      </c>
      <c r="B712" s="2" t="inlineStr">
        <is>
          <t>Sicoob</t>
        </is>
      </c>
      <c r="C712" s="2" t="inlineStr">
        <is>
          <t>17/06/2026</t>
        </is>
      </c>
      <c r="D712" s="2" t="inlineStr">
        <is>
          <t>17/06/2026</t>
        </is>
      </c>
      <c r="E712" s="2" t="inlineStr">
        <is>
          <t>Dinheiro</t>
        </is>
      </c>
      <c r="F712" s="2" t="inlineStr">
        <is>
          <t>Boleto "56088" do cliente "ANTONIO GONÇALVES SOBRINHO"</t>
        </is>
      </c>
      <c r="G712" s="2" t="inlineStr">
        <is>
          <t>system</t>
        </is>
      </c>
      <c r="H712" s="2" t="inlineStr">
        <is>
          <t>02.03.02.01 : Cobrança Bancaria</t>
        </is>
      </c>
      <c r="I712" s="2" t="n"/>
      <c r="J712" s="3" t="n">
        <v>-0.88</v>
      </c>
      <c r="K712" s="2">
        <f>IF(H712="02.09 : Outras Saídas", IF(OR(ISNUMBER(SEARCH("CHEQUE COMPE SICREDI", F712)), ISNUMBER(SEARCH("aniversario", F712)), ISNUMBER(SEARCH("churrasco", F712)), ISNUMBER(SEARCH("bolo", F712)), ISNUMBER(SEARCH("SUPERMERCADO", F712))), "6.1 Despesas Administrativas (Pessoal)", IF(OR(ISNUMBER(SEARCH("DLKNET", F712)), ISNUMBER(SEARCH("TESTE", F712))), "6.1 Despesas Administrativas (Gerais)", IFERROR(VLOOKUP(H712, De_Para!A:B, 2, FALSE), "NÃO MAPEADO"))), IFERROR(VLOOKUP(H712, De_Para!A:B, 2, FALSE), "NÃO MAPEADO"))</f>
        <v/>
      </c>
    </row>
    <row r="713">
      <c r="A713" s="2" t="inlineStr">
        <is>
          <t>68974</t>
        </is>
      </c>
      <c r="B713" s="2" t="inlineStr">
        <is>
          <t>Sicoob</t>
        </is>
      </c>
      <c r="C713" s="2" t="inlineStr">
        <is>
          <t>17/06/2026</t>
        </is>
      </c>
      <c r="D713" s="2" t="inlineStr">
        <is>
          <t>17/06/2026</t>
        </is>
      </c>
      <c r="E713" s="2" t="inlineStr">
        <is>
          <t>Dinheiro</t>
        </is>
      </c>
      <c r="F713" s="2" t="inlineStr">
        <is>
          <t>Boleto "56088" do cliente "ANTONIO GONÇALVES SOBRINHO"</t>
        </is>
      </c>
      <c r="G713" s="2" t="inlineStr">
        <is>
          <t>system</t>
        </is>
      </c>
      <c r="H713" s="2" t="inlineStr">
        <is>
          <t>01.01.01 : Mensalidade</t>
        </is>
      </c>
      <c r="I713" s="3" t="n">
        <v>107.34</v>
      </c>
      <c r="J713" s="2" t="n"/>
      <c r="K713" s="2">
        <f>IF(H713="02.09 : Outras Saídas", IF(OR(ISNUMBER(SEARCH("CHEQUE COMPE SICREDI", F713)), ISNUMBER(SEARCH("aniversario", F713)), ISNUMBER(SEARCH("churrasco", F713)), ISNUMBER(SEARCH("bolo", F713)), ISNUMBER(SEARCH("SUPERMERCADO", F713))), "6.1 Despesas Administrativas (Pessoal)", IF(OR(ISNUMBER(SEARCH("DLKNET", F713)), ISNUMBER(SEARCH("TESTE", F713))), "6.1 Despesas Administrativas (Gerais)", IFERROR(VLOOKUP(H713, De_Para!A:B, 2, FALSE), "NÃO MAPEADO"))), IFERROR(VLOOKUP(H713, De_Para!A:B, 2, FALSE), "NÃO MAPEADO"))</f>
        <v/>
      </c>
    </row>
    <row r="714">
      <c r="A714" s="2" t="inlineStr">
        <is>
          <t>68973</t>
        </is>
      </c>
      <c r="B714" s="2" t="inlineStr">
        <is>
          <t>Sicoob</t>
        </is>
      </c>
      <c r="C714" s="2" t="inlineStr">
        <is>
          <t>17/06/2026</t>
        </is>
      </c>
      <c r="D714" s="2" t="inlineStr">
        <is>
          <t>17/06/2026</t>
        </is>
      </c>
      <c r="E714" s="2" t="inlineStr">
        <is>
          <t>Dinheiro</t>
        </is>
      </c>
      <c r="F714" s="2" t="inlineStr">
        <is>
          <t>Boleto "63679" do cliente "CLODAIR JOÃO PINHEIRO LEMOS"</t>
        </is>
      </c>
      <c r="G714" s="2" t="inlineStr">
        <is>
          <t>system</t>
        </is>
      </c>
      <c r="H714" s="2" t="inlineStr">
        <is>
          <t>02.03.02.01 : Cobrança Bancaria</t>
        </is>
      </c>
      <c r="I714" s="2" t="n"/>
      <c r="J714" s="3" t="n">
        <v>-0.88</v>
      </c>
      <c r="K714" s="2">
        <f>IF(H714="02.09 : Outras Saídas", IF(OR(ISNUMBER(SEARCH("CHEQUE COMPE SICREDI", F714)), ISNUMBER(SEARCH("aniversario", F714)), ISNUMBER(SEARCH("churrasco", F714)), ISNUMBER(SEARCH("bolo", F714)), ISNUMBER(SEARCH("SUPERMERCADO", F714))), "6.1 Despesas Administrativas (Pessoal)", IF(OR(ISNUMBER(SEARCH("DLKNET", F714)), ISNUMBER(SEARCH("TESTE", F714))), "6.1 Despesas Administrativas (Gerais)", IFERROR(VLOOKUP(H714, De_Para!A:B, 2, FALSE), "NÃO MAPEADO"))), IFERROR(VLOOKUP(H714, De_Para!A:B, 2, FALSE), "NÃO MAPEADO"))</f>
        <v/>
      </c>
    </row>
    <row r="715">
      <c r="A715" s="2" t="inlineStr">
        <is>
          <t>68972</t>
        </is>
      </c>
      <c r="B715" s="2" t="inlineStr">
        <is>
          <t>Sicoob</t>
        </is>
      </c>
      <c r="C715" s="2" t="inlineStr">
        <is>
          <t>17/06/2026</t>
        </is>
      </c>
      <c r="D715" s="2" t="inlineStr">
        <is>
          <t>17/06/2026</t>
        </is>
      </c>
      <c r="E715" s="2" t="inlineStr">
        <is>
          <t>Dinheiro</t>
        </is>
      </c>
      <c r="F715" s="2" t="inlineStr">
        <is>
          <t>Boleto "63679" do cliente "CLODAIR JOÃO PINHEIRO LEMOS"</t>
        </is>
      </c>
      <c r="G715" s="2" t="inlineStr">
        <is>
          <t>system</t>
        </is>
      </c>
      <c r="H715" s="2" t="inlineStr">
        <is>
          <t>01.01.01 : Mensalidade</t>
        </is>
      </c>
      <c r="I715" s="3" t="n">
        <v>107.79</v>
      </c>
      <c r="J715" s="2" t="n"/>
      <c r="K715" s="2">
        <f>IF(H715="02.09 : Outras Saídas", IF(OR(ISNUMBER(SEARCH("CHEQUE COMPE SICREDI", F715)), ISNUMBER(SEARCH("aniversario", F715)), ISNUMBER(SEARCH("churrasco", F715)), ISNUMBER(SEARCH("bolo", F715)), ISNUMBER(SEARCH("SUPERMERCADO", F715))), "6.1 Despesas Administrativas (Pessoal)", IF(OR(ISNUMBER(SEARCH("DLKNET", F715)), ISNUMBER(SEARCH("TESTE", F715))), "6.1 Despesas Administrativas (Gerais)", IFERROR(VLOOKUP(H715, De_Para!A:B, 2, FALSE), "NÃO MAPEADO"))), IFERROR(VLOOKUP(H715, De_Para!A:B, 2, FALSE), "NÃO MAPEADO"))</f>
        <v/>
      </c>
    </row>
    <row r="716">
      <c r="A716" s="2" t="inlineStr">
        <is>
          <t>68971</t>
        </is>
      </c>
      <c r="B716" s="2" t="inlineStr">
        <is>
          <t>Sicoob</t>
        </is>
      </c>
      <c r="C716" s="2" t="inlineStr">
        <is>
          <t>17/06/2026</t>
        </is>
      </c>
      <c r="D716" s="2" t="inlineStr">
        <is>
          <t>16/06/2026</t>
        </is>
      </c>
      <c r="E716" s="2" t="inlineStr">
        <is>
          <t>Boleto</t>
        </is>
      </c>
      <c r="F716" s="2" t="inlineStr">
        <is>
          <t>DÉB.TIT.COMPE EFETIVADO  ALARES</t>
        </is>
      </c>
      <c r="G716" s="2" t="inlineStr">
        <is>
          <t>clau</t>
        </is>
      </c>
      <c r="H716" s="2" t="inlineStr">
        <is>
          <t>02.03.02.24 : Custo do Link</t>
        </is>
      </c>
      <c r="I716" s="2" t="n"/>
      <c r="J716" s="3" t="n">
        <v>-2037.56</v>
      </c>
      <c r="K716" s="2">
        <f>IF(H716="02.09 : Outras Saídas", IF(OR(ISNUMBER(SEARCH("CHEQUE COMPE SICREDI", F716)), ISNUMBER(SEARCH("aniversario", F716)), ISNUMBER(SEARCH("churrasco", F716)), ISNUMBER(SEARCH("bolo", F716)), ISNUMBER(SEARCH("SUPERMERCADO", F716))), "6.1 Despesas Administrativas (Pessoal)", IF(OR(ISNUMBER(SEARCH("DLKNET", F716)), ISNUMBER(SEARCH("TESTE", F716))), "6.1 Despesas Administrativas (Gerais)", IFERROR(VLOOKUP(H716, De_Para!A:B, 2, FALSE), "NÃO MAPEADO"))), IFERROR(VLOOKUP(H716, De_Para!A:B, 2, FALSE), "NÃO MAPEADO"))</f>
        <v/>
      </c>
    </row>
    <row r="717">
      <c r="A717" s="2" t="inlineStr">
        <is>
          <t>68970</t>
        </is>
      </c>
      <c r="B717" s="2" t="inlineStr">
        <is>
          <t>Sicoob</t>
        </is>
      </c>
      <c r="C717" s="2" t="inlineStr">
        <is>
          <t>17/06/2026</t>
        </is>
      </c>
      <c r="D717" s="2" t="inlineStr">
        <is>
          <t>16/06/2026</t>
        </is>
      </c>
      <c r="E717" s="2" t="inlineStr">
        <is>
          <t>Boleto</t>
        </is>
      </c>
      <c r="F717" s="2" t="inlineStr">
        <is>
          <t>DÉB.TIT.COMPE EFETIVADO ALARES</t>
        </is>
      </c>
      <c r="G717" s="2" t="inlineStr">
        <is>
          <t>clau</t>
        </is>
      </c>
      <c r="H717" s="2" t="inlineStr">
        <is>
          <t>02.03.02.24 : Custo do Link</t>
        </is>
      </c>
      <c r="I717" s="2" t="n"/>
      <c r="J717" s="3" t="n">
        <v>-1016.23</v>
      </c>
      <c r="K717" s="2">
        <f>IF(H717="02.09 : Outras Saídas", IF(OR(ISNUMBER(SEARCH("CHEQUE COMPE SICREDI", F717)), ISNUMBER(SEARCH("aniversario", F717)), ISNUMBER(SEARCH("churrasco", F717)), ISNUMBER(SEARCH("bolo", F717)), ISNUMBER(SEARCH("SUPERMERCADO", F717))), "6.1 Despesas Administrativas (Pessoal)", IF(OR(ISNUMBER(SEARCH("DLKNET", F717)), ISNUMBER(SEARCH("TESTE", F717))), "6.1 Despesas Administrativas (Gerais)", IFERROR(VLOOKUP(H717, De_Para!A:B, 2, FALSE), "NÃO MAPEADO"))), IFERROR(VLOOKUP(H717, De_Para!A:B, 2, FALSE), "NÃO MAPEADO"))</f>
        <v/>
      </c>
    </row>
    <row r="718">
      <c r="A718" s="2" t="inlineStr">
        <is>
          <t>68969</t>
        </is>
      </c>
      <c r="B718" s="2" t="inlineStr">
        <is>
          <t>Sicoob</t>
        </is>
      </c>
      <c r="C718" s="2" t="inlineStr">
        <is>
          <t>17/06/2026</t>
        </is>
      </c>
      <c r="D718" s="2" t="inlineStr">
        <is>
          <t>16/06/2026</t>
        </is>
      </c>
      <c r="E718" s="2" t="inlineStr">
        <is>
          <t>PIX</t>
        </is>
      </c>
      <c r="F718" s="2" t="inlineStr">
        <is>
          <t>PIX EMITIDO OUTRA IF_x000D_
Pagamento Pix_x000D_
38.372.267 0001-82 _x000D_
CONECTOR RJ E FITA ISOLANTE</t>
        </is>
      </c>
      <c r="G718" s="2" t="inlineStr">
        <is>
          <t>clau</t>
        </is>
      </c>
      <c r="H718" s="2" t="inlineStr">
        <is>
          <t>02.01.03.01 : Reposição de Ferramentas</t>
        </is>
      </c>
      <c r="I718" s="2" t="n"/>
      <c r="J718" s="3" t="n">
        <v>-214.28</v>
      </c>
      <c r="K718" s="2">
        <f>IF(H718="02.09 : Outras Saídas", IF(OR(ISNUMBER(SEARCH("CHEQUE COMPE SICREDI", F718)), ISNUMBER(SEARCH("aniversario", F718)), ISNUMBER(SEARCH("churrasco", F718)), ISNUMBER(SEARCH("bolo", F718)), ISNUMBER(SEARCH("SUPERMERCADO", F718))), "6.1 Despesas Administrativas (Pessoal)", IF(OR(ISNUMBER(SEARCH("DLKNET", F718)), ISNUMBER(SEARCH("TESTE", F718))), "6.1 Despesas Administrativas (Gerais)", IFERROR(VLOOKUP(H718, De_Para!A:B, 2, FALSE), "NÃO MAPEADO"))), IFERROR(VLOOKUP(H718, De_Para!A:B, 2, FALSE), "NÃO MAPEADO"))</f>
        <v/>
      </c>
    </row>
    <row r="719">
      <c r="A719" s="2" t="inlineStr">
        <is>
          <t>68968</t>
        </is>
      </c>
      <c r="B719" s="2" t="inlineStr">
        <is>
          <t>Sicoob</t>
        </is>
      </c>
      <c r="C719" s="2" t="inlineStr">
        <is>
          <t>17/06/2026</t>
        </is>
      </c>
      <c r="D719" s="2" t="inlineStr">
        <is>
          <t>16/06/2026</t>
        </is>
      </c>
      <c r="E719" s="2" t="inlineStr">
        <is>
          <t>Boleto</t>
        </is>
      </c>
      <c r="F719" s="2" t="inlineStr">
        <is>
          <t>DÉB.TIT.COMPE EFETIVADO_x000D_
Financiamento Strada</t>
        </is>
      </c>
      <c r="G719" s="2" t="inlineStr">
        <is>
          <t>clau</t>
        </is>
      </c>
      <c r="H719" s="2" t="inlineStr">
        <is>
          <t>02.03.04.05 : FINANCIAMENTO VEICULO</t>
        </is>
      </c>
      <c r="I719" s="2" t="n"/>
      <c r="J719" s="3" t="n">
        <v>-1881.55</v>
      </c>
      <c r="K719" s="2">
        <f>IF(H719="02.09 : Outras Saídas", IF(OR(ISNUMBER(SEARCH("CHEQUE COMPE SICREDI", F719)), ISNUMBER(SEARCH("aniversario", F719)), ISNUMBER(SEARCH("churrasco", F719)), ISNUMBER(SEARCH("bolo", F719)), ISNUMBER(SEARCH("SUPERMERCADO", F719))), "6.1 Despesas Administrativas (Pessoal)", IF(OR(ISNUMBER(SEARCH("DLKNET", F719)), ISNUMBER(SEARCH("TESTE", F719))), "6.1 Despesas Administrativas (Gerais)", IFERROR(VLOOKUP(H719, De_Para!A:B, 2, FALSE), "NÃO MAPEADO"))), IFERROR(VLOOKUP(H719, De_Para!A:B, 2, FALSE), "NÃO MAPEADO"))</f>
        <v/>
      </c>
    </row>
    <row r="720">
      <c r="A720" s="2" t="inlineStr">
        <is>
          <t>68967</t>
        </is>
      </c>
      <c r="B720" s="2" t="inlineStr">
        <is>
          <t>Sicredi SNI</t>
        </is>
      </c>
      <c r="C720" s="2" t="inlineStr">
        <is>
          <t>17/06/2026</t>
        </is>
      </c>
      <c r="D720" s="2" t="inlineStr">
        <is>
          <t>17/06/2026</t>
        </is>
      </c>
      <c r="E720" s="2" t="inlineStr">
        <is>
          <t>Cartão de Débito</t>
        </is>
      </c>
      <c r="F720" s="2" t="inlineStr">
        <is>
          <t>COMPRAS NACIONAIS DOCE SABOR JOAQUIM TAVORBR Marmitas Edison(Angelica)</t>
        </is>
      </c>
      <c r="G720" s="2" t="inlineStr">
        <is>
          <t>clau</t>
        </is>
      </c>
      <c r="H720" s="2" t="inlineStr">
        <is>
          <t>02.03.02.07 : Pro-Labore</t>
        </is>
      </c>
      <c r="I720" s="2" t="n"/>
      <c r="J720" s="3" t="n">
        <v>-74.5</v>
      </c>
      <c r="K720" s="2">
        <f>IF(H720="02.09 : Outras Saídas", IF(OR(ISNUMBER(SEARCH("CHEQUE COMPE SICREDI", F720)), ISNUMBER(SEARCH("aniversario", F720)), ISNUMBER(SEARCH("churrasco", F720)), ISNUMBER(SEARCH("bolo", F720)), ISNUMBER(SEARCH("SUPERMERCADO", F720))), "6.1 Despesas Administrativas (Pessoal)", IF(OR(ISNUMBER(SEARCH("DLKNET", F720)), ISNUMBER(SEARCH("TESTE", F720))), "6.1 Despesas Administrativas (Gerais)", IFERROR(VLOOKUP(H720, De_Para!A:B, 2, FALSE), "NÃO MAPEADO"))), IFERROR(VLOOKUP(H720, De_Para!A:B, 2, FALSE), "NÃO MAPEADO"))</f>
        <v/>
      </c>
    </row>
    <row r="721">
      <c r="A721" s="2" t="inlineStr">
        <is>
          <t>68966</t>
        </is>
      </c>
      <c r="B721" s="2" t="inlineStr">
        <is>
          <t>Sicoob</t>
        </is>
      </c>
      <c r="C721" s="2" t="inlineStr">
        <is>
          <t>17/06/2026</t>
        </is>
      </c>
      <c r="D721" s="2" t="inlineStr">
        <is>
          <t>17/06/2026</t>
        </is>
      </c>
      <c r="E721" s="2" t="inlineStr">
        <is>
          <t>Dinheiro</t>
        </is>
      </c>
      <c r="F721" s="2" t="inlineStr">
        <is>
          <t>Boleto "65363" do cliente "DIELISON DOS SANTOS SILVA"</t>
        </is>
      </c>
      <c r="G721" s="2" t="inlineStr">
        <is>
          <t>system</t>
        </is>
      </c>
      <c r="H721" s="2" t="inlineStr">
        <is>
          <t>02.03.02.01 : Cobrança Bancaria</t>
        </is>
      </c>
      <c r="I721" s="2" t="n"/>
      <c r="J721" s="3" t="n">
        <v>-0.88</v>
      </c>
      <c r="K721" s="2">
        <f>IF(H721="02.09 : Outras Saídas", IF(OR(ISNUMBER(SEARCH("CHEQUE COMPE SICREDI", F721)), ISNUMBER(SEARCH("aniversario", F721)), ISNUMBER(SEARCH("churrasco", F721)), ISNUMBER(SEARCH("bolo", F721)), ISNUMBER(SEARCH("SUPERMERCADO", F721))), "6.1 Despesas Administrativas (Pessoal)", IF(OR(ISNUMBER(SEARCH("DLKNET", F721)), ISNUMBER(SEARCH("TESTE", F721))), "6.1 Despesas Administrativas (Gerais)", IFERROR(VLOOKUP(H721, De_Para!A:B, 2, FALSE), "NÃO MAPEADO"))), IFERROR(VLOOKUP(H721, De_Para!A:B, 2, FALSE), "NÃO MAPEADO"))</f>
        <v/>
      </c>
    </row>
    <row r="722">
      <c r="A722" s="2" t="inlineStr">
        <is>
          <t>68965</t>
        </is>
      </c>
      <c r="B722" s="2" t="inlineStr">
        <is>
          <t>Sicoob</t>
        </is>
      </c>
      <c r="C722" s="2" t="inlineStr">
        <is>
          <t>17/06/2026</t>
        </is>
      </c>
      <c r="D722" s="2" t="inlineStr">
        <is>
          <t>17/06/2026</t>
        </is>
      </c>
      <c r="E722" s="2" t="inlineStr">
        <is>
          <t>Dinheiro</t>
        </is>
      </c>
      <c r="F722" s="2" t="inlineStr">
        <is>
          <t>Boleto "65363" do cliente "DIELISON DOS SANTOS SILVA"</t>
        </is>
      </c>
      <c r="G722" s="2" t="inlineStr">
        <is>
          <t>system</t>
        </is>
      </c>
      <c r="H722" s="2" t="inlineStr">
        <is>
          <t>01.01.01 : Mensalidade</t>
        </is>
      </c>
      <c r="I722" s="3" t="n">
        <v>80</v>
      </c>
      <c r="J722" s="2" t="n"/>
      <c r="K722" s="2">
        <f>IF(H722="02.09 : Outras Saídas", IF(OR(ISNUMBER(SEARCH("CHEQUE COMPE SICREDI", F722)), ISNUMBER(SEARCH("aniversario", F722)), ISNUMBER(SEARCH("churrasco", F722)), ISNUMBER(SEARCH("bolo", F722)), ISNUMBER(SEARCH("SUPERMERCADO", F722))), "6.1 Despesas Administrativas (Pessoal)", IF(OR(ISNUMBER(SEARCH("DLKNET", F722)), ISNUMBER(SEARCH("TESTE", F722))), "6.1 Despesas Administrativas (Gerais)", IFERROR(VLOOKUP(H722, De_Para!A:B, 2, FALSE), "NÃO MAPEADO"))), IFERROR(VLOOKUP(H722, De_Para!A:B, 2, FALSE), "NÃO MAPEADO"))</f>
        <v/>
      </c>
    </row>
    <row r="723">
      <c r="A723" s="2" t="inlineStr">
        <is>
          <t>68964</t>
        </is>
      </c>
      <c r="B723" s="2" t="inlineStr">
        <is>
          <t>Sicoob</t>
        </is>
      </c>
      <c r="C723" s="2" t="inlineStr">
        <is>
          <t>17/06/2026</t>
        </is>
      </c>
      <c r="D723" s="2" t="inlineStr">
        <is>
          <t>17/06/2026</t>
        </is>
      </c>
      <c r="E723" s="2" t="inlineStr">
        <is>
          <t>Dinheiro</t>
        </is>
      </c>
      <c r="F723" s="2" t="inlineStr">
        <is>
          <t>Boleto "62212" do cliente "KAMILA CAMARGO ALVES RIBEIRO"</t>
        </is>
      </c>
      <c r="G723" s="2" t="inlineStr">
        <is>
          <t>system</t>
        </is>
      </c>
      <c r="H723" s="2" t="inlineStr">
        <is>
          <t>02.03.02.01 : Cobrança Bancaria</t>
        </is>
      </c>
      <c r="I723" s="2" t="n"/>
      <c r="J723" s="3" t="n">
        <v>-0.88</v>
      </c>
      <c r="K723" s="2">
        <f>IF(H723="02.09 : Outras Saídas", IF(OR(ISNUMBER(SEARCH("CHEQUE COMPE SICREDI", F723)), ISNUMBER(SEARCH("aniversario", F723)), ISNUMBER(SEARCH("churrasco", F723)), ISNUMBER(SEARCH("bolo", F723)), ISNUMBER(SEARCH("SUPERMERCADO", F723))), "6.1 Despesas Administrativas (Pessoal)", IF(OR(ISNUMBER(SEARCH("DLKNET", F723)), ISNUMBER(SEARCH("TESTE", F723))), "6.1 Despesas Administrativas (Gerais)", IFERROR(VLOOKUP(H723, De_Para!A:B, 2, FALSE), "NÃO MAPEADO"))), IFERROR(VLOOKUP(H723, De_Para!A:B, 2, FALSE), "NÃO MAPEADO"))</f>
        <v/>
      </c>
    </row>
    <row r="724">
      <c r="A724" s="2" t="inlineStr">
        <is>
          <t>68963</t>
        </is>
      </c>
      <c r="B724" s="2" t="inlineStr">
        <is>
          <t>Sicoob</t>
        </is>
      </c>
      <c r="C724" s="2" t="inlineStr">
        <is>
          <t>17/06/2026</t>
        </is>
      </c>
      <c r="D724" s="2" t="inlineStr">
        <is>
          <t>17/06/2026</t>
        </is>
      </c>
      <c r="E724" s="2" t="inlineStr">
        <is>
          <t>Dinheiro</t>
        </is>
      </c>
      <c r="F724" s="2" t="inlineStr">
        <is>
          <t>Boleto "62212" do cliente "KAMILA CAMARGO ALVES RIBEIRO"</t>
        </is>
      </c>
      <c r="G724" s="2" t="inlineStr">
        <is>
          <t>system</t>
        </is>
      </c>
      <c r="H724" s="2" t="inlineStr">
        <is>
          <t>01.01.01 : Mensalidade</t>
        </is>
      </c>
      <c r="I724" s="3" t="n">
        <v>99.90000000000001</v>
      </c>
      <c r="J724" s="2" t="n"/>
      <c r="K724" s="2">
        <f>IF(H724="02.09 : Outras Saídas", IF(OR(ISNUMBER(SEARCH("CHEQUE COMPE SICREDI", F724)), ISNUMBER(SEARCH("aniversario", F724)), ISNUMBER(SEARCH("churrasco", F724)), ISNUMBER(SEARCH("bolo", F724)), ISNUMBER(SEARCH("SUPERMERCADO", F724))), "6.1 Despesas Administrativas (Pessoal)", IF(OR(ISNUMBER(SEARCH("DLKNET", F724)), ISNUMBER(SEARCH("TESTE", F724))), "6.1 Despesas Administrativas (Gerais)", IFERROR(VLOOKUP(H724, De_Para!A:B, 2, FALSE), "NÃO MAPEADO"))), IFERROR(VLOOKUP(H724, De_Para!A:B, 2, FALSE), "NÃO MAPEADO"))</f>
        <v/>
      </c>
    </row>
    <row r="725">
      <c r="A725" s="2" t="inlineStr">
        <is>
          <t>68962</t>
        </is>
      </c>
      <c r="B725" s="2" t="inlineStr">
        <is>
          <t>Sicoob</t>
        </is>
      </c>
      <c r="C725" s="2" t="inlineStr">
        <is>
          <t>17/06/2026</t>
        </is>
      </c>
      <c r="D725" s="2" t="inlineStr">
        <is>
          <t>17/06/2026</t>
        </is>
      </c>
      <c r="E725" s="2" t="inlineStr">
        <is>
          <t>Dinheiro</t>
        </is>
      </c>
      <c r="F725" s="2" t="inlineStr">
        <is>
          <t>Boleto "58892" do cliente "ANGELICA DO VALE VENTURA"</t>
        </is>
      </c>
      <c r="G725" s="2" t="inlineStr">
        <is>
          <t>system</t>
        </is>
      </c>
      <c r="H725" s="2" t="inlineStr">
        <is>
          <t>02.03.02.01 : Cobrança Bancaria</t>
        </is>
      </c>
      <c r="I725" s="2" t="n"/>
      <c r="J725" s="3" t="n">
        <v>-0.88</v>
      </c>
      <c r="K725" s="2">
        <f>IF(H725="02.09 : Outras Saídas", IF(OR(ISNUMBER(SEARCH("CHEQUE COMPE SICREDI", F725)), ISNUMBER(SEARCH("aniversario", F725)), ISNUMBER(SEARCH("churrasco", F725)), ISNUMBER(SEARCH("bolo", F725)), ISNUMBER(SEARCH("SUPERMERCADO", F725))), "6.1 Despesas Administrativas (Pessoal)", IF(OR(ISNUMBER(SEARCH("DLKNET", F725)), ISNUMBER(SEARCH("TESTE", F725))), "6.1 Despesas Administrativas (Gerais)", IFERROR(VLOOKUP(H725, De_Para!A:B, 2, FALSE), "NÃO MAPEADO"))), IFERROR(VLOOKUP(H725, De_Para!A:B, 2, FALSE), "NÃO MAPEADO"))</f>
        <v/>
      </c>
    </row>
    <row r="726">
      <c r="A726" s="2" t="inlineStr">
        <is>
          <t>68961</t>
        </is>
      </c>
      <c r="B726" s="2" t="inlineStr">
        <is>
          <t>Sicoob</t>
        </is>
      </c>
      <c r="C726" s="2" t="inlineStr">
        <is>
          <t>17/06/2026</t>
        </is>
      </c>
      <c r="D726" s="2" t="inlineStr">
        <is>
          <t>17/06/2026</t>
        </is>
      </c>
      <c r="E726" s="2" t="inlineStr">
        <is>
          <t>Dinheiro</t>
        </is>
      </c>
      <c r="F726" s="2" t="inlineStr">
        <is>
          <t>Boleto "58892" do cliente "ANGELICA DO VALE VENTURA"</t>
        </is>
      </c>
      <c r="G726" s="2" t="inlineStr">
        <is>
          <t>system</t>
        </is>
      </c>
      <c r="H726" s="2" t="inlineStr">
        <is>
          <t>01.01.01 : Mensalidade</t>
        </is>
      </c>
      <c r="I726" s="3" t="n">
        <v>107.34</v>
      </c>
      <c r="J726" s="2" t="n"/>
      <c r="K726" s="2">
        <f>IF(H726="02.09 : Outras Saídas", IF(OR(ISNUMBER(SEARCH("CHEQUE COMPE SICREDI", F726)), ISNUMBER(SEARCH("aniversario", F726)), ISNUMBER(SEARCH("churrasco", F726)), ISNUMBER(SEARCH("bolo", F726)), ISNUMBER(SEARCH("SUPERMERCADO", F726))), "6.1 Despesas Administrativas (Pessoal)", IF(OR(ISNUMBER(SEARCH("DLKNET", F726)), ISNUMBER(SEARCH("TESTE", F726))), "6.1 Despesas Administrativas (Gerais)", IFERROR(VLOOKUP(H726, De_Para!A:B, 2, FALSE), "NÃO MAPEADO"))), IFERROR(VLOOKUP(H726, De_Para!A:B, 2, FALSE), "NÃO MAPEADO"))</f>
        <v/>
      </c>
    </row>
    <row r="727">
      <c r="A727" s="2" t="inlineStr">
        <is>
          <t>68960</t>
        </is>
      </c>
      <c r="B727" s="2" t="inlineStr">
        <is>
          <t>Sicredi SNI</t>
        </is>
      </c>
      <c r="C727" s="2" t="inlineStr">
        <is>
          <t>16/06/2026</t>
        </is>
      </c>
      <c r="D727" s="2" t="inlineStr">
        <is>
          <t>16/06/2026</t>
        </is>
      </c>
      <c r="E727" s="2" t="inlineStr">
        <is>
          <t>PIX</t>
        </is>
      </c>
      <c r="F727" s="2" t="inlineStr">
        <is>
          <t>Boleto "64937" do cliente "ANGELICA LUIZ DE SOUZA"</t>
        </is>
      </c>
      <c r="G727" s="2" t="inlineStr">
        <is>
          <t>system</t>
        </is>
      </c>
      <c r="H727" s="2" t="inlineStr">
        <is>
          <t>02.03.02.01 : Cobrança Bancaria</t>
        </is>
      </c>
      <c r="I727" s="2" t="n"/>
      <c r="J727" s="3" t="n">
        <v>-0.49</v>
      </c>
      <c r="K727" s="2">
        <f>IF(H727="02.09 : Outras Saídas", IF(OR(ISNUMBER(SEARCH("CHEQUE COMPE SICREDI", F727)), ISNUMBER(SEARCH("aniversario", F727)), ISNUMBER(SEARCH("churrasco", F727)), ISNUMBER(SEARCH("bolo", F727)), ISNUMBER(SEARCH("SUPERMERCADO", F727))), "6.1 Despesas Administrativas (Pessoal)", IF(OR(ISNUMBER(SEARCH("DLKNET", F727)), ISNUMBER(SEARCH("TESTE", F727))), "6.1 Despesas Administrativas (Gerais)", IFERROR(VLOOKUP(H727, De_Para!A:B, 2, FALSE), "NÃO MAPEADO"))), IFERROR(VLOOKUP(H727, De_Para!A:B, 2, FALSE), "NÃO MAPEADO"))</f>
        <v/>
      </c>
    </row>
    <row r="728">
      <c r="A728" s="2" t="inlineStr">
        <is>
          <t>68959</t>
        </is>
      </c>
      <c r="B728" s="2" t="inlineStr">
        <is>
          <t>Sicredi SNI</t>
        </is>
      </c>
      <c r="C728" s="2" t="inlineStr">
        <is>
          <t>16/06/2026</t>
        </is>
      </c>
      <c r="D728" s="2" t="inlineStr">
        <is>
          <t>16/06/2026</t>
        </is>
      </c>
      <c r="E728" s="2" t="inlineStr">
        <is>
          <t>PIX</t>
        </is>
      </c>
      <c r="F728" s="2" t="inlineStr">
        <is>
          <t>Boleto "64937" do cliente "ANGELICA LUIZ DE SOUZA"</t>
        </is>
      </c>
      <c r="G728" s="2" t="inlineStr">
        <is>
          <t>system</t>
        </is>
      </c>
      <c r="H728" s="2" t="inlineStr">
        <is>
          <t>01.01.01 : Mensalidade</t>
        </is>
      </c>
      <c r="I728" s="3" t="n">
        <v>107.17</v>
      </c>
      <c r="J728" s="2" t="n"/>
      <c r="K728" s="2">
        <f>IF(H728="02.09 : Outras Saídas", IF(OR(ISNUMBER(SEARCH("CHEQUE COMPE SICREDI", F728)), ISNUMBER(SEARCH("aniversario", F728)), ISNUMBER(SEARCH("churrasco", F728)), ISNUMBER(SEARCH("bolo", F728)), ISNUMBER(SEARCH("SUPERMERCADO", F728))), "6.1 Despesas Administrativas (Pessoal)", IF(OR(ISNUMBER(SEARCH("DLKNET", F728)), ISNUMBER(SEARCH("TESTE", F728))), "6.1 Despesas Administrativas (Gerais)", IFERROR(VLOOKUP(H728, De_Para!A:B, 2, FALSE), "NÃO MAPEADO"))), IFERROR(VLOOKUP(H728, De_Para!A:B, 2, FALSE), "NÃO MAPEADO"))</f>
        <v/>
      </c>
    </row>
    <row r="729">
      <c r="A729" s="2" t="inlineStr">
        <is>
          <t>68958</t>
        </is>
      </c>
      <c r="B729" s="2" t="inlineStr">
        <is>
          <t>Sicredi SNI</t>
        </is>
      </c>
      <c r="C729" s="2" t="inlineStr">
        <is>
          <t>16/06/2026</t>
        </is>
      </c>
      <c r="D729" s="2" t="inlineStr">
        <is>
          <t>16/06/2026</t>
        </is>
      </c>
      <c r="E729" s="2" t="inlineStr">
        <is>
          <t>PIX</t>
        </is>
      </c>
      <c r="F729" s="2" t="inlineStr">
        <is>
          <t>Boleto "66607" do cliente "VALDECI GONÇALVES DIAS"</t>
        </is>
      </c>
      <c r="G729" s="2" t="inlineStr">
        <is>
          <t>system</t>
        </is>
      </c>
      <c r="H729" s="2" t="inlineStr">
        <is>
          <t>02.03.02.01 : Cobrança Bancaria</t>
        </is>
      </c>
      <c r="I729" s="2" t="n"/>
      <c r="J729" s="3" t="n">
        <v>-0.49</v>
      </c>
      <c r="K729" s="2">
        <f>IF(H729="02.09 : Outras Saídas", IF(OR(ISNUMBER(SEARCH("CHEQUE COMPE SICREDI", F729)), ISNUMBER(SEARCH("aniversario", F729)), ISNUMBER(SEARCH("churrasco", F729)), ISNUMBER(SEARCH("bolo", F729)), ISNUMBER(SEARCH("SUPERMERCADO", F729))), "6.1 Despesas Administrativas (Pessoal)", IF(OR(ISNUMBER(SEARCH("DLKNET", F729)), ISNUMBER(SEARCH("TESTE", F729))), "6.1 Despesas Administrativas (Gerais)", IFERROR(VLOOKUP(H729, De_Para!A:B, 2, FALSE), "NÃO MAPEADO"))), IFERROR(VLOOKUP(H729, De_Para!A:B, 2, FALSE), "NÃO MAPEADO"))</f>
        <v/>
      </c>
    </row>
    <row r="730">
      <c r="A730" s="2" t="inlineStr">
        <is>
          <t>68957</t>
        </is>
      </c>
      <c r="B730" s="2" t="inlineStr">
        <is>
          <t>Sicredi SNI</t>
        </is>
      </c>
      <c r="C730" s="2" t="inlineStr">
        <is>
          <t>16/06/2026</t>
        </is>
      </c>
      <c r="D730" s="2" t="inlineStr">
        <is>
          <t>16/06/2026</t>
        </is>
      </c>
      <c r="E730" s="2" t="inlineStr">
        <is>
          <t>PIX</t>
        </is>
      </c>
      <c r="F730" s="2" t="inlineStr">
        <is>
          <t>Boleto "66607" do cliente "VALDECI GONÇALVES DIAS"</t>
        </is>
      </c>
      <c r="G730" s="2" t="inlineStr">
        <is>
          <t>system</t>
        </is>
      </c>
      <c r="H730" s="2" t="inlineStr">
        <is>
          <t>01.01.01 : Mensalidade</t>
        </is>
      </c>
      <c r="I730" s="3" t="n">
        <v>104.9</v>
      </c>
      <c r="J730" s="2" t="n"/>
      <c r="K730" s="2">
        <f>IF(H730="02.09 : Outras Saídas", IF(OR(ISNUMBER(SEARCH("CHEQUE COMPE SICREDI", F730)), ISNUMBER(SEARCH("aniversario", F730)), ISNUMBER(SEARCH("churrasco", F730)), ISNUMBER(SEARCH("bolo", F730)), ISNUMBER(SEARCH("SUPERMERCADO", F730))), "6.1 Despesas Administrativas (Pessoal)", IF(OR(ISNUMBER(SEARCH("DLKNET", F730)), ISNUMBER(SEARCH("TESTE", F730))), "6.1 Despesas Administrativas (Gerais)", IFERROR(VLOOKUP(H730, De_Para!A:B, 2, FALSE), "NÃO MAPEADO"))), IFERROR(VLOOKUP(H730, De_Para!A:B, 2, FALSE), "NÃO MAPEADO"))</f>
        <v/>
      </c>
    </row>
    <row r="731">
      <c r="A731" s="2" t="inlineStr">
        <is>
          <t>68956</t>
        </is>
      </c>
      <c r="B731" s="2" t="inlineStr">
        <is>
          <t>Sicoob</t>
        </is>
      </c>
      <c r="C731" s="2" t="inlineStr">
        <is>
          <t>16/06/2026</t>
        </is>
      </c>
      <c r="D731" s="2" t="inlineStr">
        <is>
          <t>16/06/2026</t>
        </is>
      </c>
      <c r="E731" s="2" t="inlineStr">
        <is>
          <t>Dinheiro</t>
        </is>
      </c>
      <c r="F731" s="2" t="inlineStr">
        <is>
          <t>Boleto "61849" do cliente "DIRCINEA APARECIDA DA SILVA"</t>
        </is>
      </c>
      <c r="G731" s="2" t="inlineStr">
        <is>
          <t>system</t>
        </is>
      </c>
      <c r="H731" s="2" t="inlineStr">
        <is>
          <t>02.03.02.01 : Cobrança Bancaria</t>
        </is>
      </c>
      <c r="I731" s="2" t="n"/>
      <c r="J731" s="3" t="n">
        <v>-0.88</v>
      </c>
      <c r="K731" s="2">
        <f>IF(H731="02.09 : Outras Saídas", IF(OR(ISNUMBER(SEARCH("CHEQUE COMPE SICREDI", F731)), ISNUMBER(SEARCH("aniversario", F731)), ISNUMBER(SEARCH("churrasco", F731)), ISNUMBER(SEARCH("bolo", F731)), ISNUMBER(SEARCH("SUPERMERCADO", F731))), "6.1 Despesas Administrativas (Pessoal)", IF(OR(ISNUMBER(SEARCH("DLKNET", F731)), ISNUMBER(SEARCH("TESTE", F731))), "6.1 Despesas Administrativas (Gerais)", IFERROR(VLOOKUP(H731, De_Para!A:B, 2, FALSE), "NÃO MAPEADO"))), IFERROR(VLOOKUP(H731, De_Para!A:B, 2, FALSE), "NÃO MAPEADO"))</f>
        <v/>
      </c>
    </row>
    <row r="732">
      <c r="A732" s="2" t="inlineStr">
        <is>
          <t>68955</t>
        </is>
      </c>
      <c r="B732" s="2" t="inlineStr">
        <is>
          <t>Sicoob</t>
        </is>
      </c>
      <c r="C732" s="2" t="inlineStr">
        <is>
          <t>16/06/2026</t>
        </is>
      </c>
      <c r="D732" s="2" t="inlineStr">
        <is>
          <t>16/06/2026</t>
        </is>
      </c>
      <c r="E732" s="2" t="inlineStr">
        <is>
          <t>Dinheiro</t>
        </is>
      </c>
      <c r="F732" s="2" t="inlineStr">
        <is>
          <t>Boleto "61849" do cliente "DIRCINEA APARECIDA DA SILVA"</t>
        </is>
      </c>
      <c r="G732" s="2" t="inlineStr">
        <is>
          <t>system</t>
        </is>
      </c>
      <c r="H732" s="2" t="inlineStr">
        <is>
          <t>01.01.01 : Mensalidade</t>
        </is>
      </c>
      <c r="I732" s="3" t="n">
        <v>107.48</v>
      </c>
      <c r="J732" s="2" t="n"/>
      <c r="K732" s="2">
        <f>IF(H732="02.09 : Outras Saídas", IF(OR(ISNUMBER(SEARCH("CHEQUE COMPE SICREDI", F732)), ISNUMBER(SEARCH("aniversario", F732)), ISNUMBER(SEARCH("churrasco", F732)), ISNUMBER(SEARCH("bolo", F732)), ISNUMBER(SEARCH("SUPERMERCADO", F732))), "6.1 Despesas Administrativas (Pessoal)", IF(OR(ISNUMBER(SEARCH("DLKNET", F732)), ISNUMBER(SEARCH("TESTE", F732))), "6.1 Despesas Administrativas (Gerais)", IFERROR(VLOOKUP(H732, De_Para!A:B, 2, FALSE), "NÃO MAPEADO"))), IFERROR(VLOOKUP(H732, De_Para!A:B, 2, FALSE), "NÃO MAPEADO"))</f>
        <v/>
      </c>
    </row>
    <row r="733">
      <c r="A733" s="2" t="inlineStr">
        <is>
          <t>68954</t>
        </is>
      </c>
      <c r="B733" s="2" t="inlineStr">
        <is>
          <t>Sicoob</t>
        </is>
      </c>
      <c r="C733" s="2" t="inlineStr">
        <is>
          <t>16/06/2026</t>
        </is>
      </c>
      <c r="D733" s="2" t="inlineStr">
        <is>
          <t>16/06/2026</t>
        </is>
      </c>
      <c r="E733" s="2" t="inlineStr">
        <is>
          <t>Dinheiro</t>
        </is>
      </c>
      <c r="F733" s="2" t="inlineStr">
        <is>
          <t>Boleto "58700" do cliente "MARIA INES DA SILVA SANTOS"</t>
        </is>
      </c>
      <c r="G733" s="2" t="inlineStr">
        <is>
          <t>system</t>
        </is>
      </c>
      <c r="H733" s="2" t="inlineStr">
        <is>
          <t>02.03.02.01 : Cobrança Bancaria</t>
        </is>
      </c>
      <c r="I733" s="2" t="n"/>
      <c r="J733" s="3" t="n">
        <v>-0.88</v>
      </c>
      <c r="K733" s="2">
        <f>IF(H733="02.09 : Outras Saídas", IF(OR(ISNUMBER(SEARCH("CHEQUE COMPE SICREDI", F733)), ISNUMBER(SEARCH("aniversario", F733)), ISNUMBER(SEARCH("churrasco", F733)), ISNUMBER(SEARCH("bolo", F733)), ISNUMBER(SEARCH("SUPERMERCADO", F733))), "6.1 Despesas Administrativas (Pessoal)", IF(OR(ISNUMBER(SEARCH("DLKNET", F733)), ISNUMBER(SEARCH("TESTE", F733))), "6.1 Despesas Administrativas (Gerais)", IFERROR(VLOOKUP(H733, De_Para!A:B, 2, FALSE), "NÃO MAPEADO"))), IFERROR(VLOOKUP(H733, De_Para!A:B, 2, FALSE), "NÃO MAPEADO"))</f>
        <v/>
      </c>
    </row>
    <row r="734">
      <c r="A734" s="2" t="inlineStr">
        <is>
          <t>68953</t>
        </is>
      </c>
      <c r="B734" s="2" t="inlineStr">
        <is>
          <t>Sicoob</t>
        </is>
      </c>
      <c r="C734" s="2" t="inlineStr">
        <is>
          <t>16/06/2026</t>
        </is>
      </c>
      <c r="D734" s="2" t="inlineStr">
        <is>
          <t>16/06/2026</t>
        </is>
      </c>
      <c r="E734" s="2" t="inlineStr">
        <is>
          <t>Dinheiro</t>
        </is>
      </c>
      <c r="F734" s="2" t="inlineStr">
        <is>
          <t>Boleto "58700" do cliente "MARIA INES DA SILVA SANTOS"</t>
        </is>
      </c>
      <c r="G734" s="2" t="inlineStr">
        <is>
          <t>system</t>
        </is>
      </c>
      <c r="H734" s="2" t="inlineStr">
        <is>
          <t>01.01.01 : Mensalidade</t>
        </is>
      </c>
      <c r="I734" s="3" t="n">
        <v>81.75</v>
      </c>
      <c r="J734" s="2" t="n"/>
      <c r="K734" s="2">
        <f>IF(H734="02.09 : Outras Saídas", IF(OR(ISNUMBER(SEARCH("CHEQUE COMPE SICREDI", F734)), ISNUMBER(SEARCH("aniversario", F734)), ISNUMBER(SEARCH("churrasco", F734)), ISNUMBER(SEARCH("bolo", F734)), ISNUMBER(SEARCH("SUPERMERCADO", F734))), "6.1 Despesas Administrativas (Pessoal)", IF(OR(ISNUMBER(SEARCH("DLKNET", F734)), ISNUMBER(SEARCH("TESTE", F734))), "6.1 Despesas Administrativas (Gerais)", IFERROR(VLOOKUP(H734, De_Para!A:B, 2, FALSE), "NÃO MAPEADO"))), IFERROR(VLOOKUP(H734, De_Para!A:B, 2, FALSE), "NÃO MAPEADO"))</f>
        <v/>
      </c>
    </row>
    <row r="735">
      <c r="A735" s="2" t="inlineStr">
        <is>
          <t>68952</t>
        </is>
      </c>
      <c r="B735" s="2" t="inlineStr">
        <is>
          <t>Sicredi SNI</t>
        </is>
      </c>
      <c r="C735" s="2" t="inlineStr">
        <is>
          <t>16/06/2026</t>
        </is>
      </c>
      <c r="D735" s="2" t="inlineStr">
        <is>
          <t>16/06/2026</t>
        </is>
      </c>
      <c r="E735" s="2" t="inlineStr">
        <is>
          <t>Débito em Conta</t>
        </is>
      </c>
      <c r="F735" s="2" t="inlineStr">
        <is>
          <t>DEB.CTA.FATURA</t>
        </is>
      </c>
      <c r="G735" s="2" t="inlineStr">
        <is>
          <t>clau</t>
        </is>
      </c>
      <c r="H735" s="2" t="inlineStr">
        <is>
          <t>02.02.03.04 : FATURA CARTAO CREDITO</t>
        </is>
      </c>
      <c r="I735" s="2" t="n"/>
      <c r="J735" s="3" t="n">
        <v>-5416.05</v>
      </c>
      <c r="K735" s="2">
        <f>IF(H735="02.09 : Outras Saídas", IF(OR(ISNUMBER(SEARCH("CHEQUE COMPE SICREDI", F735)), ISNUMBER(SEARCH("aniversario", F735)), ISNUMBER(SEARCH("churrasco", F735)), ISNUMBER(SEARCH("bolo", F735)), ISNUMBER(SEARCH("SUPERMERCADO", F735))), "6.1 Despesas Administrativas (Pessoal)", IF(OR(ISNUMBER(SEARCH("DLKNET", F735)), ISNUMBER(SEARCH("TESTE", F735))), "6.1 Despesas Administrativas (Gerais)", IFERROR(VLOOKUP(H735, De_Para!A:B, 2, FALSE), "NÃO MAPEADO"))), IFERROR(VLOOKUP(H735, De_Para!A:B, 2, FALSE), "NÃO MAPEADO"))</f>
        <v/>
      </c>
    </row>
    <row r="736">
      <c r="A736" s="2" t="inlineStr">
        <is>
          <t>68951</t>
        </is>
      </c>
      <c r="B736" s="2" t="inlineStr">
        <is>
          <t>Sicredi SNI</t>
        </is>
      </c>
      <c r="C736" s="2" t="inlineStr">
        <is>
          <t>16/06/2026</t>
        </is>
      </c>
      <c r="D736" s="2" t="inlineStr">
        <is>
          <t>15/06/2026</t>
        </is>
      </c>
      <c r="E736" s="2" t="inlineStr">
        <is>
          <t>Débito em Conta</t>
        </is>
      </c>
      <c r="F736" s="2" t="inlineStr">
        <is>
          <t>TARIFA COM R LIQUIDACAO</t>
        </is>
      </c>
      <c r="G736" s="2" t="inlineStr">
        <is>
          <t>clau</t>
        </is>
      </c>
      <c r="H736" s="2" t="inlineStr">
        <is>
          <t>02.03.03.09 : TARIFA COM R LIQUIDACAO</t>
        </is>
      </c>
      <c r="I736" s="2" t="n"/>
      <c r="J736" s="3" t="n">
        <v>-6.8</v>
      </c>
      <c r="K736" s="2">
        <f>IF(H736="02.09 : Outras Saídas", IF(OR(ISNUMBER(SEARCH("CHEQUE COMPE SICREDI", F736)), ISNUMBER(SEARCH("aniversario", F736)), ISNUMBER(SEARCH("churrasco", F736)), ISNUMBER(SEARCH("bolo", F736)), ISNUMBER(SEARCH("SUPERMERCADO", F736))), "6.1 Despesas Administrativas (Pessoal)", IF(OR(ISNUMBER(SEARCH("DLKNET", F736)), ISNUMBER(SEARCH("TESTE", F736))), "6.1 Despesas Administrativas (Gerais)", IFERROR(VLOOKUP(H736, De_Para!A:B, 2, FALSE), "NÃO MAPEADO"))), IFERROR(VLOOKUP(H736, De_Para!A:B, 2, FALSE), "NÃO MAPEADO"))</f>
        <v/>
      </c>
    </row>
    <row r="737">
      <c r="A737" s="2" t="inlineStr">
        <is>
          <t>68950</t>
        </is>
      </c>
      <c r="B737" s="2" t="inlineStr">
        <is>
          <t>Sicredi SNI</t>
        </is>
      </c>
      <c r="C737" s="2" t="inlineStr">
        <is>
          <t>16/06/2026</t>
        </is>
      </c>
      <c r="D737" s="2" t="inlineStr">
        <is>
          <t>15/06/2026</t>
        </is>
      </c>
      <c r="E737" s="2" t="inlineStr">
        <is>
          <t>Débito em Conta</t>
        </is>
      </c>
      <c r="F737" s="2" t="inlineStr">
        <is>
          <t>TARIFA COM R LIQUIDACAO</t>
        </is>
      </c>
      <c r="G737" s="2" t="inlineStr">
        <is>
          <t>clau</t>
        </is>
      </c>
      <c r="H737" s="2" t="inlineStr">
        <is>
          <t>02.03.03.09 : TARIFA COM R LIQUIDACAO</t>
        </is>
      </c>
      <c r="I737" s="2" t="n"/>
      <c r="J737" s="3" t="n">
        <v>-1.7</v>
      </c>
      <c r="K737" s="2">
        <f>IF(H737="02.09 : Outras Saídas", IF(OR(ISNUMBER(SEARCH("CHEQUE COMPE SICREDI", F737)), ISNUMBER(SEARCH("aniversario", F737)), ISNUMBER(SEARCH("churrasco", F737)), ISNUMBER(SEARCH("bolo", F737)), ISNUMBER(SEARCH("SUPERMERCADO", F737))), "6.1 Despesas Administrativas (Pessoal)", IF(OR(ISNUMBER(SEARCH("DLKNET", F737)), ISNUMBER(SEARCH("TESTE", F737))), "6.1 Despesas Administrativas (Gerais)", IFERROR(VLOOKUP(H737, De_Para!A:B, 2, FALSE), "NÃO MAPEADO"))), IFERROR(VLOOKUP(H737, De_Para!A:B, 2, FALSE), "NÃO MAPEADO"))</f>
        <v/>
      </c>
    </row>
    <row r="738">
      <c r="A738" s="2" t="inlineStr">
        <is>
          <t>68949</t>
        </is>
      </c>
      <c r="B738" s="2" t="inlineStr">
        <is>
          <t>Sicredi SNI</t>
        </is>
      </c>
      <c r="C738" s="2" t="inlineStr">
        <is>
          <t>16/06/2026</t>
        </is>
      </c>
      <c r="D738" s="2" t="inlineStr">
        <is>
          <t>15/06/2026</t>
        </is>
      </c>
      <c r="E738" s="2" t="inlineStr">
        <is>
          <t>Débito em Conta</t>
        </is>
      </c>
      <c r="F738" s="2" t="inlineStr">
        <is>
          <t>CHEQUE COMPE SICREDI</t>
        </is>
      </c>
      <c r="G738" s="2" t="inlineStr">
        <is>
          <t>clau</t>
        </is>
      </c>
      <c r="H738" s="2" t="inlineStr">
        <is>
          <t>02.09 : Outras Saídas</t>
        </is>
      </c>
      <c r="I738" s="2" t="n"/>
      <c r="J738" s="3" t="n">
        <v>-1000</v>
      </c>
      <c r="K738" s="2">
        <f>IF(H738="02.09 : Outras Saídas", IF(OR(ISNUMBER(SEARCH("CHEQUE COMPE SICREDI", F738)), ISNUMBER(SEARCH("aniversario", F738)), ISNUMBER(SEARCH("churrasco", F738)), ISNUMBER(SEARCH("bolo", F738)), ISNUMBER(SEARCH("SUPERMERCADO", F738))), "6.1 Despesas Administrativas (Pessoal)", IF(OR(ISNUMBER(SEARCH("DLKNET", F738)), ISNUMBER(SEARCH("TESTE", F738))), "6.1 Despesas Administrativas (Gerais)", IFERROR(VLOOKUP(H738, De_Para!A:B, 2, FALSE), "NÃO MAPEADO"))), IFERROR(VLOOKUP(H738, De_Para!A:B, 2, FALSE), "NÃO MAPEADO"))</f>
        <v/>
      </c>
    </row>
    <row r="739">
      <c r="A739" s="2" t="inlineStr">
        <is>
          <t>68948</t>
        </is>
      </c>
      <c r="B739" s="2" t="inlineStr">
        <is>
          <t>Sicredi SNI</t>
        </is>
      </c>
      <c r="C739" s="2" t="inlineStr">
        <is>
          <t>16/06/2026</t>
        </is>
      </c>
      <c r="D739" s="2" t="inlineStr">
        <is>
          <t>16/06/2026</t>
        </is>
      </c>
      <c r="E739" s="2" t="inlineStr">
        <is>
          <t>Dinheiro</t>
        </is>
      </c>
      <c r="F739" s="2" t="inlineStr">
        <is>
          <t>Boleto "55067" do cliente "IDEVAL MARIANO"</t>
        </is>
      </c>
      <c r="G739" s="2" t="inlineStr">
        <is>
          <t>system</t>
        </is>
      </c>
      <c r="H739" s="2" t="inlineStr">
        <is>
          <t>02.03.02.01 : Cobrança Bancaria</t>
        </is>
      </c>
      <c r="I739" s="2" t="n"/>
      <c r="J739" s="3" t="n">
        <v>-1.08</v>
      </c>
      <c r="K739" s="2">
        <f>IF(H739="02.09 : Outras Saídas", IF(OR(ISNUMBER(SEARCH("CHEQUE COMPE SICREDI", F739)), ISNUMBER(SEARCH("aniversario", F739)), ISNUMBER(SEARCH("churrasco", F739)), ISNUMBER(SEARCH("bolo", F739)), ISNUMBER(SEARCH("SUPERMERCADO", F739))), "6.1 Despesas Administrativas (Pessoal)", IF(OR(ISNUMBER(SEARCH("DLKNET", F739)), ISNUMBER(SEARCH("TESTE", F739))), "6.1 Despesas Administrativas (Gerais)", IFERROR(VLOOKUP(H739, De_Para!A:B, 2, FALSE), "NÃO MAPEADO"))), IFERROR(VLOOKUP(H739, De_Para!A:B, 2, FALSE), "NÃO MAPEADO"))</f>
        <v/>
      </c>
    </row>
    <row r="740">
      <c r="A740" s="2" t="inlineStr">
        <is>
          <t>68947</t>
        </is>
      </c>
      <c r="B740" s="2" t="inlineStr">
        <is>
          <t>Sicredi SNI</t>
        </is>
      </c>
      <c r="C740" s="2" t="inlineStr">
        <is>
          <t>16/06/2026</t>
        </is>
      </c>
      <c r="D740" s="2" t="inlineStr">
        <is>
          <t>16/06/2026</t>
        </is>
      </c>
      <c r="E740" s="2" t="inlineStr">
        <is>
          <t>Dinheiro</t>
        </is>
      </c>
      <c r="F740" s="2" t="inlineStr">
        <is>
          <t>Boleto "55067" do cliente "IDEVAL MARIANO"</t>
        </is>
      </c>
      <c r="G740" s="2" t="inlineStr">
        <is>
          <t>system</t>
        </is>
      </c>
      <c r="H740" s="2" t="inlineStr">
        <is>
          <t>01.01.01 : Mensalidade</t>
        </is>
      </c>
      <c r="I740" s="3" t="n">
        <v>110</v>
      </c>
      <c r="J740" s="2" t="n"/>
      <c r="K740" s="2">
        <f>IF(H740="02.09 : Outras Saídas", IF(OR(ISNUMBER(SEARCH("CHEQUE COMPE SICREDI", F740)), ISNUMBER(SEARCH("aniversario", F740)), ISNUMBER(SEARCH("churrasco", F740)), ISNUMBER(SEARCH("bolo", F740)), ISNUMBER(SEARCH("SUPERMERCADO", F740))), "6.1 Despesas Administrativas (Pessoal)", IF(OR(ISNUMBER(SEARCH("DLKNET", F740)), ISNUMBER(SEARCH("TESTE", F740))), "6.1 Despesas Administrativas (Gerais)", IFERROR(VLOOKUP(H740, De_Para!A:B, 2, FALSE), "NÃO MAPEADO"))), IFERROR(VLOOKUP(H740, De_Para!A:B, 2, FALSE), "NÃO MAPEADO"))</f>
        <v/>
      </c>
    </row>
    <row r="741">
      <c r="A741" s="2" t="inlineStr">
        <is>
          <t>68946</t>
        </is>
      </c>
      <c r="B741" s="2" t="inlineStr">
        <is>
          <t>Sicoob</t>
        </is>
      </c>
      <c r="C741" s="2" t="inlineStr">
        <is>
          <t>16/06/2026</t>
        </is>
      </c>
      <c r="D741" s="2" t="inlineStr">
        <is>
          <t>16/06/2026</t>
        </is>
      </c>
      <c r="E741" s="2" t="inlineStr">
        <is>
          <t>Dinheiro</t>
        </is>
      </c>
      <c r="F741" s="2" t="inlineStr">
        <is>
          <t>Boleto "63731" do cliente "ANDREIA INOCENCIA BARBOSA BANDELOW"</t>
        </is>
      </c>
      <c r="G741" s="2" t="inlineStr">
        <is>
          <t>system</t>
        </is>
      </c>
      <c r="H741" s="2" t="inlineStr">
        <is>
          <t>02.03.02.01 : Cobrança Bancaria</t>
        </is>
      </c>
      <c r="I741" s="2" t="n"/>
      <c r="J741" s="3" t="n">
        <v>-0.88</v>
      </c>
      <c r="K741" s="2">
        <f>IF(H741="02.09 : Outras Saídas", IF(OR(ISNUMBER(SEARCH("CHEQUE COMPE SICREDI", F741)), ISNUMBER(SEARCH("aniversario", F741)), ISNUMBER(SEARCH("churrasco", F741)), ISNUMBER(SEARCH("bolo", F741)), ISNUMBER(SEARCH("SUPERMERCADO", F741))), "6.1 Despesas Administrativas (Pessoal)", IF(OR(ISNUMBER(SEARCH("DLKNET", F741)), ISNUMBER(SEARCH("TESTE", F741))), "6.1 Despesas Administrativas (Gerais)", IFERROR(VLOOKUP(H741, De_Para!A:B, 2, FALSE), "NÃO MAPEADO"))), IFERROR(VLOOKUP(H741, De_Para!A:B, 2, FALSE), "NÃO MAPEADO"))</f>
        <v/>
      </c>
    </row>
    <row r="742">
      <c r="A742" s="2" t="inlineStr">
        <is>
          <t>68945</t>
        </is>
      </c>
      <c r="B742" s="2" t="inlineStr">
        <is>
          <t>Sicoob</t>
        </is>
      </c>
      <c r="C742" s="2" t="inlineStr">
        <is>
          <t>16/06/2026</t>
        </is>
      </c>
      <c r="D742" s="2" t="inlineStr">
        <is>
          <t>16/06/2026</t>
        </is>
      </c>
      <c r="E742" s="2" t="inlineStr">
        <is>
          <t>Dinheiro</t>
        </is>
      </c>
      <c r="F742" s="2" t="inlineStr">
        <is>
          <t>Boleto "63731" do cliente "ANDREIA INOCENCIA BARBOSA BANDELOW"</t>
        </is>
      </c>
      <c r="G742" s="2" t="inlineStr">
        <is>
          <t>system</t>
        </is>
      </c>
      <c r="H742" s="2" t="inlineStr">
        <is>
          <t>01.03.01 : Mensalidade</t>
        </is>
      </c>
      <c r="I742" s="3" t="n">
        <v>107.48</v>
      </c>
      <c r="J742" s="2" t="n"/>
      <c r="K742" s="2">
        <f>IF(H742="02.09 : Outras Saídas", IF(OR(ISNUMBER(SEARCH("CHEQUE COMPE SICREDI", F742)), ISNUMBER(SEARCH("aniversario", F742)), ISNUMBER(SEARCH("churrasco", F742)), ISNUMBER(SEARCH("bolo", F742)), ISNUMBER(SEARCH("SUPERMERCADO", F742))), "6.1 Despesas Administrativas (Pessoal)", IF(OR(ISNUMBER(SEARCH("DLKNET", F742)), ISNUMBER(SEARCH("TESTE", F742))), "6.1 Despesas Administrativas (Gerais)", IFERROR(VLOOKUP(H742, De_Para!A:B, 2, FALSE), "NÃO MAPEADO"))), IFERROR(VLOOKUP(H742, De_Para!A:B, 2, FALSE), "NÃO MAPEADO"))</f>
        <v/>
      </c>
    </row>
    <row r="743">
      <c r="A743" s="2" t="inlineStr">
        <is>
          <t>68944</t>
        </is>
      </c>
      <c r="B743" s="2" t="inlineStr">
        <is>
          <t>Sicoob</t>
        </is>
      </c>
      <c r="C743" s="2" t="inlineStr">
        <is>
          <t>16/06/2026</t>
        </is>
      </c>
      <c r="D743" s="2" t="inlineStr">
        <is>
          <t>16/06/2026</t>
        </is>
      </c>
      <c r="E743" s="2" t="inlineStr">
        <is>
          <t>Dinheiro</t>
        </is>
      </c>
      <c r="F743" s="2" t="inlineStr">
        <is>
          <t>Boleto "64065" do cliente "THALIA DA SILVA OLIVEIRA"</t>
        </is>
      </c>
      <c r="G743" s="2" t="inlineStr">
        <is>
          <t>system</t>
        </is>
      </c>
      <c r="H743" s="2" t="inlineStr">
        <is>
          <t>02.03.02.01 : Cobrança Bancaria</t>
        </is>
      </c>
      <c r="I743" s="2" t="n"/>
      <c r="J743" s="3" t="n">
        <v>-0.88</v>
      </c>
      <c r="K743" s="2">
        <f>IF(H743="02.09 : Outras Saídas", IF(OR(ISNUMBER(SEARCH("CHEQUE COMPE SICREDI", F743)), ISNUMBER(SEARCH("aniversario", F743)), ISNUMBER(SEARCH("churrasco", F743)), ISNUMBER(SEARCH("bolo", F743)), ISNUMBER(SEARCH("SUPERMERCADO", F743))), "6.1 Despesas Administrativas (Pessoal)", IF(OR(ISNUMBER(SEARCH("DLKNET", F743)), ISNUMBER(SEARCH("TESTE", F743))), "6.1 Despesas Administrativas (Gerais)", IFERROR(VLOOKUP(H743, De_Para!A:B, 2, FALSE), "NÃO MAPEADO"))), IFERROR(VLOOKUP(H743, De_Para!A:B, 2, FALSE), "NÃO MAPEADO"))</f>
        <v/>
      </c>
    </row>
    <row r="744">
      <c r="A744" s="2" t="inlineStr">
        <is>
          <t>68943</t>
        </is>
      </c>
      <c r="B744" s="2" t="inlineStr">
        <is>
          <t>Sicoob</t>
        </is>
      </c>
      <c r="C744" s="2" t="inlineStr">
        <is>
          <t>16/06/2026</t>
        </is>
      </c>
      <c r="D744" s="2" t="inlineStr">
        <is>
          <t>16/06/2026</t>
        </is>
      </c>
      <c r="E744" s="2" t="inlineStr">
        <is>
          <t>Dinheiro</t>
        </is>
      </c>
      <c r="F744" s="2" t="inlineStr">
        <is>
          <t>Boleto "64065" do cliente "THALIA DA SILVA OLIVEIRA"</t>
        </is>
      </c>
      <c r="G744" s="2" t="inlineStr">
        <is>
          <t>system</t>
        </is>
      </c>
      <c r="H744" s="2" t="inlineStr">
        <is>
          <t>01.01.01 : Mensalidade</t>
        </is>
      </c>
      <c r="I744" s="3" t="n">
        <v>112.3</v>
      </c>
      <c r="J744" s="2" t="n"/>
      <c r="K744" s="2">
        <f>IF(H744="02.09 : Outras Saídas", IF(OR(ISNUMBER(SEARCH("CHEQUE COMPE SICREDI", F744)), ISNUMBER(SEARCH("aniversario", F744)), ISNUMBER(SEARCH("churrasco", F744)), ISNUMBER(SEARCH("bolo", F744)), ISNUMBER(SEARCH("SUPERMERCADO", F744))), "6.1 Despesas Administrativas (Pessoal)", IF(OR(ISNUMBER(SEARCH("DLKNET", F744)), ISNUMBER(SEARCH("TESTE", F744))), "6.1 Despesas Administrativas (Gerais)", IFERROR(VLOOKUP(H744, De_Para!A:B, 2, FALSE), "NÃO MAPEADO"))), IFERROR(VLOOKUP(H744, De_Para!A:B, 2, FALSE), "NÃO MAPEADO"))</f>
        <v/>
      </c>
    </row>
    <row r="745">
      <c r="A745" s="2" t="inlineStr">
        <is>
          <t>68942</t>
        </is>
      </c>
      <c r="B745" s="2" t="inlineStr">
        <is>
          <t>Sicredi SNI</t>
        </is>
      </c>
      <c r="C745" s="2" t="inlineStr">
        <is>
          <t>16/06/2026</t>
        </is>
      </c>
      <c r="D745" s="2" t="inlineStr">
        <is>
          <t>16/06/2026</t>
        </is>
      </c>
      <c r="E745" s="2" t="inlineStr">
        <is>
          <t>Dinheiro</t>
        </is>
      </c>
      <c r="F745" s="2" t="inlineStr">
        <is>
          <t>Boleto "63359" do cliente "LUCIANA DA ROSA COSTA"</t>
        </is>
      </c>
      <c r="G745" s="2" t="inlineStr">
        <is>
          <t>system</t>
        </is>
      </c>
      <c r="H745" s="2" t="inlineStr">
        <is>
          <t>02.03.02.01 : Cobrança Bancaria</t>
        </is>
      </c>
      <c r="I745" s="2" t="n"/>
      <c r="J745" s="3" t="n">
        <v>-1.08</v>
      </c>
      <c r="K745" s="2">
        <f>IF(H745="02.09 : Outras Saídas", IF(OR(ISNUMBER(SEARCH("CHEQUE COMPE SICREDI", F745)), ISNUMBER(SEARCH("aniversario", F745)), ISNUMBER(SEARCH("churrasco", F745)), ISNUMBER(SEARCH("bolo", F745)), ISNUMBER(SEARCH("SUPERMERCADO", F745))), "6.1 Despesas Administrativas (Pessoal)", IF(OR(ISNUMBER(SEARCH("DLKNET", F745)), ISNUMBER(SEARCH("TESTE", F745))), "6.1 Despesas Administrativas (Gerais)", IFERROR(VLOOKUP(H745, De_Para!A:B, 2, FALSE), "NÃO MAPEADO"))), IFERROR(VLOOKUP(H745, De_Para!A:B, 2, FALSE), "NÃO MAPEADO"))</f>
        <v/>
      </c>
    </row>
    <row r="746">
      <c r="A746" s="2" t="inlineStr">
        <is>
          <t>68941</t>
        </is>
      </c>
      <c r="B746" s="2" t="inlineStr">
        <is>
          <t>Sicredi SNI</t>
        </is>
      </c>
      <c r="C746" s="2" t="inlineStr">
        <is>
          <t>16/06/2026</t>
        </is>
      </c>
      <c r="D746" s="2" t="inlineStr">
        <is>
          <t>16/06/2026</t>
        </is>
      </c>
      <c r="E746" s="2" t="inlineStr">
        <is>
          <t>Dinheiro</t>
        </is>
      </c>
      <c r="F746" s="2" t="inlineStr">
        <is>
          <t>Boleto "63359" do cliente "LUCIANA DA ROSA COSTA"</t>
        </is>
      </c>
      <c r="G746" s="2" t="inlineStr">
        <is>
          <t>system</t>
        </is>
      </c>
      <c r="H746" s="2" t="inlineStr">
        <is>
          <t>01.01.01 : Mensalidade</t>
        </is>
      </c>
      <c r="I746" s="3" t="n">
        <v>107.02</v>
      </c>
      <c r="J746" s="2" t="n"/>
      <c r="K746" s="2">
        <f>IF(H746="02.09 : Outras Saídas", IF(OR(ISNUMBER(SEARCH("CHEQUE COMPE SICREDI", F746)), ISNUMBER(SEARCH("aniversario", F746)), ISNUMBER(SEARCH("churrasco", F746)), ISNUMBER(SEARCH("bolo", F746)), ISNUMBER(SEARCH("SUPERMERCADO", F746))), "6.1 Despesas Administrativas (Pessoal)", IF(OR(ISNUMBER(SEARCH("DLKNET", F746)), ISNUMBER(SEARCH("TESTE", F746))), "6.1 Despesas Administrativas (Gerais)", IFERROR(VLOOKUP(H746, De_Para!A:B, 2, FALSE), "NÃO MAPEADO"))), IFERROR(VLOOKUP(H746, De_Para!A:B, 2, FALSE), "NÃO MAPEADO"))</f>
        <v/>
      </c>
    </row>
    <row r="747">
      <c r="A747" s="2" t="inlineStr">
        <is>
          <t>68940</t>
        </is>
      </c>
      <c r="B747" s="2" t="inlineStr">
        <is>
          <t>Sicoob</t>
        </is>
      </c>
      <c r="C747" s="2" t="inlineStr">
        <is>
          <t>16/06/2026</t>
        </is>
      </c>
      <c r="D747" s="2" t="inlineStr">
        <is>
          <t>16/06/2026</t>
        </is>
      </c>
      <c r="E747" s="2" t="inlineStr">
        <is>
          <t>Dinheiro</t>
        </is>
      </c>
      <c r="F747" s="2" t="inlineStr">
        <is>
          <t>Boleto "61774" do cliente "MICHELI BARROS DA SILVA"</t>
        </is>
      </c>
      <c r="G747" s="2" t="inlineStr">
        <is>
          <t>system</t>
        </is>
      </c>
      <c r="H747" s="2" t="inlineStr">
        <is>
          <t>02.03.02.01 : Cobrança Bancaria</t>
        </is>
      </c>
      <c r="I747" s="2" t="n"/>
      <c r="J747" s="3" t="n">
        <v>-0.88</v>
      </c>
      <c r="K747" s="2">
        <f>IF(H747="02.09 : Outras Saídas", IF(OR(ISNUMBER(SEARCH("CHEQUE COMPE SICREDI", F747)), ISNUMBER(SEARCH("aniversario", F747)), ISNUMBER(SEARCH("churrasco", F747)), ISNUMBER(SEARCH("bolo", F747)), ISNUMBER(SEARCH("SUPERMERCADO", F747))), "6.1 Despesas Administrativas (Pessoal)", IF(OR(ISNUMBER(SEARCH("DLKNET", F747)), ISNUMBER(SEARCH("TESTE", F747))), "6.1 Despesas Administrativas (Gerais)", IFERROR(VLOOKUP(H747, De_Para!A:B, 2, FALSE), "NÃO MAPEADO"))), IFERROR(VLOOKUP(H747, De_Para!A:B, 2, FALSE), "NÃO MAPEADO"))</f>
        <v/>
      </c>
    </row>
    <row r="748">
      <c r="A748" s="2" t="inlineStr">
        <is>
          <t>68939</t>
        </is>
      </c>
      <c r="B748" s="2" t="inlineStr">
        <is>
          <t>Sicoob</t>
        </is>
      </c>
      <c r="C748" s="2" t="inlineStr">
        <is>
          <t>16/06/2026</t>
        </is>
      </c>
      <c r="D748" s="2" t="inlineStr">
        <is>
          <t>16/06/2026</t>
        </is>
      </c>
      <c r="E748" s="2" t="inlineStr">
        <is>
          <t>Dinheiro</t>
        </is>
      </c>
      <c r="F748" s="2" t="inlineStr">
        <is>
          <t>Boleto "61774" do cliente "MICHELI BARROS DA SILVA"</t>
        </is>
      </c>
      <c r="G748" s="2" t="inlineStr">
        <is>
          <t>system</t>
        </is>
      </c>
      <c r="H748" s="2" t="inlineStr">
        <is>
          <t>01.01.01 : Mensalidade</t>
        </is>
      </c>
      <c r="I748" s="3" t="n">
        <v>102.36</v>
      </c>
      <c r="J748" s="2" t="n"/>
      <c r="K748" s="2">
        <f>IF(H748="02.09 : Outras Saídas", IF(OR(ISNUMBER(SEARCH("CHEQUE COMPE SICREDI", F748)), ISNUMBER(SEARCH("aniversario", F748)), ISNUMBER(SEARCH("churrasco", F748)), ISNUMBER(SEARCH("bolo", F748)), ISNUMBER(SEARCH("SUPERMERCADO", F748))), "6.1 Despesas Administrativas (Pessoal)", IF(OR(ISNUMBER(SEARCH("DLKNET", F748)), ISNUMBER(SEARCH("TESTE", F748))), "6.1 Despesas Administrativas (Gerais)", IFERROR(VLOOKUP(H748, De_Para!A:B, 2, FALSE), "NÃO MAPEADO"))), IFERROR(VLOOKUP(H748, De_Para!A:B, 2, FALSE), "NÃO MAPEADO"))</f>
        <v/>
      </c>
    </row>
    <row r="749">
      <c r="A749" s="2" t="inlineStr">
        <is>
          <t>68938</t>
        </is>
      </c>
      <c r="B749" s="2" t="inlineStr">
        <is>
          <t>Sicoob</t>
        </is>
      </c>
      <c r="C749" s="2" t="inlineStr">
        <is>
          <t>16/06/2026</t>
        </is>
      </c>
      <c r="D749" s="2" t="inlineStr">
        <is>
          <t>16/06/2026</t>
        </is>
      </c>
      <c r="E749" s="2" t="inlineStr">
        <is>
          <t>Dinheiro</t>
        </is>
      </c>
      <c r="F749" s="2" t="inlineStr">
        <is>
          <t>Boleto "60308" do cliente "FABIANA DE SIQUEIRA SILVA MELO"</t>
        </is>
      </c>
      <c r="G749" s="2" t="inlineStr">
        <is>
          <t>system</t>
        </is>
      </c>
      <c r="H749" s="2" t="inlineStr">
        <is>
          <t>02.03.02.01 : Cobrança Bancaria</t>
        </is>
      </c>
      <c r="I749" s="2" t="n"/>
      <c r="J749" s="3" t="n">
        <v>-0.88</v>
      </c>
      <c r="K749" s="2">
        <f>IF(H749="02.09 : Outras Saídas", IF(OR(ISNUMBER(SEARCH("CHEQUE COMPE SICREDI", F749)), ISNUMBER(SEARCH("aniversario", F749)), ISNUMBER(SEARCH("churrasco", F749)), ISNUMBER(SEARCH("bolo", F749)), ISNUMBER(SEARCH("SUPERMERCADO", F749))), "6.1 Despesas Administrativas (Pessoal)", IF(OR(ISNUMBER(SEARCH("DLKNET", F749)), ISNUMBER(SEARCH("TESTE", F749))), "6.1 Despesas Administrativas (Gerais)", IFERROR(VLOOKUP(H749, De_Para!A:B, 2, FALSE), "NÃO MAPEADO"))), IFERROR(VLOOKUP(H749, De_Para!A:B, 2, FALSE), "NÃO MAPEADO"))</f>
        <v/>
      </c>
    </row>
    <row r="750">
      <c r="A750" s="2" t="inlineStr">
        <is>
          <t>68937</t>
        </is>
      </c>
      <c r="B750" s="2" t="inlineStr">
        <is>
          <t>Sicoob</t>
        </is>
      </c>
      <c r="C750" s="2" t="inlineStr">
        <is>
          <t>16/06/2026</t>
        </is>
      </c>
      <c r="D750" s="2" t="inlineStr">
        <is>
          <t>16/06/2026</t>
        </is>
      </c>
      <c r="E750" s="2" t="inlineStr">
        <is>
          <t>Dinheiro</t>
        </is>
      </c>
      <c r="F750" s="2" t="inlineStr">
        <is>
          <t>Boleto "60308" do cliente "FABIANA DE SIQUEIRA SILVA MELO"</t>
        </is>
      </c>
      <c r="G750" s="2" t="inlineStr">
        <is>
          <t>system</t>
        </is>
      </c>
      <c r="H750" s="2" t="inlineStr">
        <is>
          <t>01.03.01 : Mensalidade</t>
        </is>
      </c>
      <c r="I750" s="3" t="n">
        <v>107.48</v>
      </c>
      <c r="J750" s="2" t="n"/>
      <c r="K750" s="2">
        <f>IF(H750="02.09 : Outras Saídas", IF(OR(ISNUMBER(SEARCH("CHEQUE COMPE SICREDI", F750)), ISNUMBER(SEARCH("aniversario", F750)), ISNUMBER(SEARCH("churrasco", F750)), ISNUMBER(SEARCH("bolo", F750)), ISNUMBER(SEARCH("SUPERMERCADO", F750))), "6.1 Despesas Administrativas (Pessoal)", IF(OR(ISNUMBER(SEARCH("DLKNET", F750)), ISNUMBER(SEARCH("TESTE", F750))), "6.1 Despesas Administrativas (Gerais)", IFERROR(VLOOKUP(H750, De_Para!A:B, 2, FALSE), "NÃO MAPEADO"))), IFERROR(VLOOKUP(H750, De_Para!A:B, 2, FALSE), "NÃO MAPEADO"))</f>
        <v/>
      </c>
    </row>
    <row r="751">
      <c r="A751" s="2" t="inlineStr">
        <is>
          <t>68936</t>
        </is>
      </c>
      <c r="B751" s="2" t="inlineStr">
        <is>
          <t>Sicoob</t>
        </is>
      </c>
      <c r="C751" s="2" t="inlineStr">
        <is>
          <t>16/06/2026</t>
        </is>
      </c>
      <c r="D751" s="2" t="inlineStr">
        <is>
          <t>15/06/2026</t>
        </is>
      </c>
      <c r="E751" s="2" t="inlineStr">
        <is>
          <t>PIX</t>
        </is>
      </c>
      <c r="F751" s="2" t="inlineStr">
        <is>
          <t>DÉB.TRANSF.CONTAS DIF.TIT. INTERCREDIS_x000D_
FAV.: LUX PRIME CONTABILIDADE LTDA_x000D_
Transferência Pix_x000D_
SNI TELECOM LTDA_x000D_
10.145.409 0001-50_x000D_
IR Edison</t>
        </is>
      </c>
      <c r="G751" s="2" t="inlineStr">
        <is>
          <t>clau</t>
        </is>
      </c>
      <c r="H751" s="2" t="inlineStr">
        <is>
          <t>02.03.02.07 : Pro-Labore</t>
        </is>
      </c>
      <c r="I751" s="2" t="n"/>
      <c r="J751" s="3" t="n">
        <v>-290</v>
      </c>
      <c r="K751" s="2">
        <f>IF(H751="02.09 : Outras Saídas", IF(OR(ISNUMBER(SEARCH("CHEQUE COMPE SICREDI", F751)), ISNUMBER(SEARCH("aniversario", F751)), ISNUMBER(SEARCH("churrasco", F751)), ISNUMBER(SEARCH("bolo", F751)), ISNUMBER(SEARCH("SUPERMERCADO", F751))), "6.1 Despesas Administrativas (Pessoal)", IF(OR(ISNUMBER(SEARCH("DLKNET", F751)), ISNUMBER(SEARCH("TESTE", F751))), "6.1 Despesas Administrativas (Gerais)", IFERROR(VLOOKUP(H751, De_Para!A:B, 2, FALSE), "NÃO MAPEADO"))), IFERROR(VLOOKUP(H751, De_Para!A:B, 2, FALSE), "NÃO MAPEADO"))</f>
        <v/>
      </c>
    </row>
    <row r="752">
      <c r="A752" s="2" t="inlineStr">
        <is>
          <t>68935</t>
        </is>
      </c>
      <c r="B752" s="2" t="inlineStr">
        <is>
          <t>Sicredi SNI</t>
        </is>
      </c>
      <c r="C752" s="2" t="inlineStr">
        <is>
          <t>16/06/2026</t>
        </is>
      </c>
      <c r="D752" s="2" t="inlineStr">
        <is>
          <t>15/06/2026</t>
        </is>
      </c>
      <c r="E752" s="2" t="inlineStr">
        <is>
          <t>Débito em Conta</t>
        </is>
      </c>
      <c r="F752" s="2" t="inlineStr">
        <is>
          <t>TARIFA COBRANÇA</t>
        </is>
      </c>
      <c r="G752" s="2" t="inlineStr">
        <is>
          <t>clau</t>
        </is>
      </c>
      <c r="H752" s="2" t="inlineStr">
        <is>
          <t>02.03.03.01 : Tarifas Bancarias</t>
        </is>
      </c>
      <c r="I752" s="2" t="n"/>
      <c r="J752" s="3" t="n">
        <v>-24.42</v>
      </c>
      <c r="K752" s="2">
        <f>IF(H752="02.09 : Outras Saídas", IF(OR(ISNUMBER(SEARCH("CHEQUE COMPE SICREDI", F752)), ISNUMBER(SEARCH("aniversario", F752)), ISNUMBER(SEARCH("churrasco", F752)), ISNUMBER(SEARCH("bolo", F752)), ISNUMBER(SEARCH("SUPERMERCADO", F752))), "6.1 Despesas Administrativas (Pessoal)", IF(OR(ISNUMBER(SEARCH("DLKNET", F752)), ISNUMBER(SEARCH("TESTE", F752))), "6.1 Despesas Administrativas (Gerais)", IFERROR(VLOOKUP(H752, De_Para!A:B, 2, FALSE), "NÃO MAPEADO"))), IFERROR(VLOOKUP(H752, De_Para!A:B, 2, FALSE), "NÃO MAPEADO"))</f>
        <v/>
      </c>
    </row>
    <row r="753">
      <c r="A753" s="2" t="inlineStr">
        <is>
          <t>68934</t>
        </is>
      </c>
      <c r="B753" s="2" t="inlineStr">
        <is>
          <t>Sicredi SNI</t>
        </is>
      </c>
      <c r="C753" s="2" t="inlineStr">
        <is>
          <t>16/06/2026</t>
        </is>
      </c>
      <c r="D753" s="2" t="inlineStr">
        <is>
          <t>16/06/2026</t>
        </is>
      </c>
      <c r="E753" s="2" t="inlineStr">
        <is>
          <t>Dinheiro</t>
        </is>
      </c>
      <c r="F753" s="2" t="inlineStr">
        <is>
          <t>Boleto "66392" do cliente "ANA LAURA GELINSKI DE LIMA"</t>
        </is>
      </c>
      <c r="G753" s="2" t="inlineStr">
        <is>
          <t>system</t>
        </is>
      </c>
      <c r="H753" s="2" t="inlineStr">
        <is>
          <t>02.03.02.01 : Cobrança Bancaria</t>
        </is>
      </c>
      <c r="I753" s="2" t="n"/>
      <c r="J753" s="3" t="n">
        <v>-1.08</v>
      </c>
      <c r="K753" s="2">
        <f>IF(H753="02.09 : Outras Saídas", IF(OR(ISNUMBER(SEARCH("CHEQUE COMPE SICREDI", F753)), ISNUMBER(SEARCH("aniversario", F753)), ISNUMBER(SEARCH("churrasco", F753)), ISNUMBER(SEARCH("bolo", F753)), ISNUMBER(SEARCH("SUPERMERCADO", F753))), "6.1 Despesas Administrativas (Pessoal)", IF(OR(ISNUMBER(SEARCH("DLKNET", F753)), ISNUMBER(SEARCH("TESTE", F753))), "6.1 Despesas Administrativas (Gerais)", IFERROR(VLOOKUP(H753, De_Para!A:B, 2, FALSE), "NÃO MAPEADO"))), IFERROR(VLOOKUP(H753, De_Para!A:B, 2, FALSE), "NÃO MAPEADO"))</f>
        <v/>
      </c>
    </row>
    <row r="754">
      <c r="A754" s="2" t="inlineStr">
        <is>
          <t>68933</t>
        </is>
      </c>
      <c r="B754" s="2" t="inlineStr">
        <is>
          <t>Sicredi SNI</t>
        </is>
      </c>
      <c r="C754" s="2" t="inlineStr">
        <is>
          <t>16/06/2026</t>
        </is>
      </c>
      <c r="D754" s="2" t="inlineStr">
        <is>
          <t>16/06/2026</t>
        </is>
      </c>
      <c r="E754" s="2" t="inlineStr">
        <is>
          <t>Dinheiro</t>
        </is>
      </c>
      <c r="F754" s="2" t="inlineStr">
        <is>
          <t>Boleto "66392" do cliente "ANA LAURA GELINSKI DE LIMA"</t>
        </is>
      </c>
      <c r="G754" s="2" t="inlineStr">
        <is>
          <t>system</t>
        </is>
      </c>
      <c r="H754" s="2" t="inlineStr">
        <is>
          <t>01.01.01 : Mensalidade</t>
        </is>
      </c>
      <c r="I754" s="3" t="n">
        <v>112.12</v>
      </c>
      <c r="J754" s="2" t="n"/>
      <c r="K754" s="2">
        <f>IF(H754="02.09 : Outras Saídas", IF(OR(ISNUMBER(SEARCH("CHEQUE COMPE SICREDI", F754)), ISNUMBER(SEARCH("aniversario", F754)), ISNUMBER(SEARCH("churrasco", F754)), ISNUMBER(SEARCH("bolo", F754)), ISNUMBER(SEARCH("SUPERMERCADO", F754))), "6.1 Despesas Administrativas (Pessoal)", IF(OR(ISNUMBER(SEARCH("DLKNET", F754)), ISNUMBER(SEARCH("TESTE", F754))), "6.1 Despesas Administrativas (Gerais)", IFERROR(VLOOKUP(H754, De_Para!A:B, 2, FALSE), "NÃO MAPEADO"))), IFERROR(VLOOKUP(H754, De_Para!A:B, 2, FALSE), "NÃO MAPEADO"))</f>
        <v/>
      </c>
    </row>
    <row r="755">
      <c r="A755" s="2" t="inlineStr">
        <is>
          <t>68932</t>
        </is>
      </c>
      <c r="B755" s="2" t="inlineStr">
        <is>
          <t>Sicredi SNI</t>
        </is>
      </c>
      <c r="C755" s="2" t="inlineStr">
        <is>
          <t>16/06/2026</t>
        </is>
      </c>
      <c r="D755" s="2" t="inlineStr">
        <is>
          <t>16/06/2026</t>
        </is>
      </c>
      <c r="E755" s="2" t="inlineStr">
        <is>
          <t>Dinheiro</t>
        </is>
      </c>
      <c r="F755" s="2" t="inlineStr">
        <is>
          <t>Boleto "62285" do cliente "CRISTIANO DA SILVA LEITE"</t>
        </is>
      </c>
      <c r="G755" s="2" t="inlineStr">
        <is>
          <t>system</t>
        </is>
      </c>
      <c r="H755" s="2" t="inlineStr">
        <is>
          <t>02.03.02.01 : Cobrança Bancaria</t>
        </is>
      </c>
      <c r="I755" s="2" t="n"/>
      <c r="J755" s="3" t="n">
        <v>-1.08</v>
      </c>
      <c r="K755" s="2">
        <f>IF(H755="02.09 : Outras Saídas", IF(OR(ISNUMBER(SEARCH("CHEQUE COMPE SICREDI", F755)), ISNUMBER(SEARCH("aniversario", F755)), ISNUMBER(SEARCH("churrasco", F755)), ISNUMBER(SEARCH("bolo", F755)), ISNUMBER(SEARCH("SUPERMERCADO", F755))), "6.1 Despesas Administrativas (Pessoal)", IF(OR(ISNUMBER(SEARCH("DLKNET", F755)), ISNUMBER(SEARCH("TESTE", F755))), "6.1 Despesas Administrativas (Gerais)", IFERROR(VLOOKUP(H755, De_Para!A:B, 2, FALSE), "NÃO MAPEADO"))), IFERROR(VLOOKUP(H755, De_Para!A:B, 2, FALSE), "NÃO MAPEADO"))</f>
        <v/>
      </c>
    </row>
    <row r="756">
      <c r="A756" s="2" t="inlineStr">
        <is>
          <t>68931</t>
        </is>
      </c>
      <c r="B756" s="2" t="inlineStr">
        <is>
          <t>Sicredi SNI</t>
        </is>
      </c>
      <c r="C756" s="2" t="inlineStr">
        <is>
          <t>16/06/2026</t>
        </is>
      </c>
      <c r="D756" s="2" t="inlineStr">
        <is>
          <t>16/06/2026</t>
        </is>
      </c>
      <c r="E756" s="2" t="inlineStr">
        <is>
          <t>Dinheiro</t>
        </is>
      </c>
      <c r="F756" s="2" t="inlineStr">
        <is>
          <t>Boleto "62285" do cliente "CRISTIANO DA SILVA LEITE"</t>
        </is>
      </c>
      <c r="G756" s="2" t="inlineStr">
        <is>
          <t>system</t>
        </is>
      </c>
      <c r="H756" s="2" t="inlineStr">
        <is>
          <t>01.01.01 : Mensalidade</t>
        </is>
      </c>
      <c r="I756" s="3" t="n">
        <v>107.13</v>
      </c>
      <c r="J756" s="2" t="n"/>
      <c r="K756" s="2">
        <f>IF(H756="02.09 : Outras Saídas", IF(OR(ISNUMBER(SEARCH("CHEQUE COMPE SICREDI", F756)), ISNUMBER(SEARCH("aniversario", F756)), ISNUMBER(SEARCH("churrasco", F756)), ISNUMBER(SEARCH("bolo", F756)), ISNUMBER(SEARCH("SUPERMERCADO", F756))), "6.1 Despesas Administrativas (Pessoal)", IF(OR(ISNUMBER(SEARCH("DLKNET", F756)), ISNUMBER(SEARCH("TESTE", F756))), "6.1 Despesas Administrativas (Gerais)", IFERROR(VLOOKUP(H756, De_Para!A:B, 2, FALSE), "NÃO MAPEADO"))), IFERROR(VLOOKUP(H756, De_Para!A:B, 2, FALSE), "NÃO MAPEADO"))</f>
        <v/>
      </c>
    </row>
    <row r="757">
      <c r="A757" s="2" t="inlineStr">
        <is>
          <t>68930</t>
        </is>
      </c>
      <c r="B757" s="2" t="inlineStr">
        <is>
          <t>Sicredi SNI</t>
        </is>
      </c>
      <c r="C757" s="2" t="inlineStr">
        <is>
          <t>16/06/2026</t>
        </is>
      </c>
      <c r="D757" s="2" t="inlineStr">
        <is>
          <t>16/06/2026</t>
        </is>
      </c>
      <c r="E757" s="2" t="inlineStr">
        <is>
          <t>Dinheiro</t>
        </is>
      </c>
      <c r="F757" s="2" t="inlineStr">
        <is>
          <t>Boleto "58541" do cliente "JHONATA FERNANDES LOPES"</t>
        </is>
      </c>
      <c r="G757" s="2" t="inlineStr">
        <is>
          <t>system</t>
        </is>
      </c>
      <c r="H757" s="2" t="inlineStr">
        <is>
          <t>02.03.02.01 : Cobrança Bancaria</t>
        </is>
      </c>
      <c r="I757" s="2" t="n"/>
      <c r="J757" s="3" t="n">
        <v>-1.08</v>
      </c>
      <c r="K757" s="2">
        <f>IF(H757="02.09 : Outras Saídas", IF(OR(ISNUMBER(SEARCH("CHEQUE COMPE SICREDI", F757)), ISNUMBER(SEARCH("aniversario", F757)), ISNUMBER(SEARCH("churrasco", F757)), ISNUMBER(SEARCH("bolo", F757)), ISNUMBER(SEARCH("SUPERMERCADO", F757))), "6.1 Despesas Administrativas (Pessoal)", IF(OR(ISNUMBER(SEARCH("DLKNET", F757)), ISNUMBER(SEARCH("TESTE", F757))), "6.1 Despesas Administrativas (Gerais)", IFERROR(VLOOKUP(H757, De_Para!A:B, 2, FALSE), "NÃO MAPEADO"))), IFERROR(VLOOKUP(H757, De_Para!A:B, 2, FALSE), "NÃO MAPEADO"))</f>
        <v/>
      </c>
    </row>
    <row r="758">
      <c r="A758" s="2" t="inlineStr">
        <is>
          <t>68929</t>
        </is>
      </c>
      <c r="B758" s="2" t="inlineStr">
        <is>
          <t>Sicredi SNI</t>
        </is>
      </c>
      <c r="C758" s="2" t="inlineStr">
        <is>
          <t>16/06/2026</t>
        </is>
      </c>
      <c r="D758" s="2" t="inlineStr">
        <is>
          <t>16/06/2026</t>
        </is>
      </c>
      <c r="E758" s="2" t="inlineStr">
        <is>
          <t>Dinheiro</t>
        </is>
      </c>
      <c r="F758" s="2" t="inlineStr">
        <is>
          <t>Boleto "58541" do cliente "JHONATA FERNANDES LOPES"</t>
        </is>
      </c>
      <c r="G758" s="2" t="inlineStr">
        <is>
          <t>system</t>
        </is>
      </c>
      <c r="H758" s="2" t="inlineStr">
        <is>
          <t>01.01.01 : Mensalidade</t>
        </is>
      </c>
      <c r="I758" s="3" t="n">
        <v>102.33</v>
      </c>
      <c r="J758" s="2" t="n"/>
      <c r="K758" s="2">
        <f>IF(H758="02.09 : Outras Saídas", IF(OR(ISNUMBER(SEARCH("CHEQUE COMPE SICREDI", F758)), ISNUMBER(SEARCH("aniversario", F758)), ISNUMBER(SEARCH("churrasco", F758)), ISNUMBER(SEARCH("bolo", F758)), ISNUMBER(SEARCH("SUPERMERCADO", F758))), "6.1 Despesas Administrativas (Pessoal)", IF(OR(ISNUMBER(SEARCH("DLKNET", F758)), ISNUMBER(SEARCH("TESTE", F758))), "6.1 Despesas Administrativas (Gerais)", IFERROR(VLOOKUP(H758, De_Para!A:B, 2, FALSE), "NÃO MAPEADO"))), IFERROR(VLOOKUP(H758, De_Para!A:B, 2, FALSE), "NÃO MAPEADO"))</f>
        <v/>
      </c>
    </row>
    <row r="759">
      <c r="A759" s="2" t="inlineStr">
        <is>
          <t>68928</t>
        </is>
      </c>
      <c r="B759" s="2" t="inlineStr">
        <is>
          <t>Sicoob</t>
        </is>
      </c>
      <c r="C759" s="2" t="inlineStr">
        <is>
          <t>16/06/2026</t>
        </is>
      </c>
      <c r="D759" s="2" t="inlineStr">
        <is>
          <t>15/06/2026</t>
        </is>
      </c>
      <c r="E759" s="2" t="inlineStr">
        <is>
          <t>Dinheiro</t>
        </is>
      </c>
      <c r="F759" s="2" t="inlineStr">
        <is>
          <t>Boleto "66369" do cliente "OTACIR DA SILVA"</t>
        </is>
      </c>
      <c r="G759" s="2" t="inlineStr">
        <is>
          <t>system</t>
        </is>
      </c>
      <c r="H759" s="2" t="inlineStr">
        <is>
          <t>02.03.02.01 : Cobrança Bancaria</t>
        </is>
      </c>
      <c r="I759" s="2" t="n"/>
      <c r="J759" s="3" t="n">
        <v>-0.3</v>
      </c>
      <c r="K759" s="2">
        <f>IF(H759="02.09 : Outras Saídas", IF(OR(ISNUMBER(SEARCH("CHEQUE COMPE SICREDI", F759)), ISNUMBER(SEARCH("aniversario", F759)), ISNUMBER(SEARCH("churrasco", F759)), ISNUMBER(SEARCH("bolo", F759)), ISNUMBER(SEARCH("SUPERMERCADO", F759))), "6.1 Despesas Administrativas (Pessoal)", IF(OR(ISNUMBER(SEARCH("DLKNET", F759)), ISNUMBER(SEARCH("TESTE", F759))), "6.1 Despesas Administrativas (Gerais)", IFERROR(VLOOKUP(H759, De_Para!A:B, 2, FALSE), "NÃO MAPEADO"))), IFERROR(VLOOKUP(H759, De_Para!A:B, 2, FALSE), "NÃO MAPEADO"))</f>
        <v/>
      </c>
    </row>
    <row r="760">
      <c r="A760" s="2" t="inlineStr">
        <is>
          <t>68927</t>
        </is>
      </c>
      <c r="B760" s="2" t="inlineStr">
        <is>
          <t>Sicoob</t>
        </is>
      </c>
      <c r="C760" s="2" t="inlineStr">
        <is>
          <t>16/06/2026</t>
        </is>
      </c>
      <c r="D760" s="2" t="inlineStr">
        <is>
          <t>15/06/2026</t>
        </is>
      </c>
      <c r="E760" s="2" t="inlineStr">
        <is>
          <t>Dinheiro</t>
        </is>
      </c>
      <c r="F760" s="2" t="inlineStr">
        <is>
          <t>Boleto "66369" do cliente "OTACIR DA SILVA"</t>
        </is>
      </c>
      <c r="G760" s="2" t="inlineStr">
        <is>
          <t>system</t>
        </is>
      </c>
      <c r="H760" s="2" t="inlineStr">
        <is>
          <t>01.01.01 : Mensalidade</t>
        </is>
      </c>
      <c r="I760" s="3" t="n">
        <v>107.16</v>
      </c>
      <c r="J760" s="2" t="n"/>
      <c r="K760" s="2">
        <f>IF(H760="02.09 : Outras Saídas", IF(OR(ISNUMBER(SEARCH("CHEQUE COMPE SICREDI", F760)), ISNUMBER(SEARCH("aniversario", F760)), ISNUMBER(SEARCH("churrasco", F760)), ISNUMBER(SEARCH("bolo", F760)), ISNUMBER(SEARCH("SUPERMERCADO", F760))), "6.1 Despesas Administrativas (Pessoal)", IF(OR(ISNUMBER(SEARCH("DLKNET", F760)), ISNUMBER(SEARCH("TESTE", F760))), "6.1 Despesas Administrativas (Gerais)", IFERROR(VLOOKUP(H760, De_Para!A:B, 2, FALSE), "NÃO MAPEADO"))), IFERROR(VLOOKUP(H760, De_Para!A:B, 2, FALSE), "NÃO MAPEADO"))</f>
        <v/>
      </c>
    </row>
    <row r="761">
      <c r="A761" s="2" t="inlineStr">
        <is>
          <t>68926</t>
        </is>
      </c>
      <c r="B761" s="2" t="inlineStr">
        <is>
          <t>Sicoob</t>
        </is>
      </c>
      <c r="C761" s="2" t="inlineStr">
        <is>
          <t>16/06/2026</t>
        </is>
      </c>
      <c r="D761" s="2" t="inlineStr">
        <is>
          <t>15/06/2026</t>
        </is>
      </c>
      <c r="E761" s="2" t="inlineStr">
        <is>
          <t>Dinheiro</t>
        </is>
      </c>
      <c r="F761" s="2" t="inlineStr">
        <is>
          <t>Boleto "60974" do cliente "RENAN VIEIR DA SILVA"</t>
        </is>
      </c>
      <c r="G761" s="2" t="inlineStr">
        <is>
          <t>system</t>
        </is>
      </c>
      <c r="H761" s="2" t="inlineStr">
        <is>
          <t>02.03.02.01 : Cobrança Bancaria</t>
        </is>
      </c>
      <c r="I761" s="2" t="n"/>
      <c r="J761" s="3" t="n">
        <v>-0.3</v>
      </c>
      <c r="K761" s="2">
        <f>IF(H761="02.09 : Outras Saídas", IF(OR(ISNUMBER(SEARCH("CHEQUE COMPE SICREDI", F761)), ISNUMBER(SEARCH("aniversario", F761)), ISNUMBER(SEARCH("churrasco", F761)), ISNUMBER(SEARCH("bolo", F761)), ISNUMBER(SEARCH("SUPERMERCADO", F761))), "6.1 Despesas Administrativas (Pessoal)", IF(OR(ISNUMBER(SEARCH("DLKNET", F761)), ISNUMBER(SEARCH("TESTE", F761))), "6.1 Despesas Administrativas (Gerais)", IFERROR(VLOOKUP(H761, De_Para!A:B, 2, FALSE), "NÃO MAPEADO"))), IFERROR(VLOOKUP(H761, De_Para!A:B, 2, FALSE), "NÃO MAPEADO"))</f>
        <v/>
      </c>
    </row>
    <row r="762">
      <c r="A762" s="2" t="inlineStr">
        <is>
          <t>68925</t>
        </is>
      </c>
      <c r="B762" s="2" t="inlineStr">
        <is>
          <t>Sicoob</t>
        </is>
      </c>
      <c r="C762" s="2" t="inlineStr">
        <is>
          <t>16/06/2026</t>
        </is>
      </c>
      <c r="D762" s="2" t="inlineStr">
        <is>
          <t>15/06/2026</t>
        </is>
      </c>
      <c r="E762" s="2" t="inlineStr">
        <is>
          <t>Dinheiro</t>
        </is>
      </c>
      <c r="F762" s="2" t="inlineStr">
        <is>
          <t>Boleto "60974" do cliente "RENAN VIEIR DA SILVA"</t>
        </is>
      </c>
      <c r="G762" s="2" t="inlineStr">
        <is>
          <t>system</t>
        </is>
      </c>
      <c r="H762" s="2" t="inlineStr">
        <is>
          <t>01.01.01 : Mensalidade</t>
        </is>
      </c>
      <c r="I762" s="3" t="n">
        <v>100</v>
      </c>
      <c r="J762" s="2" t="n"/>
      <c r="K762" s="2">
        <f>IF(H762="02.09 : Outras Saídas", IF(OR(ISNUMBER(SEARCH("CHEQUE COMPE SICREDI", F762)), ISNUMBER(SEARCH("aniversario", F762)), ISNUMBER(SEARCH("churrasco", F762)), ISNUMBER(SEARCH("bolo", F762)), ISNUMBER(SEARCH("SUPERMERCADO", F762))), "6.1 Despesas Administrativas (Pessoal)", IF(OR(ISNUMBER(SEARCH("DLKNET", F762)), ISNUMBER(SEARCH("TESTE", F762))), "6.1 Despesas Administrativas (Gerais)", IFERROR(VLOOKUP(H762, De_Para!A:B, 2, FALSE), "NÃO MAPEADO"))), IFERROR(VLOOKUP(H762, De_Para!A:B, 2, FALSE), "NÃO MAPEADO"))</f>
        <v/>
      </c>
    </row>
    <row r="763">
      <c r="A763" s="2" t="inlineStr">
        <is>
          <t>68924</t>
        </is>
      </c>
      <c r="B763" s="2" t="inlineStr">
        <is>
          <t>Sicoob</t>
        </is>
      </c>
      <c r="C763" s="2" t="inlineStr">
        <is>
          <t>16/06/2026</t>
        </is>
      </c>
      <c r="D763" s="2" t="inlineStr">
        <is>
          <t>15/06/2026</t>
        </is>
      </c>
      <c r="E763" s="2" t="inlineStr">
        <is>
          <t>Dinheiro</t>
        </is>
      </c>
      <c r="F763" s="2" t="inlineStr">
        <is>
          <t>Boleto "58387" do cliente "VALDIR ESTEVO DA SILVA"</t>
        </is>
      </c>
      <c r="G763" s="2" t="inlineStr">
        <is>
          <t>system</t>
        </is>
      </c>
      <c r="H763" s="2" t="inlineStr">
        <is>
          <t>02.03.02.01 : Cobrança Bancaria</t>
        </is>
      </c>
      <c r="I763" s="2" t="n"/>
      <c r="J763" s="3" t="n">
        <v>-0.3</v>
      </c>
      <c r="K763" s="2">
        <f>IF(H763="02.09 : Outras Saídas", IF(OR(ISNUMBER(SEARCH("CHEQUE COMPE SICREDI", F763)), ISNUMBER(SEARCH("aniversario", F763)), ISNUMBER(SEARCH("churrasco", F763)), ISNUMBER(SEARCH("bolo", F763)), ISNUMBER(SEARCH("SUPERMERCADO", F763))), "6.1 Despesas Administrativas (Pessoal)", IF(OR(ISNUMBER(SEARCH("DLKNET", F763)), ISNUMBER(SEARCH("TESTE", F763))), "6.1 Despesas Administrativas (Gerais)", IFERROR(VLOOKUP(H763, De_Para!A:B, 2, FALSE), "NÃO MAPEADO"))), IFERROR(VLOOKUP(H763, De_Para!A:B, 2, FALSE), "NÃO MAPEADO"))</f>
        <v/>
      </c>
    </row>
    <row r="764">
      <c r="A764" s="2" t="inlineStr">
        <is>
          <t>68923</t>
        </is>
      </c>
      <c r="B764" s="2" t="inlineStr">
        <is>
          <t>Sicoob</t>
        </is>
      </c>
      <c r="C764" s="2" t="inlineStr">
        <is>
          <t>16/06/2026</t>
        </is>
      </c>
      <c r="D764" s="2" t="inlineStr">
        <is>
          <t>15/06/2026</t>
        </is>
      </c>
      <c r="E764" s="2" t="inlineStr">
        <is>
          <t>Dinheiro</t>
        </is>
      </c>
      <c r="F764" s="2" t="inlineStr">
        <is>
          <t>Boleto "58387" do cliente "VALDIR ESTEVO DA SILVA"</t>
        </is>
      </c>
      <c r="G764" s="2" t="inlineStr">
        <is>
          <t>system</t>
        </is>
      </c>
      <c r="H764" s="2" t="inlineStr">
        <is>
          <t>01.01.01 : Mensalidade</t>
        </is>
      </c>
      <c r="I764" s="3" t="n">
        <v>105</v>
      </c>
      <c r="J764" s="2" t="n"/>
      <c r="K764" s="2">
        <f>IF(H764="02.09 : Outras Saídas", IF(OR(ISNUMBER(SEARCH("CHEQUE COMPE SICREDI", F764)), ISNUMBER(SEARCH("aniversario", F764)), ISNUMBER(SEARCH("churrasco", F764)), ISNUMBER(SEARCH("bolo", F764)), ISNUMBER(SEARCH("SUPERMERCADO", F764))), "6.1 Despesas Administrativas (Pessoal)", IF(OR(ISNUMBER(SEARCH("DLKNET", F764)), ISNUMBER(SEARCH("TESTE", F764))), "6.1 Despesas Administrativas (Gerais)", IFERROR(VLOOKUP(H764, De_Para!A:B, 2, FALSE), "NÃO MAPEADO"))), IFERROR(VLOOKUP(H764, De_Para!A:B, 2, FALSE), "NÃO MAPEADO"))</f>
        <v/>
      </c>
    </row>
    <row r="765">
      <c r="A765" s="2" t="inlineStr">
        <is>
          <t>68922</t>
        </is>
      </c>
      <c r="B765" s="2" t="inlineStr">
        <is>
          <t>Sicredi SNI</t>
        </is>
      </c>
      <c r="C765" s="2" t="inlineStr">
        <is>
          <t>15/06/2026</t>
        </is>
      </c>
      <c r="D765" s="2" t="inlineStr">
        <is>
          <t>15/06/2026</t>
        </is>
      </c>
      <c r="E765" s="2" t="inlineStr">
        <is>
          <t>PIX</t>
        </is>
      </c>
      <c r="F765" s="2" t="inlineStr">
        <is>
          <t>Boleto "67030" do cliente "REGINALDO APARECIDO DA SILVA"</t>
        </is>
      </c>
      <c r="G765" s="2" t="inlineStr">
        <is>
          <t>system</t>
        </is>
      </c>
      <c r="H765" s="2" t="inlineStr">
        <is>
          <t>02.03.02.01 : Cobrança Bancaria</t>
        </is>
      </c>
      <c r="I765" s="2" t="n"/>
      <c r="J765" s="3" t="n">
        <v>-0.49</v>
      </c>
      <c r="K765" s="2">
        <f>IF(H765="02.09 : Outras Saídas", IF(OR(ISNUMBER(SEARCH("CHEQUE COMPE SICREDI", F765)), ISNUMBER(SEARCH("aniversario", F765)), ISNUMBER(SEARCH("churrasco", F765)), ISNUMBER(SEARCH("bolo", F765)), ISNUMBER(SEARCH("SUPERMERCADO", F765))), "6.1 Despesas Administrativas (Pessoal)", IF(OR(ISNUMBER(SEARCH("DLKNET", F765)), ISNUMBER(SEARCH("TESTE", F765))), "6.1 Despesas Administrativas (Gerais)", IFERROR(VLOOKUP(H765, De_Para!A:B, 2, FALSE), "NÃO MAPEADO"))), IFERROR(VLOOKUP(H765, De_Para!A:B, 2, FALSE), "NÃO MAPEADO"))</f>
        <v/>
      </c>
    </row>
    <row r="766">
      <c r="A766" s="2" t="inlineStr">
        <is>
          <t>68921</t>
        </is>
      </c>
      <c r="B766" s="2" t="inlineStr">
        <is>
          <t>Sicredi SNI</t>
        </is>
      </c>
      <c r="C766" s="2" t="inlineStr">
        <is>
          <t>15/06/2026</t>
        </is>
      </c>
      <c r="D766" s="2" t="inlineStr">
        <is>
          <t>15/06/2026</t>
        </is>
      </c>
      <c r="E766" s="2" t="inlineStr">
        <is>
          <t>PIX</t>
        </is>
      </c>
      <c r="F766" s="2" t="inlineStr">
        <is>
          <t>Boleto "67030" do cliente "REGINALDO APARECIDO DA SILVA"</t>
        </is>
      </c>
      <c r="G766" s="2" t="inlineStr">
        <is>
          <t>system</t>
        </is>
      </c>
      <c r="H766" s="2" t="inlineStr">
        <is>
          <t>01.01.01 : Mensalidade</t>
        </is>
      </c>
      <c r="I766" s="3" t="n">
        <v>100</v>
      </c>
      <c r="J766" s="2" t="n"/>
      <c r="K766" s="2">
        <f>IF(H766="02.09 : Outras Saídas", IF(OR(ISNUMBER(SEARCH("CHEQUE COMPE SICREDI", F766)), ISNUMBER(SEARCH("aniversario", F766)), ISNUMBER(SEARCH("churrasco", F766)), ISNUMBER(SEARCH("bolo", F766)), ISNUMBER(SEARCH("SUPERMERCADO", F766))), "6.1 Despesas Administrativas (Pessoal)", IF(OR(ISNUMBER(SEARCH("DLKNET", F766)), ISNUMBER(SEARCH("TESTE", F766))), "6.1 Despesas Administrativas (Gerais)", IFERROR(VLOOKUP(H766, De_Para!A:B, 2, FALSE), "NÃO MAPEADO"))), IFERROR(VLOOKUP(H766, De_Para!A:B, 2, FALSE), "NÃO MAPEADO"))</f>
        <v/>
      </c>
    </row>
    <row r="767">
      <c r="A767" s="2" t="inlineStr">
        <is>
          <t>68920</t>
        </is>
      </c>
      <c r="B767" s="2" t="inlineStr">
        <is>
          <t>Sicredi SNI</t>
        </is>
      </c>
      <c r="C767" s="2" t="inlineStr">
        <is>
          <t>15/06/2026</t>
        </is>
      </c>
      <c r="D767" s="2" t="inlineStr">
        <is>
          <t>15/06/2026</t>
        </is>
      </c>
      <c r="E767" s="2" t="inlineStr">
        <is>
          <t>PIX</t>
        </is>
      </c>
      <c r="F767" s="2" t="inlineStr">
        <is>
          <t>Boleto "65063" do cliente "TIAGO ANTONIO FERREIRA DA SILVA"</t>
        </is>
      </c>
      <c r="G767" s="2" t="inlineStr">
        <is>
          <t>system</t>
        </is>
      </c>
      <c r="H767" s="2" t="inlineStr">
        <is>
          <t>02.03.02.01 : Cobrança Bancaria</t>
        </is>
      </c>
      <c r="I767" s="2" t="n"/>
      <c r="J767" s="3" t="n">
        <v>-0.49</v>
      </c>
      <c r="K767" s="2">
        <f>IF(H767="02.09 : Outras Saídas", IF(OR(ISNUMBER(SEARCH("CHEQUE COMPE SICREDI", F767)), ISNUMBER(SEARCH("aniversario", F767)), ISNUMBER(SEARCH("churrasco", F767)), ISNUMBER(SEARCH("bolo", F767)), ISNUMBER(SEARCH("SUPERMERCADO", F767))), "6.1 Despesas Administrativas (Pessoal)", IF(OR(ISNUMBER(SEARCH("DLKNET", F767)), ISNUMBER(SEARCH("TESTE", F767))), "6.1 Despesas Administrativas (Gerais)", IFERROR(VLOOKUP(H767, De_Para!A:B, 2, FALSE), "NÃO MAPEADO"))), IFERROR(VLOOKUP(H767, De_Para!A:B, 2, FALSE), "NÃO MAPEADO"))</f>
        <v/>
      </c>
    </row>
    <row r="768">
      <c r="A768" s="2" t="inlineStr">
        <is>
          <t>68919</t>
        </is>
      </c>
      <c r="B768" s="2" t="inlineStr">
        <is>
          <t>Sicredi SNI</t>
        </is>
      </c>
      <c r="C768" s="2" t="inlineStr">
        <is>
          <t>15/06/2026</t>
        </is>
      </c>
      <c r="D768" s="2" t="inlineStr">
        <is>
          <t>15/06/2026</t>
        </is>
      </c>
      <c r="E768" s="2" t="inlineStr">
        <is>
          <t>PIX</t>
        </is>
      </c>
      <c r="F768" s="2" t="inlineStr">
        <is>
          <t>Boleto "65063" do cliente "TIAGO ANTONIO FERREIRA DA SILVA"</t>
        </is>
      </c>
      <c r="G768" s="2" t="inlineStr">
        <is>
          <t>system</t>
        </is>
      </c>
      <c r="H768" s="2" t="inlineStr">
        <is>
          <t>01.01.01 : Mensalidade</t>
        </is>
      </c>
      <c r="I768" s="3" t="n">
        <v>104.9</v>
      </c>
      <c r="J768" s="2" t="n"/>
      <c r="K768" s="2">
        <f>IF(H768="02.09 : Outras Saídas", IF(OR(ISNUMBER(SEARCH("CHEQUE COMPE SICREDI", F768)), ISNUMBER(SEARCH("aniversario", F768)), ISNUMBER(SEARCH("churrasco", F768)), ISNUMBER(SEARCH("bolo", F768)), ISNUMBER(SEARCH("SUPERMERCADO", F768))), "6.1 Despesas Administrativas (Pessoal)", IF(OR(ISNUMBER(SEARCH("DLKNET", F768)), ISNUMBER(SEARCH("TESTE", F768))), "6.1 Despesas Administrativas (Gerais)", IFERROR(VLOOKUP(H768, De_Para!A:B, 2, FALSE), "NÃO MAPEADO"))), IFERROR(VLOOKUP(H768, De_Para!A:B, 2, FALSE), "NÃO MAPEADO"))</f>
        <v/>
      </c>
    </row>
    <row r="769">
      <c r="A769" s="2" t="inlineStr">
        <is>
          <t>68918</t>
        </is>
      </c>
      <c r="B769" s="2" t="inlineStr">
        <is>
          <t>Sicredi SNI</t>
        </is>
      </c>
      <c r="C769" s="2" t="inlineStr">
        <is>
          <t>15/06/2026</t>
        </is>
      </c>
      <c r="D769" s="2" t="inlineStr">
        <is>
          <t>15/06/2026</t>
        </is>
      </c>
      <c r="E769" s="2" t="inlineStr">
        <is>
          <t>PIX</t>
        </is>
      </c>
      <c r="F769" s="2" t="inlineStr">
        <is>
          <t>Boleto "60848" do cliente "VANDO FERREIRA"</t>
        </is>
      </c>
      <c r="G769" s="2" t="inlineStr">
        <is>
          <t>system</t>
        </is>
      </c>
      <c r="H769" s="2" t="inlineStr">
        <is>
          <t>02.03.02.01 : Cobrança Bancaria</t>
        </is>
      </c>
      <c r="I769" s="2" t="n"/>
      <c r="J769" s="3" t="n">
        <v>-0.49</v>
      </c>
      <c r="K769" s="2">
        <f>IF(H769="02.09 : Outras Saídas", IF(OR(ISNUMBER(SEARCH("CHEQUE COMPE SICREDI", F769)), ISNUMBER(SEARCH("aniversario", F769)), ISNUMBER(SEARCH("churrasco", F769)), ISNUMBER(SEARCH("bolo", F769)), ISNUMBER(SEARCH("SUPERMERCADO", F769))), "6.1 Despesas Administrativas (Pessoal)", IF(OR(ISNUMBER(SEARCH("DLKNET", F769)), ISNUMBER(SEARCH("TESTE", F769))), "6.1 Despesas Administrativas (Gerais)", IFERROR(VLOOKUP(H769, De_Para!A:B, 2, FALSE), "NÃO MAPEADO"))), IFERROR(VLOOKUP(H769, De_Para!A:B, 2, FALSE), "NÃO MAPEADO"))</f>
        <v/>
      </c>
    </row>
    <row r="770">
      <c r="A770" s="2" t="inlineStr">
        <is>
          <t>68917</t>
        </is>
      </c>
      <c r="B770" s="2" t="inlineStr">
        <is>
          <t>Sicredi SNI</t>
        </is>
      </c>
      <c r="C770" s="2" t="inlineStr">
        <is>
          <t>15/06/2026</t>
        </is>
      </c>
      <c r="D770" s="2" t="inlineStr">
        <is>
          <t>15/06/2026</t>
        </is>
      </c>
      <c r="E770" s="2" t="inlineStr">
        <is>
          <t>PIX</t>
        </is>
      </c>
      <c r="F770" s="2" t="inlineStr">
        <is>
          <t>Boleto "60848" do cliente "VANDO FERREIRA"</t>
        </is>
      </c>
      <c r="G770" s="2" t="inlineStr">
        <is>
          <t>system</t>
        </is>
      </c>
      <c r="H770" s="2" t="inlineStr">
        <is>
          <t>01.01.01 : Mensalidade</t>
        </is>
      </c>
      <c r="I770" s="3" t="n">
        <v>105</v>
      </c>
      <c r="J770" s="2" t="n"/>
      <c r="K770" s="2">
        <f>IF(H770="02.09 : Outras Saídas", IF(OR(ISNUMBER(SEARCH("CHEQUE COMPE SICREDI", F770)), ISNUMBER(SEARCH("aniversario", F770)), ISNUMBER(SEARCH("churrasco", F770)), ISNUMBER(SEARCH("bolo", F770)), ISNUMBER(SEARCH("SUPERMERCADO", F770))), "6.1 Despesas Administrativas (Pessoal)", IF(OR(ISNUMBER(SEARCH("DLKNET", F770)), ISNUMBER(SEARCH("TESTE", F770))), "6.1 Despesas Administrativas (Gerais)", IFERROR(VLOOKUP(H770, De_Para!A:B, 2, FALSE), "NÃO MAPEADO"))), IFERROR(VLOOKUP(H770, De_Para!A:B, 2, FALSE), "NÃO MAPEADO"))</f>
        <v/>
      </c>
    </row>
    <row r="771">
      <c r="A771" s="2" t="inlineStr">
        <is>
          <t>68916</t>
        </is>
      </c>
      <c r="B771" s="2" t="inlineStr">
        <is>
          <t>Sicredi SNI</t>
        </is>
      </c>
      <c r="C771" s="2" t="inlineStr">
        <is>
          <t>15/06/2026</t>
        </is>
      </c>
      <c r="D771" s="2" t="inlineStr">
        <is>
          <t>15/06/2026</t>
        </is>
      </c>
      <c r="E771" s="2" t="inlineStr">
        <is>
          <t>PIX</t>
        </is>
      </c>
      <c r="F771" s="2" t="inlineStr">
        <is>
          <t>Boleto "62254" do cliente "AGUINALDO PANICHI"</t>
        </is>
      </c>
      <c r="G771" s="2" t="inlineStr">
        <is>
          <t>system</t>
        </is>
      </c>
      <c r="H771" s="2" t="inlineStr">
        <is>
          <t>02.03.02.01 : Cobrança Bancaria</t>
        </is>
      </c>
      <c r="I771" s="2" t="n"/>
      <c r="J771" s="3" t="n">
        <v>-0.49</v>
      </c>
      <c r="K771" s="2">
        <f>IF(H771="02.09 : Outras Saídas", IF(OR(ISNUMBER(SEARCH("CHEQUE COMPE SICREDI", F771)), ISNUMBER(SEARCH("aniversario", F771)), ISNUMBER(SEARCH("churrasco", F771)), ISNUMBER(SEARCH("bolo", F771)), ISNUMBER(SEARCH("SUPERMERCADO", F771))), "6.1 Despesas Administrativas (Pessoal)", IF(OR(ISNUMBER(SEARCH("DLKNET", F771)), ISNUMBER(SEARCH("TESTE", F771))), "6.1 Despesas Administrativas (Gerais)", IFERROR(VLOOKUP(H771, De_Para!A:B, 2, FALSE), "NÃO MAPEADO"))), IFERROR(VLOOKUP(H771, De_Para!A:B, 2, FALSE), "NÃO MAPEADO"))</f>
        <v/>
      </c>
    </row>
    <row r="772">
      <c r="A772" s="2" t="inlineStr">
        <is>
          <t>68915</t>
        </is>
      </c>
      <c r="B772" s="2" t="inlineStr">
        <is>
          <t>Sicredi SNI</t>
        </is>
      </c>
      <c r="C772" s="2" t="inlineStr">
        <is>
          <t>15/06/2026</t>
        </is>
      </c>
      <c r="D772" s="2" t="inlineStr">
        <is>
          <t>15/06/2026</t>
        </is>
      </c>
      <c r="E772" s="2" t="inlineStr">
        <is>
          <t>PIX</t>
        </is>
      </c>
      <c r="F772" s="2" t="inlineStr">
        <is>
          <t>Boleto "62254" do cliente "AGUINALDO PANICHI"</t>
        </is>
      </c>
      <c r="G772" s="2" t="inlineStr">
        <is>
          <t>system</t>
        </is>
      </c>
      <c r="H772" s="2" t="inlineStr">
        <is>
          <t>01.01.01 : Mensalidade</t>
        </is>
      </c>
      <c r="I772" s="3" t="n">
        <v>105</v>
      </c>
      <c r="J772" s="2" t="n"/>
      <c r="K772" s="2">
        <f>IF(H772="02.09 : Outras Saídas", IF(OR(ISNUMBER(SEARCH("CHEQUE COMPE SICREDI", F772)), ISNUMBER(SEARCH("aniversario", F772)), ISNUMBER(SEARCH("churrasco", F772)), ISNUMBER(SEARCH("bolo", F772)), ISNUMBER(SEARCH("SUPERMERCADO", F772))), "6.1 Despesas Administrativas (Pessoal)", IF(OR(ISNUMBER(SEARCH("DLKNET", F772)), ISNUMBER(SEARCH("TESTE", F772))), "6.1 Despesas Administrativas (Gerais)", IFERROR(VLOOKUP(H772, De_Para!A:B, 2, FALSE), "NÃO MAPEADO"))), IFERROR(VLOOKUP(H772, De_Para!A:B, 2, FALSE), "NÃO MAPEADO"))</f>
        <v/>
      </c>
    </row>
    <row r="773">
      <c r="A773" s="2" t="inlineStr">
        <is>
          <t>68914</t>
        </is>
      </c>
      <c r="B773" s="2" t="inlineStr">
        <is>
          <t>Sicredi SNI</t>
        </is>
      </c>
      <c r="C773" s="2" t="inlineStr">
        <is>
          <t>15/06/2026</t>
        </is>
      </c>
      <c r="D773" s="2" t="inlineStr">
        <is>
          <t>15/06/2026</t>
        </is>
      </c>
      <c r="E773" s="2" t="inlineStr">
        <is>
          <t>Dinheiro</t>
        </is>
      </c>
      <c r="F773" s="2" t="inlineStr">
        <is>
          <t>Boleto "63216" do cliente "FRANCISCO CONCEIÇÃO DE OLIVEIRA"</t>
        </is>
      </c>
      <c r="G773" s="2" t="inlineStr">
        <is>
          <t>system</t>
        </is>
      </c>
      <c r="H773" s="2" t="inlineStr">
        <is>
          <t>02.03.02.01 : Cobrança Bancaria</t>
        </is>
      </c>
      <c r="I773" s="2" t="n"/>
      <c r="J773" s="3" t="n">
        <v>-1.08</v>
      </c>
      <c r="K773" s="2">
        <f>IF(H773="02.09 : Outras Saídas", IF(OR(ISNUMBER(SEARCH("CHEQUE COMPE SICREDI", F773)), ISNUMBER(SEARCH("aniversario", F773)), ISNUMBER(SEARCH("churrasco", F773)), ISNUMBER(SEARCH("bolo", F773)), ISNUMBER(SEARCH("SUPERMERCADO", F773))), "6.1 Despesas Administrativas (Pessoal)", IF(OR(ISNUMBER(SEARCH("DLKNET", F773)), ISNUMBER(SEARCH("TESTE", F773))), "6.1 Despesas Administrativas (Gerais)", IFERROR(VLOOKUP(H773, De_Para!A:B, 2, FALSE), "NÃO MAPEADO"))), IFERROR(VLOOKUP(H773, De_Para!A:B, 2, FALSE), "NÃO MAPEADO"))</f>
        <v/>
      </c>
    </row>
    <row r="774">
      <c r="A774" s="2" t="inlineStr">
        <is>
          <t>68913</t>
        </is>
      </c>
      <c r="B774" s="2" t="inlineStr">
        <is>
          <t>Sicredi SNI</t>
        </is>
      </c>
      <c r="C774" s="2" t="inlineStr">
        <is>
          <t>15/06/2026</t>
        </is>
      </c>
      <c r="D774" s="2" t="inlineStr">
        <is>
          <t>15/06/2026</t>
        </is>
      </c>
      <c r="E774" s="2" t="inlineStr">
        <is>
          <t>Dinheiro</t>
        </is>
      </c>
      <c r="F774" s="2" t="inlineStr">
        <is>
          <t>Boleto "63216" do cliente "FRANCISCO CONCEIÇÃO DE OLIVEIRA"</t>
        </is>
      </c>
      <c r="G774" s="2" t="inlineStr">
        <is>
          <t>system</t>
        </is>
      </c>
      <c r="H774" s="2" t="inlineStr">
        <is>
          <t>01.03.01 : Mensalidade</t>
        </is>
      </c>
      <c r="I774" s="3" t="n">
        <v>105</v>
      </c>
      <c r="J774" s="2" t="n"/>
      <c r="K774" s="2">
        <f>IF(H774="02.09 : Outras Saídas", IF(OR(ISNUMBER(SEARCH("CHEQUE COMPE SICREDI", F774)), ISNUMBER(SEARCH("aniversario", F774)), ISNUMBER(SEARCH("churrasco", F774)), ISNUMBER(SEARCH("bolo", F774)), ISNUMBER(SEARCH("SUPERMERCADO", F774))), "6.1 Despesas Administrativas (Pessoal)", IF(OR(ISNUMBER(SEARCH("DLKNET", F774)), ISNUMBER(SEARCH("TESTE", F774))), "6.1 Despesas Administrativas (Gerais)", IFERROR(VLOOKUP(H774, De_Para!A:B, 2, FALSE), "NÃO MAPEADO"))), IFERROR(VLOOKUP(H774, De_Para!A:B, 2, FALSE), "NÃO MAPEADO"))</f>
        <v/>
      </c>
    </row>
    <row r="775">
      <c r="A775" s="2" t="inlineStr">
        <is>
          <t>68912</t>
        </is>
      </c>
      <c r="B775" s="2" t="inlineStr">
        <is>
          <t>Sicredi SNI</t>
        </is>
      </c>
      <c r="C775" s="2" t="inlineStr">
        <is>
          <t>15/06/2026</t>
        </is>
      </c>
      <c r="D775" s="2" t="inlineStr">
        <is>
          <t>15/06/2026</t>
        </is>
      </c>
      <c r="E775" s="2" t="inlineStr">
        <is>
          <t>Dinheiro</t>
        </is>
      </c>
      <c r="F775" s="2" t="inlineStr">
        <is>
          <t>Boleto "53717" do cliente "VALDECIR MARIA"</t>
        </is>
      </c>
      <c r="G775" s="2" t="inlineStr">
        <is>
          <t>system</t>
        </is>
      </c>
      <c r="H775" s="2" t="inlineStr">
        <is>
          <t>02.03.02.01 : Cobrança Bancaria</t>
        </is>
      </c>
      <c r="I775" s="2" t="n"/>
      <c r="J775" s="3" t="n">
        <v>-1.08</v>
      </c>
      <c r="K775" s="2">
        <f>IF(H775="02.09 : Outras Saídas", IF(OR(ISNUMBER(SEARCH("CHEQUE COMPE SICREDI", F775)), ISNUMBER(SEARCH("aniversario", F775)), ISNUMBER(SEARCH("churrasco", F775)), ISNUMBER(SEARCH("bolo", F775)), ISNUMBER(SEARCH("SUPERMERCADO", F775))), "6.1 Despesas Administrativas (Pessoal)", IF(OR(ISNUMBER(SEARCH("DLKNET", F775)), ISNUMBER(SEARCH("TESTE", F775))), "6.1 Despesas Administrativas (Gerais)", IFERROR(VLOOKUP(H775, De_Para!A:B, 2, FALSE), "NÃO MAPEADO"))), IFERROR(VLOOKUP(H775, De_Para!A:B, 2, FALSE), "NÃO MAPEADO"))</f>
        <v/>
      </c>
    </row>
    <row r="776">
      <c r="A776" s="2" t="inlineStr">
        <is>
          <t>68911</t>
        </is>
      </c>
      <c r="B776" s="2" t="inlineStr">
        <is>
          <t>Sicredi SNI</t>
        </is>
      </c>
      <c r="C776" s="2" t="inlineStr">
        <is>
          <t>15/06/2026</t>
        </is>
      </c>
      <c r="D776" s="2" t="inlineStr">
        <is>
          <t>15/06/2026</t>
        </is>
      </c>
      <c r="E776" s="2" t="inlineStr">
        <is>
          <t>Dinheiro</t>
        </is>
      </c>
      <c r="F776" s="2" t="inlineStr">
        <is>
          <t>Boleto "53717" do cliente "VALDECIR MARIA"</t>
        </is>
      </c>
      <c r="G776" s="2" t="inlineStr">
        <is>
          <t>system</t>
        </is>
      </c>
      <c r="H776" s="2" t="inlineStr">
        <is>
          <t>01.01.01 : Mensalidade</t>
        </is>
      </c>
      <c r="I776" s="3" t="n">
        <v>110</v>
      </c>
      <c r="J776" s="2" t="n"/>
      <c r="K776" s="2">
        <f>IF(H776="02.09 : Outras Saídas", IF(OR(ISNUMBER(SEARCH("CHEQUE COMPE SICREDI", F776)), ISNUMBER(SEARCH("aniversario", F776)), ISNUMBER(SEARCH("churrasco", F776)), ISNUMBER(SEARCH("bolo", F776)), ISNUMBER(SEARCH("SUPERMERCADO", F776))), "6.1 Despesas Administrativas (Pessoal)", IF(OR(ISNUMBER(SEARCH("DLKNET", F776)), ISNUMBER(SEARCH("TESTE", F776))), "6.1 Despesas Administrativas (Gerais)", IFERROR(VLOOKUP(H776, De_Para!A:B, 2, FALSE), "NÃO MAPEADO"))), IFERROR(VLOOKUP(H776, De_Para!A:B, 2, FALSE), "NÃO MAPEADO"))</f>
        <v/>
      </c>
    </row>
    <row r="777">
      <c r="A777" s="2" t="inlineStr">
        <is>
          <t>68910</t>
        </is>
      </c>
      <c r="B777" s="2" t="inlineStr">
        <is>
          <t>Sicoob</t>
        </is>
      </c>
      <c r="C777" s="2" t="inlineStr">
        <is>
          <t>15/06/2026</t>
        </is>
      </c>
      <c r="D777" s="2" t="inlineStr">
        <is>
          <t>15/06/2026</t>
        </is>
      </c>
      <c r="E777" s="2" t="inlineStr">
        <is>
          <t>Dinheiro</t>
        </is>
      </c>
      <c r="F777" s="2" t="inlineStr">
        <is>
          <t>Boleto "66910" do cliente "EMILY MAYUMI KATAYAMA"</t>
        </is>
      </c>
      <c r="G777" s="2" t="inlineStr">
        <is>
          <t>system</t>
        </is>
      </c>
      <c r="H777" s="2" t="inlineStr">
        <is>
          <t>02.03.02.01 : Cobrança Bancaria</t>
        </is>
      </c>
      <c r="I777" s="2" t="n"/>
      <c r="J777" s="3" t="n">
        <v>-0.88</v>
      </c>
      <c r="K777" s="2">
        <f>IF(H777="02.09 : Outras Saídas", IF(OR(ISNUMBER(SEARCH("CHEQUE COMPE SICREDI", F777)), ISNUMBER(SEARCH("aniversario", F777)), ISNUMBER(SEARCH("churrasco", F777)), ISNUMBER(SEARCH("bolo", F777)), ISNUMBER(SEARCH("SUPERMERCADO", F777))), "6.1 Despesas Administrativas (Pessoal)", IF(OR(ISNUMBER(SEARCH("DLKNET", F777)), ISNUMBER(SEARCH("TESTE", F777))), "6.1 Despesas Administrativas (Gerais)", IFERROR(VLOOKUP(H777, De_Para!A:B, 2, FALSE), "NÃO MAPEADO"))), IFERROR(VLOOKUP(H777, De_Para!A:B, 2, FALSE), "NÃO MAPEADO"))</f>
        <v/>
      </c>
    </row>
    <row r="778">
      <c r="A778" s="2" t="inlineStr">
        <is>
          <t>68909</t>
        </is>
      </c>
      <c r="B778" s="2" t="inlineStr">
        <is>
          <t>Sicoob</t>
        </is>
      </c>
      <c r="C778" s="2" t="inlineStr">
        <is>
          <t>15/06/2026</t>
        </is>
      </c>
      <c r="D778" s="2" t="inlineStr">
        <is>
          <t>15/06/2026</t>
        </is>
      </c>
      <c r="E778" s="2" t="inlineStr">
        <is>
          <t>Dinheiro</t>
        </is>
      </c>
      <c r="F778" s="2" t="inlineStr">
        <is>
          <t>Boleto "66910" do cliente "EMILY MAYUMI KATAYAMA"</t>
        </is>
      </c>
      <c r="G778" s="2" t="inlineStr">
        <is>
          <t>system</t>
        </is>
      </c>
      <c r="H778" s="2" t="inlineStr">
        <is>
          <t>01.01.01 : Mensalidade</t>
        </is>
      </c>
      <c r="I778" s="3" t="n">
        <v>104.9</v>
      </c>
      <c r="J778" s="2" t="n"/>
      <c r="K778" s="2">
        <f>IF(H778="02.09 : Outras Saídas", IF(OR(ISNUMBER(SEARCH("CHEQUE COMPE SICREDI", F778)), ISNUMBER(SEARCH("aniversario", F778)), ISNUMBER(SEARCH("churrasco", F778)), ISNUMBER(SEARCH("bolo", F778)), ISNUMBER(SEARCH("SUPERMERCADO", F778))), "6.1 Despesas Administrativas (Pessoal)", IF(OR(ISNUMBER(SEARCH("DLKNET", F778)), ISNUMBER(SEARCH("TESTE", F778))), "6.1 Despesas Administrativas (Gerais)", IFERROR(VLOOKUP(H778, De_Para!A:B, 2, FALSE), "NÃO MAPEADO"))), IFERROR(VLOOKUP(H778, De_Para!A:B, 2, FALSE), "NÃO MAPEADO"))</f>
        <v/>
      </c>
    </row>
    <row r="779">
      <c r="A779" s="2" t="inlineStr">
        <is>
          <t>68908</t>
        </is>
      </c>
      <c r="B779" s="2" t="inlineStr">
        <is>
          <t>Sicoob</t>
        </is>
      </c>
      <c r="C779" s="2" t="inlineStr">
        <is>
          <t>15/06/2026</t>
        </is>
      </c>
      <c r="D779" s="2" t="inlineStr">
        <is>
          <t>15/06/2026</t>
        </is>
      </c>
      <c r="E779" s="2" t="inlineStr">
        <is>
          <t>Dinheiro</t>
        </is>
      </c>
      <c r="F779" s="2" t="inlineStr">
        <is>
          <t>Boleto "60908" do cliente "AGAS ROGERIO DE PAULA"</t>
        </is>
      </c>
      <c r="G779" s="2" t="inlineStr">
        <is>
          <t>system</t>
        </is>
      </c>
      <c r="H779" s="2" t="inlineStr">
        <is>
          <t>02.03.02.01 : Cobrança Bancaria</t>
        </is>
      </c>
      <c r="I779" s="2" t="n"/>
      <c r="J779" s="3" t="n">
        <v>-0.88</v>
      </c>
      <c r="K779" s="2">
        <f>IF(H779="02.09 : Outras Saídas", IF(OR(ISNUMBER(SEARCH("CHEQUE COMPE SICREDI", F779)), ISNUMBER(SEARCH("aniversario", F779)), ISNUMBER(SEARCH("churrasco", F779)), ISNUMBER(SEARCH("bolo", F779)), ISNUMBER(SEARCH("SUPERMERCADO", F779))), "6.1 Despesas Administrativas (Pessoal)", IF(OR(ISNUMBER(SEARCH("DLKNET", F779)), ISNUMBER(SEARCH("TESTE", F779))), "6.1 Despesas Administrativas (Gerais)", IFERROR(VLOOKUP(H779, De_Para!A:B, 2, FALSE), "NÃO MAPEADO"))), IFERROR(VLOOKUP(H779, De_Para!A:B, 2, FALSE), "NÃO MAPEADO"))</f>
        <v/>
      </c>
    </row>
    <row r="780">
      <c r="A780" s="2" t="inlineStr">
        <is>
          <t>68907</t>
        </is>
      </c>
      <c r="B780" s="2" t="inlineStr">
        <is>
          <t>Sicoob</t>
        </is>
      </c>
      <c r="C780" s="2" t="inlineStr">
        <is>
          <t>15/06/2026</t>
        </is>
      </c>
      <c r="D780" s="2" t="inlineStr">
        <is>
          <t>15/06/2026</t>
        </is>
      </c>
      <c r="E780" s="2" t="inlineStr">
        <is>
          <t>Dinheiro</t>
        </is>
      </c>
      <c r="F780" s="2" t="inlineStr">
        <is>
          <t>Boleto "60908" do cliente "AGAS ROGERIO DE PAULA"</t>
        </is>
      </c>
      <c r="G780" s="2" t="inlineStr">
        <is>
          <t>system</t>
        </is>
      </c>
      <c r="H780" s="2" t="inlineStr">
        <is>
          <t>01.01.01 : Mensalidade</t>
        </is>
      </c>
      <c r="I780" s="3" t="n">
        <v>105</v>
      </c>
      <c r="J780" s="2" t="n"/>
      <c r="K780" s="2">
        <f>IF(H780="02.09 : Outras Saídas", IF(OR(ISNUMBER(SEARCH("CHEQUE COMPE SICREDI", F780)), ISNUMBER(SEARCH("aniversario", F780)), ISNUMBER(SEARCH("churrasco", F780)), ISNUMBER(SEARCH("bolo", F780)), ISNUMBER(SEARCH("SUPERMERCADO", F780))), "6.1 Despesas Administrativas (Pessoal)", IF(OR(ISNUMBER(SEARCH("DLKNET", F780)), ISNUMBER(SEARCH("TESTE", F780))), "6.1 Despesas Administrativas (Gerais)", IFERROR(VLOOKUP(H780, De_Para!A:B, 2, FALSE), "NÃO MAPEADO"))), IFERROR(VLOOKUP(H780, De_Para!A:B, 2, FALSE), "NÃO MAPEADO"))</f>
        <v/>
      </c>
    </row>
    <row r="781">
      <c r="A781" s="2" t="inlineStr">
        <is>
          <t>68906</t>
        </is>
      </c>
      <c r="B781" s="2" t="inlineStr">
        <is>
          <t>Sicoob</t>
        </is>
      </c>
      <c r="C781" s="2" t="inlineStr">
        <is>
          <t>15/06/2026</t>
        </is>
      </c>
      <c r="D781" s="2" t="inlineStr">
        <is>
          <t>15/06/2026</t>
        </is>
      </c>
      <c r="E781" s="2" t="inlineStr">
        <is>
          <t>Dinheiro</t>
        </is>
      </c>
      <c r="F781" s="2" t="inlineStr">
        <is>
          <t>Boleto "58530" do cliente "JOSE CARLOS DA SILVA"</t>
        </is>
      </c>
      <c r="G781" s="2" t="inlineStr">
        <is>
          <t>system</t>
        </is>
      </c>
      <c r="H781" s="2" t="inlineStr">
        <is>
          <t>02.03.02.01 : Cobrança Bancaria</t>
        </is>
      </c>
      <c r="I781" s="2" t="n"/>
      <c r="J781" s="3" t="n">
        <v>-0.88</v>
      </c>
      <c r="K781" s="2">
        <f>IF(H781="02.09 : Outras Saídas", IF(OR(ISNUMBER(SEARCH("CHEQUE COMPE SICREDI", F781)), ISNUMBER(SEARCH("aniversario", F781)), ISNUMBER(SEARCH("churrasco", F781)), ISNUMBER(SEARCH("bolo", F781)), ISNUMBER(SEARCH("SUPERMERCADO", F781))), "6.1 Despesas Administrativas (Pessoal)", IF(OR(ISNUMBER(SEARCH("DLKNET", F781)), ISNUMBER(SEARCH("TESTE", F781))), "6.1 Despesas Administrativas (Gerais)", IFERROR(VLOOKUP(H781, De_Para!A:B, 2, FALSE), "NÃO MAPEADO"))), IFERROR(VLOOKUP(H781, De_Para!A:B, 2, FALSE), "NÃO MAPEADO"))</f>
        <v/>
      </c>
    </row>
    <row r="782">
      <c r="A782" s="2" t="inlineStr">
        <is>
          <t>68905</t>
        </is>
      </c>
      <c r="B782" s="2" t="inlineStr">
        <is>
          <t>Sicoob</t>
        </is>
      </c>
      <c r="C782" s="2" t="inlineStr">
        <is>
          <t>15/06/2026</t>
        </is>
      </c>
      <c r="D782" s="2" t="inlineStr">
        <is>
          <t>15/06/2026</t>
        </is>
      </c>
      <c r="E782" s="2" t="inlineStr">
        <is>
          <t>Dinheiro</t>
        </is>
      </c>
      <c r="F782" s="2" t="inlineStr">
        <is>
          <t>Boleto "58530" do cliente "JOSE CARLOS DA SILVA"</t>
        </is>
      </c>
      <c r="G782" s="2" t="inlineStr">
        <is>
          <t>system</t>
        </is>
      </c>
      <c r="H782" s="2" t="inlineStr">
        <is>
          <t>01.01.01 : Mensalidade</t>
        </is>
      </c>
      <c r="I782" s="3" t="n">
        <v>105</v>
      </c>
      <c r="J782" s="2" t="n"/>
      <c r="K782" s="2">
        <f>IF(H782="02.09 : Outras Saídas", IF(OR(ISNUMBER(SEARCH("CHEQUE COMPE SICREDI", F782)), ISNUMBER(SEARCH("aniversario", F782)), ISNUMBER(SEARCH("churrasco", F782)), ISNUMBER(SEARCH("bolo", F782)), ISNUMBER(SEARCH("SUPERMERCADO", F782))), "6.1 Despesas Administrativas (Pessoal)", IF(OR(ISNUMBER(SEARCH("DLKNET", F782)), ISNUMBER(SEARCH("TESTE", F782))), "6.1 Despesas Administrativas (Gerais)", IFERROR(VLOOKUP(H782, De_Para!A:B, 2, FALSE), "NÃO MAPEADO"))), IFERROR(VLOOKUP(H782, De_Para!A:B, 2, FALSE), "NÃO MAPEADO"))</f>
        <v/>
      </c>
    </row>
    <row r="783">
      <c r="A783" s="2" t="inlineStr">
        <is>
          <t>68904</t>
        </is>
      </c>
      <c r="B783" s="2" t="inlineStr">
        <is>
          <t>Sicoob</t>
        </is>
      </c>
      <c r="C783" s="2" t="inlineStr">
        <is>
          <t>15/06/2026</t>
        </is>
      </c>
      <c r="D783" s="2" t="inlineStr">
        <is>
          <t>15/06/2026</t>
        </is>
      </c>
      <c r="E783" s="2" t="inlineStr">
        <is>
          <t>Dinheiro</t>
        </is>
      </c>
      <c r="F783" s="2" t="inlineStr">
        <is>
          <t>Boleto "58049" do cliente "BENEDITO RAIMUNDO DA COSTA"</t>
        </is>
      </c>
      <c r="G783" s="2" t="inlineStr">
        <is>
          <t>system</t>
        </is>
      </c>
      <c r="H783" s="2" t="inlineStr">
        <is>
          <t>02.03.02.01 : Cobrança Bancaria</t>
        </is>
      </c>
      <c r="I783" s="2" t="n"/>
      <c r="J783" s="3" t="n">
        <v>-0.88</v>
      </c>
      <c r="K783" s="2">
        <f>IF(H783="02.09 : Outras Saídas", IF(OR(ISNUMBER(SEARCH("CHEQUE COMPE SICREDI", F783)), ISNUMBER(SEARCH("aniversario", F783)), ISNUMBER(SEARCH("churrasco", F783)), ISNUMBER(SEARCH("bolo", F783)), ISNUMBER(SEARCH("SUPERMERCADO", F783))), "6.1 Despesas Administrativas (Pessoal)", IF(OR(ISNUMBER(SEARCH("DLKNET", F783)), ISNUMBER(SEARCH("TESTE", F783))), "6.1 Despesas Administrativas (Gerais)", IFERROR(VLOOKUP(H783, De_Para!A:B, 2, FALSE), "NÃO MAPEADO"))), IFERROR(VLOOKUP(H783, De_Para!A:B, 2, FALSE), "NÃO MAPEADO"))</f>
        <v/>
      </c>
    </row>
    <row r="784">
      <c r="A784" s="2" t="inlineStr">
        <is>
          <t>68903</t>
        </is>
      </c>
      <c r="B784" s="2" t="inlineStr">
        <is>
          <t>Sicoob</t>
        </is>
      </c>
      <c r="C784" s="2" t="inlineStr">
        <is>
          <t>15/06/2026</t>
        </is>
      </c>
      <c r="D784" s="2" t="inlineStr">
        <is>
          <t>15/06/2026</t>
        </is>
      </c>
      <c r="E784" s="2" t="inlineStr">
        <is>
          <t>Dinheiro</t>
        </is>
      </c>
      <c r="F784" s="2" t="inlineStr">
        <is>
          <t>Boleto "58049" do cliente "BENEDITO RAIMUNDO DA COSTA"</t>
        </is>
      </c>
      <c r="G784" s="2" t="inlineStr">
        <is>
          <t>system</t>
        </is>
      </c>
      <c r="H784" s="2" t="inlineStr">
        <is>
          <t>01.01.01 : Mensalidade</t>
        </is>
      </c>
      <c r="I784" s="3" t="n">
        <v>80</v>
      </c>
      <c r="J784" s="2" t="n"/>
      <c r="K784" s="2">
        <f>IF(H784="02.09 : Outras Saídas", IF(OR(ISNUMBER(SEARCH("CHEQUE COMPE SICREDI", F784)), ISNUMBER(SEARCH("aniversario", F784)), ISNUMBER(SEARCH("churrasco", F784)), ISNUMBER(SEARCH("bolo", F784)), ISNUMBER(SEARCH("SUPERMERCADO", F784))), "6.1 Despesas Administrativas (Pessoal)", IF(OR(ISNUMBER(SEARCH("DLKNET", F784)), ISNUMBER(SEARCH("TESTE", F784))), "6.1 Despesas Administrativas (Gerais)", IFERROR(VLOOKUP(H784, De_Para!A:B, 2, FALSE), "NÃO MAPEADO"))), IFERROR(VLOOKUP(H784, De_Para!A:B, 2, FALSE), "NÃO MAPEADO"))</f>
        <v/>
      </c>
    </row>
    <row r="785">
      <c r="A785" s="2" t="inlineStr">
        <is>
          <t>68902</t>
        </is>
      </c>
      <c r="B785" s="2" t="inlineStr">
        <is>
          <t>Sicoob</t>
        </is>
      </c>
      <c r="C785" s="2" t="inlineStr">
        <is>
          <t>15/06/2026</t>
        </is>
      </c>
      <c r="D785" s="2" t="inlineStr">
        <is>
          <t>15/06/2026</t>
        </is>
      </c>
      <c r="E785" s="2" t="inlineStr">
        <is>
          <t>Dinheiro</t>
        </is>
      </c>
      <c r="F785" s="2" t="inlineStr">
        <is>
          <t>Boleto "55055" do cliente "AGUINALDO BENEDITO GOES"</t>
        </is>
      </c>
      <c r="G785" s="2" t="inlineStr">
        <is>
          <t>system</t>
        </is>
      </c>
      <c r="H785" s="2" t="inlineStr">
        <is>
          <t>02.03.02.01 : Cobrança Bancaria</t>
        </is>
      </c>
      <c r="I785" s="2" t="n"/>
      <c r="J785" s="3" t="n">
        <v>-0.88</v>
      </c>
      <c r="K785" s="2">
        <f>IF(H785="02.09 : Outras Saídas", IF(OR(ISNUMBER(SEARCH("CHEQUE COMPE SICREDI", F785)), ISNUMBER(SEARCH("aniversario", F785)), ISNUMBER(SEARCH("churrasco", F785)), ISNUMBER(SEARCH("bolo", F785)), ISNUMBER(SEARCH("SUPERMERCADO", F785))), "6.1 Despesas Administrativas (Pessoal)", IF(OR(ISNUMBER(SEARCH("DLKNET", F785)), ISNUMBER(SEARCH("TESTE", F785))), "6.1 Despesas Administrativas (Gerais)", IFERROR(VLOOKUP(H785, De_Para!A:B, 2, FALSE), "NÃO MAPEADO"))), IFERROR(VLOOKUP(H785, De_Para!A:B, 2, FALSE), "NÃO MAPEADO"))</f>
        <v/>
      </c>
    </row>
    <row r="786">
      <c r="A786" s="2" t="inlineStr">
        <is>
          <t>68901</t>
        </is>
      </c>
      <c r="B786" s="2" t="inlineStr">
        <is>
          <t>Sicoob</t>
        </is>
      </c>
      <c r="C786" s="2" t="inlineStr">
        <is>
          <t>15/06/2026</t>
        </is>
      </c>
      <c r="D786" s="2" t="inlineStr">
        <is>
          <t>15/06/2026</t>
        </is>
      </c>
      <c r="E786" s="2" t="inlineStr">
        <is>
          <t>Dinheiro</t>
        </is>
      </c>
      <c r="F786" s="2" t="inlineStr">
        <is>
          <t>Boleto "55055" do cliente "AGUINALDO BENEDITO GOES"</t>
        </is>
      </c>
      <c r="G786" s="2" t="inlineStr">
        <is>
          <t>system</t>
        </is>
      </c>
      <c r="H786" s="2" t="inlineStr">
        <is>
          <t>01.01.01 : Mensalidade</t>
        </is>
      </c>
      <c r="I786" s="3" t="n">
        <v>100</v>
      </c>
      <c r="J786" s="2" t="n"/>
      <c r="K786" s="2">
        <f>IF(H786="02.09 : Outras Saídas", IF(OR(ISNUMBER(SEARCH("CHEQUE COMPE SICREDI", F786)), ISNUMBER(SEARCH("aniversario", F786)), ISNUMBER(SEARCH("churrasco", F786)), ISNUMBER(SEARCH("bolo", F786)), ISNUMBER(SEARCH("SUPERMERCADO", F786))), "6.1 Despesas Administrativas (Pessoal)", IF(OR(ISNUMBER(SEARCH("DLKNET", F786)), ISNUMBER(SEARCH("TESTE", F786))), "6.1 Despesas Administrativas (Gerais)", IFERROR(VLOOKUP(H786, De_Para!A:B, 2, FALSE), "NÃO MAPEADO"))), IFERROR(VLOOKUP(H786, De_Para!A:B, 2, FALSE), "NÃO MAPEADO"))</f>
        <v/>
      </c>
    </row>
    <row r="787">
      <c r="A787" s="2" t="inlineStr">
        <is>
          <t>68900</t>
        </is>
      </c>
      <c r="B787" s="2" t="inlineStr">
        <is>
          <t>Sicredi SNI</t>
        </is>
      </c>
      <c r="C787" s="2" t="inlineStr">
        <is>
          <t>15/06/2026</t>
        </is>
      </c>
      <c r="D787" s="2" t="inlineStr">
        <is>
          <t>15/06/2026</t>
        </is>
      </c>
      <c r="E787" s="2" t="inlineStr">
        <is>
          <t>PIX</t>
        </is>
      </c>
      <c r="F787" s="2" t="inlineStr">
        <is>
          <t>Boleto "58277" do cliente "JOAO PAULO GRANDO"</t>
        </is>
      </c>
      <c r="G787" s="2" t="inlineStr">
        <is>
          <t>system</t>
        </is>
      </c>
      <c r="H787" s="2" t="inlineStr">
        <is>
          <t>02.03.02.01 : Cobrança Bancaria</t>
        </is>
      </c>
      <c r="I787" s="2" t="n"/>
      <c r="J787" s="3" t="n">
        <v>-0.49</v>
      </c>
      <c r="K787" s="2">
        <f>IF(H787="02.09 : Outras Saídas", IF(OR(ISNUMBER(SEARCH("CHEQUE COMPE SICREDI", F787)), ISNUMBER(SEARCH("aniversario", F787)), ISNUMBER(SEARCH("churrasco", F787)), ISNUMBER(SEARCH("bolo", F787)), ISNUMBER(SEARCH("SUPERMERCADO", F787))), "6.1 Despesas Administrativas (Pessoal)", IF(OR(ISNUMBER(SEARCH("DLKNET", F787)), ISNUMBER(SEARCH("TESTE", F787))), "6.1 Despesas Administrativas (Gerais)", IFERROR(VLOOKUP(H787, De_Para!A:B, 2, FALSE), "NÃO MAPEADO"))), IFERROR(VLOOKUP(H787, De_Para!A:B, 2, FALSE), "NÃO MAPEADO"))</f>
        <v/>
      </c>
    </row>
    <row r="788">
      <c r="A788" s="2" t="inlineStr">
        <is>
          <t>68899</t>
        </is>
      </c>
      <c r="B788" s="2" t="inlineStr">
        <is>
          <t>Sicredi SNI</t>
        </is>
      </c>
      <c r="C788" s="2" t="inlineStr">
        <is>
          <t>15/06/2026</t>
        </is>
      </c>
      <c r="D788" s="2" t="inlineStr">
        <is>
          <t>15/06/2026</t>
        </is>
      </c>
      <c r="E788" s="2" t="inlineStr">
        <is>
          <t>PIX</t>
        </is>
      </c>
      <c r="F788" s="2" t="inlineStr">
        <is>
          <t>Boleto "58277" do cliente "JOAO PAULO GRANDO"</t>
        </is>
      </c>
      <c r="G788" s="2" t="inlineStr">
        <is>
          <t>system</t>
        </is>
      </c>
      <c r="H788" s="2" t="inlineStr">
        <is>
          <t>01.01.01 : Mensalidade</t>
        </is>
      </c>
      <c r="I788" s="3" t="n">
        <v>105</v>
      </c>
      <c r="J788" s="2" t="n"/>
      <c r="K788" s="2">
        <f>IF(H788="02.09 : Outras Saídas", IF(OR(ISNUMBER(SEARCH("CHEQUE COMPE SICREDI", F788)), ISNUMBER(SEARCH("aniversario", F788)), ISNUMBER(SEARCH("churrasco", F788)), ISNUMBER(SEARCH("bolo", F788)), ISNUMBER(SEARCH("SUPERMERCADO", F788))), "6.1 Despesas Administrativas (Pessoal)", IF(OR(ISNUMBER(SEARCH("DLKNET", F788)), ISNUMBER(SEARCH("TESTE", F788))), "6.1 Despesas Administrativas (Gerais)", IFERROR(VLOOKUP(H788, De_Para!A:B, 2, FALSE), "NÃO MAPEADO"))), IFERROR(VLOOKUP(H788, De_Para!A:B, 2, FALSE), "NÃO MAPEADO"))</f>
        <v/>
      </c>
    </row>
    <row r="789">
      <c r="A789" s="2" t="inlineStr">
        <is>
          <t>68898</t>
        </is>
      </c>
      <c r="B789" s="2" t="inlineStr">
        <is>
          <t>Sicredi SNI</t>
        </is>
      </c>
      <c r="C789" s="2" t="inlineStr">
        <is>
          <t>15/06/2026</t>
        </is>
      </c>
      <c r="D789" s="2" t="inlineStr">
        <is>
          <t>15/06/2026</t>
        </is>
      </c>
      <c r="E789" s="2" t="inlineStr">
        <is>
          <t>PIX</t>
        </is>
      </c>
      <c r="F789" s="2" t="inlineStr">
        <is>
          <t>Boleto "65689" do cliente "DANIEL PROENÇA DE OLIVEIRA"</t>
        </is>
      </c>
      <c r="G789" s="2" t="inlineStr">
        <is>
          <t>system</t>
        </is>
      </c>
      <c r="H789" s="2" t="inlineStr">
        <is>
          <t>02.03.02.01 : Cobrança Bancaria</t>
        </is>
      </c>
      <c r="I789" s="2" t="n"/>
      <c r="J789" s="3" t="n">
        <v>-0.49</v>
      </c>
      <c r="K789" s="2">
        <f>IF(H789="02.09 : Outras Saídas", IF(OR(ISNUMBER(SEARCH("CHEQUE COMPE SICREDI", F789)), ISNUMBER(SEARCH("aniversario", F789)), ISNUMBER(SEARCH("churrasco", F789)), ISNUMBER(SEARCH("bolo", F789)), ISNUMBER(SEARCH("SUPERMERCADO", F789))), "6.1 Despesas Administrativas (Pessoal)", IF(OR(ISNUMBER(SEARCH("DLKNET", F789)), ISNUMBER(SEARCH("TESTE", F789))), "6.1 Despesas Administrativas (Gerais)", IFERROR(VLOOKUP(H789, De_Para!A:B, 2, FALSE), "NÃO MAPEADO"))), IFERROR(VLOOKUP(H789, De_Para!A:B, 2, FALSE), "NÃO MAPEADO"))</f>
        <v/>
      </c>
    </row>
    <row r="790">
      <c r="A790" s="2" t="inlineStr">
        <is>
          <t>68897</t>
        </is>
      </c>
      <c r="B790" s="2" t="inlineStr">
        <is>
          <t>Sicredi SNI</t>
        </is>
      </c>
      <c r="C790" s="2" t="inlineStr">
        <is>
          <t>15/06/2026</t>
        </is>
      </c>
      <c r="D790" s="2" t="inlineStr">
        <is>
          <t>15/06/2026</t>
        </is>
      </c>
      <c r="E790" s="2" t="inlineStr">
        <is>
          <t>PIX</t>
        </is>
      </c>
      <c r="F790" s="2" t="inlineStr">
        <is>
          <t>Boleto "65689" do cliente "DANIEL PROENÇA DE OLIVEIRA"</t>
        </is>
      </c>
      <c r="G790" s="2" t="inlineStr">
        <is>
          <t>system</t>
        </is>
      </c>
      <c r="H790" s="2" t="inlineStr">
        <is>
          <t>01.01.01 : Mensalidade</t>
        </is>
      </c>
      <c r="I790" s="3" t="n">
        <v>104.9</v>
      </c>
      <c r="J790" s="2" t="n"/>
      <c r="K790" s="2">
        <f>IF(H790="02.09 : Outras Saídas", IF(OR(ISNUMBER(SEARCH("CHEQUE COMPE SICREDI", F790)), ISNUMBER(SEARCH("aniversario", F790)), ISNUMBER(SEARCH("churrasco", F790)), ISNUMBER(SEARCH("bolo", F790)), ISNUMBER(SEARCH("SUPERMERCADO", F790))), "6.1 Despesas Administrativas (Pessoal)", IF(OR(ISNUMBER(SEARCH("DLKNET", F790)), ISNUMBER(SEARCH("TESTE", F790))), "6.1 Despesas Administrativas (Gerais)", IFERROR(VLOOKUP(H790, De_Para!A:B, 2, FALSE), "NÃO MAPEADO"))), IFERROR(VLOOKUP(H790, De_Para!A:B, 2, FALSE), "NÃO MAPEADO"))</f>
        <v/>
      </c>
    </row>
    <row r="791">
      <c r="A791" s="2" t="inlineStr">
        <is>
          <t>68896</t>
        </is>
      </c>
      <c r="B791" s="2" t="inlineStr">
        <is>
          <t>Sicredi SNI</t>
        </is>
      </c>
      <c r="C791" s="2" t="inlineStr">
        <is>
          <t>15/06/2026</t>
        </is>
      </c>
      <c r="D791" s="2" t="inlineStr">
        <is>
          <t>15/06/2026</t>
        </is>
      </c>
      <c r="E791" s="2" t="inlineStr">
        <is>
          <t>PIX</t>
        </is>
      </c>
      <c r="F791" s="2" t="inlineStr">
        <is>
          <t>Boleto "53728" do cliente "ZILDA DE FATIMA OGATA DE PAULA"</t>
        </is>
      </c>
      <c r="G791" s="2" t="inlineStr">
        <is>
          <t>system</t>
        </is>
      </c>
      <c r="H791" s="2" t="inlineStr">
        <is>
          <t>02.03.02.01 : Cobrança Bancaria</t>
        </is>
      </c>
      <c r="I791" s="2" t="n"/>
      <c r="J791" s="3" t="n">
        <v>-0.49</v>
      </c>
      <c r="K791" s="2">
        <f>IF(H791="02.09 : Outras Saídas", IF(OR(ISNUMBER(SEARCH("CHEQUE COMPE SICREDI", F791)), ISNUMBER(SEARCH("aniversario", F791)), ISNUMBER(SEARCH("churrasco", F791)), ISNUMBER(SEARCH("bolo", F791)), ISNUMBER(SEARCH("SUPERMERCADO", F791))), "6.1 Despesas Administrativas (Pessoal)", IF(OR(ISNUMBER(SEARCH("DLKNET", F791)), ISNUMBER(SEARCH("TESTE", F791))), "6.1 Despesas Administrativas (Gerais)", IFERROR(VLOOKUP(H791, De_Para!A:B, 2, FALSE), "NÃO MAPEADO"))), IFERROR(VLOOKUP(H791, De_Para!A:B, 2, FALSE), "NÃO MAPEADO"))</f>
        <v/>
      </c>
    </row>
    <row r="792">
      <c r="A792" s="2" t="inlineStr">
        <is>
          <t>68895</t>
        </is>
      </c>
      <c r="B792" s="2" t="inlineStr">
        <is>
          <t>Sicredi SNI</t>
        </is>
      </c>
      <c r="C792" s="2" t="inlineStr">
        <is>
          <t>15/06/2026</t>
        </is>
      </c>
      <c r="D792" s="2" t="inlineStr">
        <is>
          <t>15/06/2026</t>
        </is>
      </c>
      <c r="E792" s="2" t="inlineStr">
        <is>
          <t>PIX</t>
        </is>
      </c>
      <c r="F792" s="2" t="inlineStr">
        <is>
          <t>Boleto "53728" do cliente "ZILDA DE FATIMA OGATA DE PAULA"</t>
        </is>
      </c>
      <c r="G792" s="2" t="inlineStr">
        <is>
          <t>system</t>
        </is>
      </c>
      <c r="H792" s="2" t="inlineStr">
        <is>
          <t>01.01.01 : Mensalidade</t>
        </is>
      </c>
      <c r="I792" s="3" t="n">
        <v>105</v>
      </c>
      <c r="J792" s="2" t="n"/>
      <c r="K792" s="2">
        <f>IF(H792="02.09 : Outras Saídas", IF(OR(ISNUMBER(SEARCH("CHEQUE COMPE SICREDI", F792)), ISNUMBER(SEARCH("aniversario", F792)), ISNUMBER(SEARCH("churrasco", F792)), ISNUMBER(SEARCH("bolo", F792)), ISNUMBER(SEARCH("SUPERMERCADO", F792))), "6.1 Despesas Administrativas (Pessoal)", IF(OR(ISNUMBER(SEARCH("DLKNET", F792)), ISNUMBER(SEARCH("TESTE", F792))), "6.1 Despesas Administrativas (Gerais)", IFERROR(VLOOKUP(H792, De_Para!A:B, 2, FALSE), "NÃO MAPEADO"))), IFERROR(VLOOKUP(H792, De_Para!A:B, 2, FALSE), "NÃO MAPEADO"))</f>
        <v/>
      </c>
    </row>
    <row r="793">
      <c r="A793" s="2" t="inlineStr">
        <is>
          <t>68894</t>
        </is>
      </c>
      <c r="B793" s="2" t="inlineStr">
        <is>
          <t>Sicoob</t>
        </is>
      </c>
      <c r="C793" s="2" t="inlineStr">
        <is>
          <t>15/06/2026</t>
        </is>
      </c>
      <c r="D793" s="2" t="inlineStr">
        <is>
          <t>15/06/2026</t>
        </is>
      </c>
      <c r="E793" s="2" t="inlineStr">
        <is>
          <t>Débito em Conta</t>
        </is>
      </c>
      <c r="F793" s="2" t="inlineStr">
        <is>
          <t>DÉB.CONV.EN.ELÉTRICA E GÁS</t>
        </is>
      </c>
      <c r="G793" s="2" t="inlineStr">
        <is>
          <t>clau</t>
        </is>
      </c>
      <c r="H793" s="2" t="inlineStr">
        <is>
          <t>02.03.02.04 : Energia Eletrica</t>
        </is>
      </c>
      <c r="I793" s="2" t="n"/>
      <c r="J793" s="3" t="n">
        <v>-174.69</v>
      </c>
      <c r="K793" s="2">
        <f>IF(H793="02.09 : Outras Saídas", IF(OR(ISNUMBER(SEARCH("CHEQUE COMPE SICREDI", F793)), ISNUMBER(SEARCH("aniversario", F793)), ISNUMBER(SEARCH("churrasco", F793)), ISNUMBER(SEARCH("bolo", F793)), ISNUMBER(SEARCH("SUPERMERCADO", F793))), "6.1 Despesas Administrativas (Pessoal)", IF(OR(ISNUMBER(SEARCH("DLKNET", F793)), ISNUMBER(SEARCH("TESTE", F793))), "6.1 Despesas Administrativas (Gerais)", IFERROR(VLOOKUP(H793, De_Para!A:B, 2, FALSE), "NÃO MAPEADO"))), IFERROR(VLOOKUP(H793, De_Para!A:B, 2, FALSE), "NÃO MAPEADO"))</f>
        <v/>
      </c>
    </row>
    <row r="794">
      <c r="A794" s="2" t="inlineStr">
        <is>
          <t>68893</t>
        </is>
      </c>
      <c r="B794" s="2" t="inlineStr">
        <is>
          <t>Sicoob</t>
        </is>
      </c>
      <c r="C794" s="2" t="inlineStr">
        <is>
          <t>15/06/2026</t>
        </is>
      </c>
      <c r="D794" s="2" t="inlineStr">
        <is>
          <t>15/06/2026</t>
        </is>
      </c>
      <c r="E794" s="2" t="inlineStr">
        <is>
          <t>Boleto</t>
        </is>
      </c>
      <c r="F794" s="2" t="inlineStr">
        <is>
          <t>DÉB.TIT.COMPE EFETIVADO</t>
        </is>
      </c>
      <c r="G794" s="2" t="inlineStr">
        <is>
          <t>clau</t>
        </is>
      </c>
      <c r="H794" s="2" t="inlineStr">
        <is>
          <t>02.03.02.24 : Custo do Link</t>
        </is>
      </c>
      <c r="I794" s="2" t="n"/>
      <c r="J794" s="3" t="n">
        <v>-5000</v>
      </c>
      <c r="K794" s="2">
        <f>IF(H794="02.09 : Outras Saídas", IF(OR(ISNUMBER(SEARCH("CHEQUE COMPE SICREDI", F794)), ISNUMBER(SEARCH("aniversario", F794)), ISNUMBER(SEARCH("churrasco", F794)), ISNUMBER(SEARCH("bolo", F794)), ISNUMBER(SEARCH("SUPERMERCADO", F794))), "6.1 Despesas Administrativas (Pessoal)", IF(OR(ISNUMBER(SEARCH("DLKNET", F794)), ISNUMBER(SEARCH("TESTE", F794))), "6.1 Despesas Administrativas (Gerais)", IFERROR(VLOOKUP(H794, De_Para!A:B, 2, FALSE), "NÃO MAPEADO"))), IFERROR(VLOOKUP(H794, De_Para!A:B, 2, FALSE), "NÃO MAPEADO"))</f>
        <v/>
      </c>
    </row>
    <row r="795">
      <c r="A795" s="2" t="inlineStr">
        <is>
          <t>68892</t>
        </is>
      </c>
      <c r="B795" s="2" t="inlineStr">
        <is>
          <t>Sicoob</t>
        </is>
      </c>
      <c r="C795" s="2" t="inlineStr">
        <is>
          <t>15/06/2026</t>
        </is>
      </c>
      <c r="D795" s="2" t="inlineStr">
        <is>
          <t>15/06/2026</t>
        </is>
      </c>
      <c r="E795" s="2" t="inlineStr">
        <is>
          <t>Boleto</t>
        </is>
      </c>
      <c r="F795" s="2" t="inlineStr">
        <is>
          <t>DÉB.TIT.COMPE EFETIVADO</t>
        </is>
      </c>
      <c r="G795" s="2" t="inlineStr">
        <is>
          <t>clau</t>
        </is>
      </c>
      <c r="H795" s="2" t="inlineStr">
        <is>
          <t>02.03.02.25 : Acessoria</t>
        </is>
      </c>
      <c r="I795" s="2" t="n"/>
      <c r="J795" s="3" t="n">
        <v>-64.2</v>
      </c>
      <c r="K795" s="2">
        <f>IF(H795="02.09 : Outras Saídas", IF(OR(ISNUMBER(SEARCH("CHEQUE COMPE SICREDI", F795)), ISNUMBER(SEARCH("aniversario", F795)), ISNUMBER(SEARCH("churrasco", F795)), ISNUMBER(SEARCH("bolo", F795)), ISNUMBER(SEARCH("SUPERMERCADO", F795))), "6.1 Despesas Administrativas (Pessoal)", IF(OR(ISNUMBER(SEARCH("DLKNET", F795)), ISNUMBER(SEARCH("TESTE", F795))), "6.1 Despesas Administrativas (Gerais)", IFERROR(VLOOKUP(H795, De_Para!A:B, 2, FALSE), "NÃO MAPEADO"))), IFERROR(VLOOKUP(H795, De_Para!A:B, 2, FALSE), "NÃO MAPEADO"))</f>
        <v/>
      </c>
    </row>
    <row r="796">
      <c r="A796" s="2" t="inlineStr">
        <is>
          <t>68891</t>
        </is>
      </c>
      <c r="B796" s="2" t="inlineStr">
        <is>
          <t>Sicoob</t>
        </is>
      </c>
      <c r="C796" s="2" t="inlineStr">
        <is>
          <t>15/06/2026</t>
        </is>
      </c>
      <c r="D796" s="2" t="inlineStr">
        <is>
          <t>15/06/2026</t>
        </is>
      </c>
      <c r="E796" s="2" t="inlineStr">
        <is>
          <t>PIX</t>
        </is>
      </c>
      <c r="F796" s="2" t="inlineStr">
        <is>
          <t>PIX EMITIDO OUTRA IF_x000D_
Pagamento Pix_x000D_
81.193.336 0001-10_x000D_
PAGAMENTO PARCELAS VENDAS BORDGNON</t>
        </is>
      </c>
      <c r="G796" s="2" t="inlineStr">
        <is>
          <t>clau</t>
        </is>
      </c>
      <c r="H796" s="2" t="inlineStr">
        <is>
          <t>02.03.02.07 : Pro-Labore</t>
        </is>
      </c>
      <c r="I796" s="2" t="n"/>
      <c r="J796" s="3" t="n">
        <v>-4880</v>
      </c>
      <c r="K796" s="2">
        <f>IF(H796="02.09 : Outras Saídas", IF(OR(ISNUMBER(SEARCH("CHEQUE COMPE SICREDI", F796)), ISNUMBER(SEARCH("aniversario", F796)), ISNUMBER(SEARCH("churrasco", F796)), ISNUMBER(SEARCH("bolo", F796)), ISNUMBER(SEARCH("SUPERMERCADO", F796))), "6.1 Despesas Administrativas (Pessoal)", IF(OR(ISNUMBER(SEARCH("DLKNET", F796)), ISNUMBER(SEARCH("TESTE", F796))), "6.1 Despesas Administrativas (Gerais)", IFERROR(VLOOKUP(H796, De_Para!A:B, 2, FALSE), "NÃO MAPEADO"))), IFERROR(VLOOKUP(H796, De_Para!A:B, 2, FALSE), "NÃO MAPEADO"))</f>
        <v/>
      </c>
    </row>
    <row r="797">
      <c r="A797" s="2" t="inlineStr">
        <is>
          <t>68890</t>
        </is>
      </c>
      <c r="B797" s="2" t="inlineStr">
        <is>
          <t>Sicoob</t>
        </is>
      </c>
      <c r="C797" s="2" t="inlineStr">
        <is>
          <t>15/06/2026</t>
        </is>
      </c>
      <c r="D797" s="2" t="inlineStr">
        <is>
          <t>15/06/2026</t>
        </is>
      </c>
      <c r="E797" s="2" t="inlineStr">
        <is>
          <t>PIX</t>
        </is>
      </c>
      <c r="F797" s="2" t="inlineStr">
        <is>
          <t>PIX EMITIDO OUTRA IF_x000D_
Pagamento Pix_x000D_
***.977.569-**_x000D_
Retirada Edison</t>
        </is>
      </c>
      <c r="G797" s="2" t="inlineStr">
        <is>
          <t>clau</t>
        </is>
      </c>
      <c r="H797" s="2" t="inlineStr">
        <is>
          <t>02.03.02.07 : Pro-Labore</t>
        </is>
      </c>
      <c r="I797" s="2" t="n"/>
      <c r="J797" s="3" t="n">
        <v>-5000</v>
      </c>
      <c r="K797" s="2">
        <f>IF(H797="02.09 : Outras Saídas", IF(OR(ISNUMBER(SEARCH("CHEQUE COMPE SICREDI", F797)), ISNUMBER(SEARCH("aniversario", F797)), ISNUMBER(SEARCH("churrasco", F797)), ISNUMBER(SEARCH("bolo", F797)), ISNUMBER(SEARCH("SUPERMERCADO", F797))), "6.1 Despesas Administrativas (Pessoal)", IF(OR(ISNUMBER(SEARCH("DLKNET", F797)), ISNUMBER(SEARCH("TESTE", F797))), "6.1 Despesas Administrativas (Gerais)", IFERROR(VLOOKUP(H797, De_Para!A:B, 2, FALSE), "NÃO MAPEADO"))), IFERROR(VLOOKUP(H797, De_Para!A:B, 2, FALSE), "NÃO MAPEADO"))</f>
        <v/>
      </c>
    </row>
    <row r="798">
      <c r="A798" s="2" t="inlineStr">
        <is>
          <t>68889</t>
        </is>
      </c>
      <c r="B798" s="2" t="inlineStr">
        <is>
          <t>Sicredi SNI</t>
        </is>
      </c>
      <c r="C798" s="2" t="inlineStr">
        <is>
          <t>15/06/2026</t>
        </is>
      </c>
      <c r="D798" s="2" t="inlineStr">
        <is>
          <t>15/06/2026</t>
        </is>
      </c>
      <c r="E798" s="2" t="inlineStr">
        <is>
          <t>PIX</t>
        </is>
      </c>
      <c r="F798" s="2" t="inlineStr">
        <is>
          <t>PAGAMENTO PIX 60846631920 VALDECIR FRANCISCO    FABRICIO</t>
        </is>
      </c>
      <c r="G798" s="2" t="inlineStr">
        <is>
          <t>clau</t>
        </is>
      </c>
      <c r="H798" s="2" t="inlineStr">
        <is>
          <t>02.09 : Outras Saídas</t>
        </is>
      </c>
      <c r="I798" s="2" t="n"/>
      <c r="J798" s="3" t="n">
        <v>-1300</v>
      </c>
      <c r="K798" s="2">
        <f>IF(H798="02.09 : Outras Saídas", IF(OR(ISNUMBER(SEARCH("CHEQUE COMPE SICREDI", F798)), ISNUMBER(SEARCH("aniversario", F798)), ISNUMBER(SEARCH("churrasco", F798)), ISNUMBER(SEARCH("bolo", F798)), ISNUMBER(SEARCH("SUPERMERCADO", F798))), "6.1 Despesas Administrativas (Pessoal)", IF(OR(ISNUMBER(SEARCH("DLKNET", F798)), ISNUMBER(SEARCH("TESTE", F798))), "6.1 Despesas Administrativas (Gerais)", IFERROR(VLOOKUP(H798, De_Para!A:B, 2, FALSE), "NÃO MAPEADO"))), IFERROR(VLOOKUP(H798, De_Para!A:B, 2, FALSE), "NÃO MAPEADO"))</f>
        <v/>
      </c>
    </row>
    <row r="799">
      <c r="A799" s="2" t="inlineStr">
        <is>
          <t>68888</t>
        </is>
      </c>
      <c r="B799" s="2" t="inlineStr">
        <is>
          <t>Sicredi SNI</t>
        </is>
      </c>
      <c r="C799" s="2" t="inlineStr">
        <is>
          <t>15/06/2026</t>
        </is>
      </c>
      <c r="D799" s="2" t="inlineStr">
        <is>
          <t>15/06/2026</t>
        </is>
      </c>
      <c r="E799" s="2" t="inlineStr">
        <is>
          <t>Débito em Conta</t>
        </is>
      </c>
      <c r="F799" s="2" t="inlineStr">
        <is>
          <t>CESTA DE RELACIONAMENTO</t>
        </is>
      </c>
      <c r="G799" s="2" t="inlineStr">
        <is>
          <t>clau</t>
        </is>
      </c>
      <c r="H799" s="2" t="inlineStr">
        <is>
          <t>02.03.03.01 : Tarifas Bancarias</t>
        </is>
      </c>
      <c r="I799" s="2" t="n"/>
      <c r="J799" s="3" t="n">
        <v>-54.14</v>
      </c>
      <c r="K799" s="2">
        <f>IF(H799="02.09 : Outras Saídas", IF(OR(ISNUMBER(SEARCH("CHEQUE COMPE SICREDI", F799)), ISNUMBER(SEARCH("aniversario", F799)), ISNUMBER(SEARCH("churrasco", F799)), ISNUMBER(SEARCH("bolo", F799)), ISNUMBER(SEARCH("SUPERMERCADO", F799))), "6.1 Despesas Administrativas (Pessoal)", IF(OR(ISNUMBER(SEARCH("DLKNET", F799)), ISNUMBER(SEARCH("TESTE", F799))), "6.1 Despesas Administrativas (Gerais)", IFERROR(VLOOKUP(H799, De_Para!A:B, 2, FALSE), "NÃO MAPEADO"))), IFERROR(VLOOKUP(H799, De_Para!A:B, 2, FALSE), "NÃO MAPEADO"))</f>
        <v/>
      </c>
    </row>
    <row r="800">
      <c r="A800" s="2" t="inlineStr">
        <is>
          <t>68887</t>
        </is>
      </c>
      <c r="B800" s="2" t="inlineStr">
        <is>
          <t>Sicredi SNI</t>
        </is>
      </c>
      <c r="C800" s="2" t="inlineStr">
        <is>
          <t>15/06/2026</t>
        </is>
      </c>
      <c r="D800" s="2" t="inlineStr">
        <is>
          <t>15/06/2026</t>
        </is>
      </c>
      <c r="E800" s="2" t="inlineStr">
        <is>
          <t>Dinheiro</t>
        </is>
      </c>
      <c r="F800" s="2" t="inlineStr">
        <is>
          <t>Boleto "69498" do cliente "JORGE ANTONIODE FARIA"</t>
        </is>
      </c>
      <c r="G800" s="2" t="inlineStr">
        <is>
          <t>system</t>
        </is>
      </c>
      <c r="H800" s="2" t="inlineStr">
        <is>
          <t>02.03.02.01 : Cobrança Bancaria</t>
        </is>
      </c>
      <c r="I800" s="2" t="n"/>
      <c r="J800" s="3" t="n">
        <v>-1.08</v>
      </c>
      <c r="K800" s="2">
        <f>IF(H800="02.09 : Outras Saídas", IF(OR(ISNUMBER(SEARCH("CHEQUE COMPE SICREDI", F800)), ISNUMBER(SEARCH("aniversario", F800)), ISNUMBER(SEARCH("churrasco", F800)), ISNUMBER(SEARCH("bolo", F800)), ISNUMBER(SEARCH("SUPERMERCADO", F800))), "6.1 Despesas Administrativas (Pessoal)", IF(OR(ISNUMBER(SEARCH("DLKNET", F800)), ISNUMBER(SEARCH("TESTE", F800))), "6.1 Despesas Administrativas (Gerais)", IFERROR(VLOOKUP(H800, De_Para!A:B, 2, FALSE), "NÃO MAPEADO"))), IFERROR(VLOOKUP(H800, De_Para!A:B, 2, FALSE), "NÃO MAPEADO"))</f>
        <v/>
      </c>
    </row>
    <row r="801">
      <c r="A801" s="2" t="inlineStr">
        <is>
          <t>68886</t>
        </is>
      </c>
      <c r="B801" s="2" t="inlineStr">
        <is>
          <t>Sicredi SNI</t>
        </is>
      </c>
      <c r="C801" s="2" t="inlineStr">
        <is>
          <t>15/06/2026</t>
        </is>
      </c>
      <c r="D801" s="2" t="inlineStr">
        <is>
          <t>15/06/2026</t>
        </is>
      </c>
      <c r="E801" s="2" t="inlineStr">
        <is>
          <t>Dinheiro</t>
        </is>
      </c>
      <c r="F801" s="2" t="inlineStr">
        <is>
          <t>Boleto "69498" do cliente "JORGE ANTONIODE FARIA"</t>
        </is>
      </c>
      <c r="G801" s="2" t="inlineStr">
        <is>
          <t>system</t>
        </is>
      </c>
      <c r="H801" s="2" t="inlineStr">
        <is>
          <t>01.01.01 : Mensalidade</t>
        </is>
      </c>
      <c r="I801" s="3" t="n">
        <v>109.9</v>
      </c>
      <c r="J801" s="2" t="n"/>
      <c r="K801" s="2">
        <f>IF(H801="02.09 : Outras Saídas", IF(OR(ISNUMBER(SEARCH("CHEQUE COMPE SICREDI", F801)), ISNUMBER(SEARCH("aniversario", F801)), ISNUMBER(SEARCH("churrasco", F801)), ISNUMBER(SEARCH("bolo", F801)), ISNUMBER(SEARCH("SUPERMERCADO", F801))), "6.1 Despesas Administrativas (Pessoal)", IF(OR(ISNUMBER(SEARCH("DLKNET", F801)), ISNUMBER(SEARCH("TESTE", F801))), "6.1 Despesas Administrativas (Gerais)", IFERROR(VLOOKUP(H801, De_Para!A:B, 2, FALSE), "NÃO MAPEADO"))), IFERROR(VLOOKUP(H801, De_Para!A:B, 2, FALSE), "NÃO MAPEADO"))</f>
        <v/>
      </c>
    </row>
    <row r="802">
      <c r="A802" s="2" t="inlineStr">
        <is>
          <t>68885</t>
        </is>
      </c>
      <c r="B802" s="2" t="inlineStr">
        <is>
          <t>Sicredi SNI</t>
        </is>
      </c>
      <c r="C802" s="2" t="inlineStr">
        <is>
          <t>15/06/2026</t>
        </is>
      </c>
      <c r="D802" s="2" t="inlineStr">
        <is>
          <t>15/06/2026</t>
        </is>
      </c>
      <c r="E802" s="2" t="inlineStr">
        <is>
          <t>Dinheiro</t>
        </is>
      </c>
      <c r="F802" s="2" t="inlineStr">
        <is>
          <t>Boleto "63301" do cliente "VANDERLEI GRANDO"</t>
        </is>
      </c>
      <c r="G802" s="2" t="inlineStr">
        <is>
          <t>system</t>
        </is>
      </c>
      <c r="H802" s="2" t="inlineStr">
        <is>
          <t>02.03.02.01 : Cobrança Bancaria</t>
        </is>
      </c>
      <c r="I802" s="2" t="n"/>
      <c r="J802" s="3" t="n">
        <v>-1.08</v>
      </c>
      <c r="K802" s="2">
        <f>IF(H802="02.09 : Outras Saídas", IF(OR(ISNUMBER(SEARCH("CHEQUE COMPE SICREDI", F802)), ISNUMBER(SEARCH("aniversario", F802)), ISNUMBER(SEARCH("churrasco", F802)), ISNUMBER(SEARCH("bolo", F802)), ISNUMBER(SEARCH("SUPERMERCADO", F802))), "6.1 Despesas Administrativas (Pessoal)", IF(OR(ISNUMBER(SEARCH("DLKNET", F802)), ISNUMBER(SEARCH("TESTE", F802))), "6.1 Despesas Administrativas (Gerais)", IFERROR(VLOOKUP(H802, De_Para!A:B, 2, FALSE), "NÃO MAPEADO"))), IFERROR(VLOOKUP(H802, De_Para!A:B, 2, FALSE), "NÃO MAPEADO"))</f>
        <v/>
      </c>
    </row>
    <row r="803">
      <c r="A803" s="2" t="inlineStr">
        <is>
          <t>68884</t>
        </is>
      </c>
      <c r="B803" s="2" t="inlineStr">
        <is>
          <t>Sicredi SNI</t>
        </is>
      </c>
      <c r="C803" s="2" t="inlineStr">
        <is>
          <t>15/06/2026</t>
        </is>
      </c>
      <c r="D803" s="2" t="inlineStr">
        <is>
          <t>15/06/2026</t>
        </is>
      </c>
      <c r="E803" s="2" t="inlineStr">
        <is>
          <t>Dinheiro</t>
        </is>
      </c>
      <c r="F803" s="2" t="inlineStr">
        <is>
          <t>Boleto "63301" do cliente "VANDERLEI GRANDO"</t>
        </is>
      </c>
      <c r="G803" s="2" t="inlineStr">
        <is>
          <t>system</t>
        </is>
      </c>
      <c r="H803" s="2" t="inlineStr">
        <is>
          <t>01.01.01 : Mensalidade</t>
        </is>
      </c>
      <c r="I803" s="3" t="n">
        <v>104.9</v>
      </c>
      <c r="J803" s="2" t="n"/>
      <c r="K803" s="2">
        <f>IF(H803="02.09 : Outras Saídas", IF(OR(ISNUMBER(SEARCH("CHEQUE COMPE SICREDI", F803)), ISNUMBER(SEARCH("aniversario", F803)), ISNUMBER(SEARCH("churrasco", F803)), ISNUMBER(SEARCH("bolo", F803)), ISNUMBER(SEARCH("SUPERMERCADO", F803))), "6.1 Despesas Administrativas (Pessoal)", IF(OR(ISNUMBER(SEARCH("DLKNET", F803)), ISNUMBER(SEARCH("TESTE", F803))), "6.1 Despesas Administrativas (Gerais)", IFERROR(VLOOKUP(H803, De_Para!A:B, 2, FALSE), "NÃO MAPEADO"))), IFERROR(VLOOKUP(H803, De_Para!A:B, 2, FALSE), "NÃO MAPEADO"))</f>
        <v/>
      </c>
    </row>
    <row r="804">
      <c r="A804" s="2" t="inlineStr">
        <is>
          <t>68883</t>
        </is>
      </c>
      <c r="B804" s="2" t="inlineStr">
        <is>
          <t>Sicoob</t>
        </is>
      </c>
      <c r="C804" s="2" t="inlineStr">
        <is>
          <t>15/06/2026</t>
        </is>
      </c>
      <c r="D804" s="2" t="inlineStr">
        <is>
          <t>15/06/2026</t>
        </is>
      </c>
      <c r="E804" s="2" t="inlineStr">
        <is>
          <t>Dinheiro</t>
        </is>
      </c>
      <c r="F804" s="2" t="inlineStr">
        <is>
          <t>Boleto "60164" do cliente "NEUSA FATIMA DA SILVA"</t>
        </is>
      </c>
      <c r="G804" s="2" t="inlineStr">
        <is>
          <t>system</t>
        </is>
      </c>
      <c r="H804" s="2" t="inlineStr">
        <is>
          <t>02.03.02.01 : Cobrança Bancaria</t>
        </is>
      </c>
      <c r="I804" s="2" t="n"/>
      <c r="J804" s="3" t="n">
        <v>-0.88</v>
      </c>
      <c r="K804" s="2">
        <f>IF(H804="02.09 : Outras Saídas", IF(OR(ISNUMBER(SEARCH("CHEQUE COMPE SICREDI", F804)), ISNUMBER(SEARCH("aniversario", F804)), ISNUMBER(SEARCH("churrasco", F804)), ISNUMBER(SEARCH("bolo", F804)), ISNUMBER(SEARCH("SUPERMERCADO", F804))), "6.1 Despesas Administrativas (Pessoal)", IF(OR(ISNUMBER(SEARCH("DLKNET", F804)), ISNUMBER(SEARCH("TESTE", F804))), "6.1 Despesas Administrativas (Gerais)", IFERROR(VLOOKUP(H804, De_Para!A:B, 2, FALSE), "NÃO MAPEADO"))), IFERROR(VLOOKUP(H804, De_Para!A:B, 2, FALSE), "NÃO MAPEADO"))</f>
        <v/>
      </c>
    </row>
    <row r="805">
      <c r="A805" s="2" t="inlineStr">
        <is>
          <t>68882</t>
        </is>
      </c>
      <c r="B805" s="2" t="inlineStr">
        <is>
          <t>Sicoob</t>
        </is>
      </c>
      <c r="C805" s="2" t="inlineStr">
        <is>
          <t>15/06/2026</t>
        </is>
      </c>
      <c r="D805" s="2" t="inlineStr">
        <is>
          <t>15/06/2026</t>
        </is>
      </c>
      <c r="E805" s="2" t="inlineStr">
        <is>
          <t>Dinheiro</t>
        </is>
      </c>
      <c r="F805" s="2" t="inlineStr">
        <is>
          <t>Boleto "60164" do cliente "NEUSA FATIMA DA SILVA"</t>
        </is>
      </c>
      <c r="G805" s="2" t="inlineStr">
        <is>
          <t>system</t>
        </is>
      </c>
      <c r="H805" s="2" t="inlineStr">
        <is>
          <t>01.01.01 : Mensalidade</t>
        </is>
      </c>
      <c r="I805" s="3" t="n">
        <v>105</v>
      </c>
      <c r="J805" s="2" t="n"/>
      <c r="K805" s="2">
        <f>IF(H805="02.09 : Outras Saídas", IF(OR(ISNUMBER(SEARCH("CHEQUE COMPE SICREDI", F805)), ISNUMBER(SEARCH("aniversario", F805)), ISNUMBER(SEARCH("churrasco", F805)), ISNUMBER(SEARCH("bolo", F805)), ISNUMBER(SEARCH("SUPERMERCADO", F805))), "6.1 Despesas Administrativas (Pessoal)", IF(OR(ISNUMBER(SEARCH("DLKNET", F805)), ISNUMBER(SEARCH("TESTE", F805))), "6.1 Despesas Administrativas (Gerais)", IFERROR(VLOOKUP(H805, De_Para!A:B, 2, FALSE), "NÃO MAPEADO"))), IFERROR(VLOOKUP(H805, De_Para!A:B, 2, FALSE), "NÃO MAPEADO"))</f>
        <v/>
      </c>
    </row>
    <row r="806">
      <c r="A806" s="2" t="inlineStr">
        <is>
          <t>68881</t>
        </is>
      </c>
      <c r="B806" s="2" t="inlineStr">
        <is>
          <t>Sicoob</t>
        </is>
      </c>
      <c r="C806" s="2" t="inlineStr">
        <is>
          <t>15/06/2026</t>
        </is>
      </c>
      <c r="D806" s="2" t="inlineStr">
        <is>
          <t>15/06/2026</t>
        </is>
      </c>
      <c r="E806" s="2" t="inlineStr">
        <is>
          <t>Dinheiro</t>
        </is>
      </c>
      <c r="F806" s="2" t="inlineStr">
        <is>
          <t>Boleto "58464" do cliente "AMANDA KAROLINE SANTOS DE PAULA"</t>
        </is>
      </c>
      <c r="G806" s="2" t="inlineStr">
        <is>
          <t>system</t>
        </is>
      </c>
      <c r="H806" s="2" t="inlineStr">
        <is>
          <t>02.03.02.01 : Cobrança Bancaria</t>
        </is>
      </c>
      <c r="I806" s="2" t="n"/>
      <c r="J806" s="3" t="n">
        <v>-0.88</v>
      </c>
      <c r="K806" s="2">
        <f>IF(H806="02.09 : Outras Saídas", IF(OR(ISNUMBER(SEARCH("CHEQUE COMPE SICREDI", F806)), ISNUMBER(SEARCH("aniversario", F806)), ISNUMBER(SEARCH("churrasco", F806)), ISNUMBER(SEARCH("bolo", F806)), ISNUMBER(SEARCH("SUPERMERCADO", F806))), "6.1 Despesas Administrativas (Pessoal)", IF(OR(ISNUMBER(SEARCH("DLKNET", F806)), ISNUMBER(SEARCH("TESTE", F806))), "6.1 Despesas Administrativas (Gerais)", IFERROR(VLOOKUP(H806, De_Para!A:B, 2, FALSE), "NÃO MAPEADO"))), IFERROR(VLOOKUP(H806, De_Para!A:B, 2, FALSE), "NÃO MAPEADO"))</f>
        <v/>
      </c>
    </row>
    <row r="807">
      <c r="A807" s="2" t="inlineStr">
        <is>
          <t>68880</t>
        </is>
      </c>
      <c r="B807" s="2" t="inlineStr">
        <is>
          <t>Sicoob</t>
        </is>
      </c>
      <c r="C807" s="2" t="inlineStr">
        <is>
          <t>15/06/2026</t>
        </is>
      </c>
      <c r="D807" s="2" t="inlineStr">
        <is>
          <t>15/06/2026</t>
        </is>
      </c>
      <c r="E807" s="2" t="inlineStr">
        <is>
          <t>Dinheiro</t>
        </is>
      </c>
      <c r="F807" s="2" t="inlineStr">
        <is>
          <t>Boleto "58464" do cliente "AMANDA KAROLINE SANTOS DE PAULA"</t>
        </is>
      </c>
      <c r="G807" s="2" t="inlineStr">
        <is>
          <t>system</t>
        </is>
      </c>
      <c r="H807" s="2" t="inlineStr">
        <is>
          <t>01.01.01 : Mensalidade</t>
        </is>
      </c>
      <c r="I807" s="3" t="n">
        <v>105</v>
      </c>
      <c r="J807" s="2" t="n"/>
      <c r="K807" s="2">
        <f>IF(H807="02.09 : Outras Saídas", IF(OR(ISNUMBER(SEARCH("CHEQUE COMPE SICREDI", F807)), ISNUMBER(SEARCH("aniversario", F807)), ISNUMBER(SEARCH("churrasco", F807)), ISNUMBER(SEARCH("bolo", F807)), ISNUMBER(SEARCH("SUPERMERCADO", F807))), "6.1 Despesas Administrativas (Pessoal)", IF(OR(ISNUMBER(SEARCH("DLKNET", F807)), ISNUMBER(SEARCH("TESTE", F807))), "6.1 Despesas Administrativas (Gerais)", IFERROR(VLOOKUP(H807, De_Para!A:B, 2, FALSE), "NÃO MAPEADO"))), IFERROR(VLOOKUP(H807, De_Para!A:B, 2, FALSE), "NÃO MAPEADO"))</f>
        <v/>
      </c>
    </row>
    <row r="808">
      <c r="A808" s="2" t="inlineStr">
        <is>
          <t>68879</t>
        </is>
      </c>
      <c r="B808" s="2" t="inlineStr">
        <is>
          <t>Sicoob</t>
        </is>
      </c>
      <c r="C808" s="2" t="inlineStr">
        <is>
          <t>15/06/2026</t>
        </is>
      </c>
      <c r="D808" s="2" t="inlineStr">
        <is>
          <t>15/06/2026</t>
        </is>
      </c>
      <c r="E808" s="2" t="inlineStr">
        <is>
          <t>Dinheiro</t>
        </is>
      </c>
      <c r="F808" s="2" t="inlineStr">
        <is>
          <t>Boleto "58059" do cliente "DARIO MORENO PIGUE"</t>
        </is>
      </c>
      <c r="G808" s="2" t="inlineStr">
        <is>
          <t>system</t>
        </is>
      </c>
      <c r="H808" s="2" t="inlineStr">
        <is>
          <t>02.03.02.01 : Cobrança Bancaria</t>
        </is>
      </c>
      <c r="I808" s="2" t="n"/>
      <c r="J808" s="3" t="n">
        <v>-0.88</v>
      </c>
      <c r="K808" s="2">
        <f>IF(H808="02.09 : Outras Saídas", IF(OR(ISNUMBER(SEARCH("CHEQUE COMPE SICREDI", F808)), ISNUMBER(SEARCH("aniversario", F808)), ISNUMBER(SEARCH("churrasco", F808)), ISNUMBER(SEARCH("bolo", F808)), ISNUMBER(SEARCH("SUPERMERCADO", F808))), "6.1 Despesas Administrativas (Pessoal)", IF(OR(ISNUMBER(SEARCH("DLKNET", F808)), ISNUMBER(SEARCH("TESTE", F808))), "6.1 Despesas Administrativas (Gerais)", IFERROR(VLOOKUP(H808, De_Para!A:B, 2, FALSE), "NÃO MAPEADO"))), IFERROR(VLOOKUP(H808, De_Para!A:B, 2, FALSE), "NÃO MAPEADO"))</f>
        <v/>
      </c>
    </row>
    <row r="809">
      <c r="A809" s="2" t="inlineStr">
        <is>
          <t>68878</t>
        </is>
      </c>
      <c r="B809" s="2" t="inlineStr">
        <is>
          <t>Sicoob</t>
        </is>
      </c>
      <c r="C809" s="2" t="inlineStr">
        <is>
          <t>15/06/2026</t>
        </is>
      </c>
      <c r="D809" s="2" t="inlineStr">
        <is>
          <t>15/06/2026</t>
        </is>
      </c>
      <c r="E809" s="2" t="inlineStr">
        <is>
          <t>Dinheiro</t>
        </is>
      </c>
      <c r="F809" s="2" t="inlineStr">
        <is>
          <t>Boleto "58059" do cliente "DARIO MORENO PIGUE"</t>
        </is>
      </c>
      <c r="G809" s="2" t="inlineStr">
        <is>
          <t>system</t>
        </is>
      </c>
      <c r="H809" s="2" t="inlineStr">
        <is>
          <t>01.01.01 : Mensalidade</t>
        </is>
      </c>
      <c r="I809" s="3" t="n">
        <v>100</v>
      </c>
      <c r="J809" s="2" t="n"/>
      <c r="K809" s="2">
        <f>IF(H809="02.09 : Outras Saídas", IF(OR(ISNUMBER(SEARCH("CHEQUE COMPE SICREDI", F809)), ISNUMBER(SEARCH("aniversario", F809)), ISNUMBER(SEARCH("churrasco", F809)), ISNUMBER(SEARCH("bolo", F809)), ISNUMBER(SEARCH("SUPERMERCADO", F809))), "6.1 Despesas Administrativas (Pessoal)", IF(OR(ISNUMBER(SEARCH("DLKNET", F809)), ISNUMBER(SEARCH("TESTE", F809))), "6.1 Despesas Administrativas (Gerais)", IFERROR(VLOOKUP(H809, De_Para!A:B, 2, FALSE), "NÃO MAPEADO"))), IFERROR(VLOOKUP(H809, De_Para!A:B, 2, FALSE), "NÃO MAPEADO"))</f>
        <v/>
      </c>
    </row>
    <row r="810">
      <c r="A810" s="2" t="inlineStr">
        <is>
          <t>68877</t>
        </is>
      </c>
      <c r="B810" s="2" t="inlineStr">
        <is>
          <t>Sicoob</t>
        </is>
      </c>
      <c r="C810" s="2" t="inlineStr">
        <is>
          <t>15/06/2026</t>
        </is>
      </c>
      <c r="D810" s="2" t="inlineStr">
        <is>
          <t>15/06/2026</t>
        </is>
      </c>
      <c r="E810" s="2" t="inlineStr">
        <is>
          <t>Dinheiro</t>
        </is>
      </c>
      <c r="F810" s="2" t="inlineStr">
        <is>
          <t>Boleto "66039" do cliente "DAVID ANTUNES BARBOSA"</t>
        </is>
      </c>
      <c r="G810" s="2" t="inlineStr">
        <is>
          <t>system</t>
        </is>
      </c>
      <c r="H810" s="2" t="inlineStr">
        <is>
          <t>02.03.02.01 : Cobrança Bancaria</t>
        </is>
      </c>
      <c r="I810" s="2" t="n"/>
      <c r="J810" s="3" t="n">
        <v>-0.88</v>
      </c>
      <c r="K810" s="2">
        <f>IF(H810="02.09 : Outras Saídas", IF(OR(ISNUMBER(SEARCH("CHEQUE COMPE SICREDI", F810)), ISNUMBER(SEARCH("aniversario", F810)), ISNUMBER(SEARCH("churrasco", F810)), ISNUMBER(SEARCH("bolo", F810)), ISNUMBER(SEARCH("SUPERMERCADO", F810))), "6.1 Despesas Administrativas (Pessoal)", IF(OR(ISNUMBER(SEARCH("DLKNET", F810)), ISNUMBER(SEARCH("TESTE", F810))), "6.1 Despesas Administrativas (Gerais)", IFERROR(VLOOKUP(H810, De_Para!A:B, 2, FALSE), "NÃO MAPEADO"))), IFERROR(VLOOKUP(H810, De_Para!A:B, 2, FALSE), "NÃO MAPEADO"))</f>
        <v/>
      </c>
    </row>
    <row r="811">
      <c r="A811" s="2" t="inlineStr">
        <is>
          <t>68876</t>
        </is>
      </c>
      <c r="B811" s="2" t="inlineStr">
        <is>
          <t>Sicoob</t>
        </is>
      </c>
      <c r="C811" s="2" t="inlineStr">
        <is>
          <t>15/06/2026</t>
        </is>
      </c>
      <c r="D811" s="2" t="inlineStr">
        <is>
          <t>15/06/2026</t>
        </is>
      </c>
      <c r="E811" s="2" t="inlineStr">
        <is>
          <t>Dinheiro</t>
        </is>
      </c>
      <c r="F811" s="2" t="inlineStr">
        <is>
          <t>Boleto "66039" do cliente "DAVID ANTUNES BARBOSA"</t>
        </is>
      </c>
      <c r="G811" s="2" t="inlineStr">
        <is>
          <t>system</t>
        </is>
      </c>
      <c r="H811" s="2" t="inlineStr">
        <is>
          <t>01.01.01 : Mensalidade</t>
        </is>
      </c>
      <c r="I811" s="3" t="n">
        <v>99.90000000000001</v>
      </c>
      <c r="J811" s="2" t="n"/>
      <c r="K811" s="2">
        <f>IF(H811="02.09 : Outras Saídas", IF(OR(ISNUMBER(SEARCH("CHEQUE COMPE SICREDI", F811)), ISNUMBER(SEARCH("aniversario", F811)), ISNUMBER(SEARCH("churrasco", F811)), ISNUMBER(SEARCH("bolo", F811)), ISNUMBER(SEARCH("SUPERMERCADO", F811))), "6.1 Despesas Administrativas (Pessoal)", IF(OR(ISNUMBER(SEARCH("DLKNET", F811)), ISNUMBER(SEARCH("TESTE", F811))), "6.1 Despesas Administrativas (Gerais)", IFERROR(VLOOKUP(H811, De_Para!A:B, 2, FALSE), "NÃO MAPEADO"))), IFERROR(VLOOKUP(H811, De_Para!A:B, 2, FALSE), "NÃO MAPEADO"))</f>
        <v/>
      </c>
    </row>
    <row r="812">
      <c r="A812" s="2" t="inlineStr">
        <is>
          <t>68875</t>
        </is>
      </c>
      <c r="B812" s="2" t="inlineStr">
        <is>
          <t>Sicredi SNI</t>
        </is>
      </c>
      <c r="C812" s="2" t="inlineStr">
        <is>
          <t>15/06/2026</t>
        </is>
      </c>
      <c r="D812" s="2" t="inlineStr">
        <is>
          <t>15/06/2026</t>
        </is>
      </c>
      <c r="E812" s="2" t="inlineStr">
        <is>
          <t>PIX</t>
        </is>
      </c>
      <c r="F812" s="2" t="inlineStr">
        <is>
          <t>Boleto "64266" do cliente "OVIDIO JOSE DA SILVA NETO"</t>
        </is>
      </c>
      <c r="G812" s="2" t="inlineStr">
        <is>
          <t>system</t>
        </is>
      </c>
      <c r="H812" s="2" t="inlineStr">
        <is>
          <t>02.03.02.01 : Cobrança Bancaria</t>
        </is>
      </c>
      <c r="I812" s="2" t="n"/>
      <c r="J812" s="3" t="n">
        <v>-0.49</v>
      </c>
      <c r="K812" s="2">
        <f>IF(H812="02.09 : Outras Saídas", IF(OR(ISNUMBER(SEARCH("CHEQUE COMPE SICREDI", F812)), ISNUMBER(SEARCH("aniversario", F812)), ISNUMBER(SEARCH("churrasco", F812)), ISNUMBER(SEARCH("bolo", F812)), ISNUMBER(SEARCH("SUPERMERCADO", F812))), "6.1 Despesas Administrativas (Pessoal)", IF(OR(ISNUMBER(SEARCH("DLKNET", F812)), ISNUMBER(SEARCH("TESTE", F812))), "6.1 Despesas Administrativas (Gerais)", IFERROR(VLOOKUP(H812, De_Para!A:B, 2, FALSE), "NÃO MAPEADO"))), IFERROR(VLOOKUP(H812, De_Para!A:B, 2, FALSE), "NÃO MAPEADO"))</f>
        <v/>
      </c>
    </row>
    <row r="813">
      <c r="A813" s="2" t="inlineStr">
        <is>
          <t>68874</t>
        </is>
      </c>
      <c r="B813" s="2" t="inlineStr">
        <is>
          <t>Sicredi SNI</t>
        </is>
      </c>
      <c r="C813" s="2" t="inlineStr">
        <is>
          <t>15/06/2026</t>
        </is>
      </c>
      <c r="D813" s="2" t="inlineStr">
        <is>
          <t>15/06/2026</t>
        </is>
      </c>
      <c r="E813" s="2" t="inlineStr">
        <is>
          <t>PIX</t>
        </is>
      </c>
      <c r="F813" s="2" t="inlineStr">
        <is>
          <t>Boleto "64266" do cliente "OVIDIO JOSE DA SILVA NETO"</t>
        </is>
      </c>
      <c r="G813" s="2" t="inlineStr">
        <is>
          <t>system</t>
        </is>
      </c>
      <c r="H813" s="2" t="inlineStr">
        <is>
          <t>01.01.01 : Mensalidade</t>
        </is>
      </c>
      <c r="I813" s="3" t="n">
        <v>109.9</v>
      </c>
      <c r="J813" s="2" t="n"/>
      <c r="K813" s="2">
        <f>IF(H813="02.09 : Outras Saídas", IF(OR(ISNUMBER(SEARCH("CHEQUE COMPE SICREDI", F813)), ISNUMBER(SEARCH("aniversario", F813)), ISNUMBER(SEARCH("churrasco", F813)), ISNUMBER(SEARCH("bolo", F813)), ISNUMBER(SEARCH("SUPERMERCADO", F813))), "6.1 Despesas Administrativas (Pessoal)", IF(OR(ISNUMBER(SEARCH("DLKNET", F813)), ISNUMBER(SEARCH("TESTE", F813))), "6.1 Despesas Administrativas (Gerais)", IFERROR(VLOOKUP(H813, De_Para!A:B, 2, FALSE), "NÃO MAPEADO"))), IFERROR(VLOOKUP(H813, De_Para!A:B, 2, FALSE), "NÃO MAPEADO"))</f>
        <v/>
      </c>
    </row>
    <row r="814">
      <c r="A814" s="2" t="inlineStr">
        <is>
          <t>68873</t>
        </is>
      </c>
      <c r="B814" s="2" t="inlineStr">
        <is>
          <t>Sicredi SNI</t>
        </is>
      </c>
      <c r="C814" s="2" t="inlineStr">
        <is>
          <t>15/06/2026</t>
        </is>
      </c>
      <c r="D814" s="2" t="inlineStr">
        <is>
          <t>15/06/2026</t>
        </is>
      </c>
      <c r="E814" s="2" t="inlineStr">
        <is>
          <t>PIX</t>
        </is>
      </c>
      <c r="F814" s="2" t="inlineStr">
        <is>
          <t>Boleto "67410" do cliente "GIVANILDO RODRIGUES DA SILVA"</t>
        </is>
      </c>
      <c r="G814" s="2" t="inlineStr">
        <is>
          <t>system</t>
        </is>
      </c>
      <c r="H814" s="2" t="inlineStr">
        <is>
          <t>02.03.02.01 : Cobrança Bancaria</t>
        </is>
      </c>
      <c r="I814" s="2" t="n"/>
      <c r="J814" s="3" t="n">
        <v>-0.49</v>
      </c>
      <c r="K814" s="2">
        <f>IF(H814="02.09 : Outras Saídas", IF(OR(ISNUMBER(SEARCH("CHEQUE COMPE SICREDI", F814)), ISNUMBER(SEARCH("aniversario", F814)), ISNUMBER(SEARCH("churrasco", F814)), ISNUMBER(SEARCH("bolo", F814)), ISNUMBER(SEARCH("SUPERMERCADO", F814))), "6.1 Despesas Administrativas (Pessoal)", IF(OR(ISNUMBER(SEARCH("DLKNET", F814)), ISNUMBER(SEARCH("TESTE", F814))), "6.1 Despesas Administrativas (Gerais)", IFERROR(VLOOKUP(H814, De_Para!A:B, 2, FALSE), "NÃO MAPEADO"))), IFERROR(VLOOKUP(H814, De_Para!A:B, 2, FALSE), "NÃO MAPEADO"))</f>
        <v/>
      </c>
    </row>
    <row r="815">
      <c r="A815" s="2" t="inlineStr">
        <is>
          <t>68872</t>
        </is>
      </c>
      <c r="B815" s="2" t="inlineStr">
        <is>
          <t>Sicredi SNI</t>
        </is>
      </c>
      <c r="C815" s="2" t="inlineStr">
        <is>
          <t>15/06/2026</t>
        </is>
      </c>
      <c r="D815" s="2" t="inlineStr">
        <is>
          <t>15/06/2026</t>
        </is>
      </c>
      <c r="E815" s="2" t="inlineStr">
        <is>
          <t>PIX</t>
        </is>
      </c>
      <c r="F815" s="2" t="inlineStr">
        <is>
          <t>Boleto "67410" do cliente "GIVANILDO RODRIGUES DA SILVA"</t>
        </is>
      </c>
      <c r="G815" s="2" t="inlineStr">
        <is>
          <t>system</t>
        </is>
      </c>
      <c r="H815" s="2" t="inlineStr">
        <is>
          <t>01.01.01 : Mensalidade</t>
        </is>
      </c>
      <c r="I815" s="3" t="n">
        <v>112.28</v>
      </c>
      <c r="J815" s="2" t="n"/>
      <c r="K815" s="2">
        <f>IF(H815="02.09 : Outras Saídas", IF(OR(ISNUMBER(SEARCH("CHEQUE COMPE SICREDI", F815)), ISNUMBER(SEARCH("aniversario", F815)), ISNUMBER(SEARCH("churrasco", F815)), ISNUMBER(SEARCH("bolo", F815)), ISNUMBER(SEARCH("SUPERMERCADO", F815))), "6.1 Despesas Administrativas (Pessoal)", IF(OR(ISNUMBER(SEARCH("DLKNET", F815)), ISNUMBER(SEARCH("TESTE", F815))), "6.1 Despesas Administrativas (Gerais)", IFERROR(VLOOKUP(H815, De_Para!A:B, 2, FALSE), "NÃO MAPEADO"))), IFERROR(VLOOKUP(H815, De_Para!A:B, 2, FALSE), "NÃO MAPEADO"))</f>
        <v/>
      </c>
    </row>
    <row r="816">
      <c r="A816" s="2" t="inlineStr">
        <is>
          <t>68871</t>
        </is>
      </c>
      <c r="B816" s="2" t="inlineStr">
        <is>
          <t>Sicredi SNI</t>
        </is>
      </c>
      <c r="C816" s="2" t="inlineStr">
        <is>
          <t>15/06/2026</t>
        </is>
      </c>
      <c r="D816" s="2" t="inlineStr">
        <is>
          <t>15/06/2026</t>
        </is>
      </c>
      <c r="E816" s="2" t="inlineStr">
        <is>
          <t>PIX</t>
        </is>
      </c>
      <c r="F816" s="2" t="inlineStr">
        <is>
          <t>Boleto "69041" do cliente "GIVANILDO RODRIGUES DA SILVA"</t>
        </is>
      </c>
      <c r="G816" s="2" t="inlineStr">
        <is>
          <t>system</t>
        </is>
      </c>
      <c r="H816" s="2" t="inlineStr">
        <is>
          <t>02.03.02.01 : Cobrança Bancaria</t>
        </is>
      </c>
      <c r="I816" s="2" t="n"/>
      <c r="J816" s="3" t="n">
        <v>-0.49</v>
      </c>
      <c r="K816" s="2">
        <f>IF(H816="02.09 : Outras Saídas", IF(OR(ISNUMBER(SEARCH("CHEQUE COMPE SICREDI", F816)), ISNUMBER(SEARCH("aniversario", F816)), ISNUMBER(SEARCH("churrasco", F816)), ISNUMBER(SEARCH("bolo", F816)), ISNUMBER(SEARCH("SUPERMERCADO", F816))), "6.1 Despesas Administrativas (Pessoal)", IF(OR(ISNUMBER(SEARCH("DLKNET", F816)), ISNUMBER(SEARCH("TESTE", F816))), "6.1 Despesas Administrativas (Gerais)", IFERROR(VLOOKUP(H816, De_Para!A:B, 2, FALSE), "NÃO MAPEADO"))), IFERROR(VLOOKUP(H816, De_Para!A:B, 2, FALSE), "NÃO MAPEADO"))</f>
        <v/>
      </c>
    </row>
    <row r="817">
      <c r="A817" s="2" t="inlineStr">
        <is>
          <t>68870</t>
        </is>
      </c>
      <c r="B817" s="2" t="inlineStr">
        <is>
          <t>Sicredi SNI</t>
        </is>
      </c>
      <c r="C817" s="2" t="inlineStr">
        <is>
          <t>15/06/2026</t>
        </is>
      </c>
      <c r="D817" s="2" t="inlineStr">
        <is>
          <t>15/06/2026</t>
        </is>
      </c>
      <c r="E817" s="2" t="inlineStr">
        <is>
          <t>PIX</t>
        </is>
      </c>
      <c r="F817" s="2" t="inlineStr">
        <is>
          <t>Boleto "69041" do cliente "GIVANILDO RODRIGUES DA SILVA"</t>
        </is>
      </c>
      <c r="G817" s="2" t="inlineStr">
        <is>
          <t>system</t>
        </is>
      </c>
      <c r="H817" s="2" t="inlineStr">
        <is>
          <t>01.60.01 : Serviço de reparo e manutenção</t>
        </is>
      </c>
      <c r="I817" s="3" t="n">
        <v>102.17</v>
      </c>
      <c r="J817" s="2" t="n"/>
      <c r="K817" s="2">
        <f>IF(H817="02.09 : Outras Saídas", IF(OR(ISNUMBER(SEARCH("CHEQUE COMPE SICREDI", F817)), ISNUMBER(SEARCH("aniversario", F817)), ISNUMBER(SEARCH("churrasco", F817)), ISNUMBER(SEARCH("bolo", F817)), ISNUMBER(SEARCH("SUPERMERCADO", F817))), "6.1 Despesas Administrativas (Pessoal)", IF(OR(ISNUMBER(SEARCH("DLKNET", F817)), ISNUMBER(SEARCH("TESTE", F817))), "6.1 Despesas Administrativas (Gerais)", IFERROR(VLOOKUP(H817, De_Para!A:B, 2, FALSE), "NÃO MAPEADO"))), IFERROR(VLOOKUP(H817, De_Para!A:B, 2, FALSE), "NÃO MAPEADO"))</f>
        <v/>
      </c>
    </row>
    <row r="818">
      <c r="A818" s="2" t="inlineStr">
        <is>
          <t>68869</t>
        </is>
      </c>
      <c r="B818" s="2" t="inlineStr">
        <is>
          <t>Sicredi SNI</t>
        </is>
      </c>
      <c r="C818" s="2" t="inlineStr">
        <is>
          <t>15/06/2026</t>
        </is>
      </c>
      <c r="D818" s="2" t="inlineStr">
        <is>
          <t>15/06/2026</t>
        </is>
      </c>
      <c r="E818" s="2" t="inlineStr">
        <is>
          <t>PIX</t>
        </is>
      </c>
      <c r="F818" s="2" t="inlineStr">
        <is>
          <t>Boleto "59171" do cliente "SANTO GRANDO"</t>
        </is>
      </c>
      <c r="G818" s="2" t="inlineStr">
        <is>
          <t>system</t>
        </is>
      </c>
      <c r="H818" s="2" t="inlineStr">
        <is>
          <t>02.03.02.01 : Cobrança Bancaria</t>
        </is>
      </c>
      <c r="I818" s="2" t="n"/>
      <c r="J818" s="3" t="n">
        <v>-0.49</v>
      </c>
      <c r="K818" s="2">
        <f>IF(H818="02.09 : Outras Saídas", IF(OR(ISNUMBER(SEARCH("CHEQUE COMPE SICREDI", F818)), ISNUMBER(SEARCH("aniversario", F818)), ISNUMBER(SEARCH("churrasco", F818)), ISNUMBER(SEARCH("bolo", F818)), ISNUMBER(SEARCH("SUPERMERCADO", F818))), "6.1 Despesas Administrativas (Pessoal)", IF(OR(ISNUMBER(SEARCH("DLKNET", F818)), ISNUMBER(SEARCH("TESTE", F818))), "6.1 Despesas Administrativas (Gerais)", IFERROR(VLOOKUP(H818, De_Para!A:B, 2, FALSE), "NÃO MAPEADO"))), IFERROR(VLOOKUP(H818, De_Para!A:B, 2, FALSE), "NÃO MAPEADO"))</f>
        <v/>
      </c>
    </row>
    <row r="819">
      <c r="A819" s="2" t="inlineStr">
        <is>
          <t>68868</t>
        </is>
      </c>
      <c r="B819" s="2" t="inlineStr">
        <is>
          <t>Sicredi SNI</t>
        </is>
      </c>
      <c r="C819" s="2" t="inlineStr">
        <is>
          <t>15/06/2026</t>
        </is>
      </c>
      <c r="D819" s="2" t="inlineStr">
        <is>
          <t>15/06/2026</t>
        </is>
      </c>
      <c r="E819" s="2" t="inlineStr">
        <is>
          <t>PIX</t>
        </is>
      </c>
      <c r="F819" s="2" t="inlineStr">
        <is>
          <t>Boleto "59171" do cliente "SANTO GRANDO"</t>
        </is>
      </c>
      <c r="G819" s="2" t="inlineStr">
        <is>
          <t>system</t>
        </is>
      </c>
      <c r="H819" s="2" t="inlineStr">
        <is>
          <t>01.01.01 : Mensalidade</t>
        </is>
      </c>
      <c r="I819" s="3" t="n">
        <v>107.27</v>
      </c>
      <c r="J819" s="2" t="n"/>
      <c r="K819" s="2">
        <f>IF(H819="02.09 : Outras Saídas", IF(OR(ISNUMBER(SEARCH("CHEQUE COMPE SICREDI", F819)), ISNUMBER(SEARCH("aniversario", F819)), ISNUMBER(SEARCH("churrasco", F819)), ISNUMBER(SEARCH("bolo", F819)), ISNUMBER(SEARCH("SUPERMERCADO", F819))), "6.1 Despesas Administrativas (Pessoal)", IF(OR(ISNUMBER(SEARCH("DLKNET", F819)), ISNUMBER(SEARCH("TESTE", F819))), "6.1 Despesas Administrativas (Gerais)", IFERROR(VLOOKUP(H819, De_Para!A:B, 2, FALSE), "NÃO MAPEADO"))), IFERROR(VLOOKUP(H819, De_Para!A:B, 2, FALSE), "NÃO MAPEADO"))</f>
        <v/>
      </c>
    </row>
    <row r="820">
      <c r="A820" s="2" t="inlineStr">
        <is>
          <t>68867</t>
        </is>
      </c>
      <c r="B820" s="2" t="inlineStr">
        <is>
          <t>Sicoob</t>
        </is>
      </c>
      <c r="C820" s="2" t="inlineStr">
        <is>
          <t>15/06/2026</t>
        </is>
      </c>
      <c r="D820" s="2" t="inlineStr">
        <is>
          <t>15/06/2026</t>
        </is>
      </c>
      <c r="E820" s="2" t="inlineStr">
        <is>
          <t>Dinheiro</t>
        </is>
      </c>
      <c r="F820" s="2" t="inlineStr">
        <is>
          <t>Boleto "58420" do cliente "LEONEL LOPES DE ALMEIDA"</t>
        </is>
      </c>
      <c r="G820" s="2" t="inlineStr">
        <is>
          <t>system</t>
        </is>
      </c>
      <c r="H820" s="2" t="inlineStr">
        <is>
          <t>02.03.02.01 : Cobrança Bancaria</t>
        </is>
      </c>
      <c r="I820" s="2" t="n"/>
      <c r="J820" s="3" t="n">
        <v>-0.88</v>
      </c>
      <c r="K820" s="2">
        <f>IF(H820="02.09 : Outras Saídas", IF(OR(ISNUMBER(SEARCH("CHEQUE COMPE SICREDI", F820)), ISNUMBER(SEARCH("aniversario", F820)), ISNUMBER(SEARCH("churrasco", F820)), ISNUMBER(SEARCH("bolo", F820)), ISNUMBER(SEARCH("SUPERMERCADO", F820))), "6.1 Despesas Administrativas (Pessoal)", IF(OR(ISNUMBER(SEARCH("DLKNET", F820)), ISNUMBER(SEARCH("TESTE", F820))), "6.1 Despesas Administrativas (Gerais)", IFERROR(VLOOKUP(H820, De_Para!A:B, 2, FALSE), "NÃO MAPEADO"))), IFERROR(VLOOKUP(H820, De_Para!A:B, 2, FALSE), "NÃO MAPEADO"))</f>
        <v/>
      </c>
    </row>
    <row r="821">
      <c r="A821" s="2" t="inlineStr">
        <is>
          <t>68866</t>
        </is>
      </c>
      <c r="B821" s="2" t="inlineStr">
        <is>
          <t>Sicoob</t>
        </is>
      </c>
      <c r="C821" s="2" t="inlineStr">
        <is>
          <t>15/06/2026</t>
        </is>
      </c>
      <c r="D821" s="2" t="inlineStr">
        <is>
          <t>15/06/2026</t>
        </is>
      </c>
      <c r="E821" s="2" t="inlineStr">
        <is>
          <t>Dinheiro</t>
        </is>
      </c>
      <c r="F821" s="2" t="inlineStr">
        <is>
          <t>Boleto "58420" do cliente "LEONEL LOPES DE ALMEIDA"</t>
        </is>
      </c>
      <c r="G821" s="2" t="inlineStr">
        <is>
          <t>system</t>
        </is>
      </c>
      <c r="H821" s="2" t="inlineStr">
        <is>
          <t>01.01.01 : Mensalidade</t>
        </is>
      </c>
      <c r="I821" s="3" t="n">
        <v>105</v>
      </c>
      <c r="J821" s="2" t="n"/>
      <c r="K821" s="2">
        <f>IF(H821="02.09 : Outras Saídas", IF(OR(ISNUMBER(SEARCH("CHEQUE COMPE SICREDI", F821)), ISNUMBER(SEARCH("aniversario", F821)), ISNUMBER(SEARCH("churrasco", F821)), ISNUMBER(SEARCH("bolo", F821)), ISNUMBER(SEARCH("SUPERMERCADO", F821))), "6.1 Despesas Administrativas (Pessoal)", IF(OR(ISNUMBER(SEARCH("DLKNET", F821)), ISNUMBER(SEARCH("TESTE", F821))), "6.1 Despesas Administrativas (Gerais)", IFERROR(VLOOKUP(H821, De_Para!A:B, 2, FALSE), "NÃO MAPEADO"))), IFERROR(VLOOKUP(H821, De_Para!A:B, 2, FALSE), "NÃO MAPEADO"))</f>
        <v/>
      </c>
    </row>
    <row r="822">
      <c r="A822" s="2" t="inlineStr">
        <is>
          <t>68865</t>
        </is>
      </c>
      <c r="B822" s="2" t="inlineStr">
        <is>
          <t>Sicoob</t>
        </is>
      </c>
      <c r="C822" s="2" t="inlineStr">
        <is>
          <t>15/06/2026</t>
        </is>
      </c>
      <c r="D822" s="2" t="inlineStr">
        <is>
          <t>15/06/2026</t>
        </is>
      </c>
      <c r="E822" s="2" t="inlineStr">
        <is>
          <t>Dinheiro</t>
        </is>
      </c>
      <c r="F822" s="2" t="inlineStr">
        <is>
          <t>Boleto "56305" do cliente "ALISSON CRUZ CATARINO"</t>
        </is>
      </c>
      <c r="G822" s="2" t="inlineStr">
        <is>
          <t>system</t>
        </is>
      </c>
      <c r="H822" s="2" t="inlineStr">
        <is>
          <t>02.03.02.01 : Cobrança Bancaria</t>
        </is>
      </c>
      <c r="I822" s="2" t="n"/>
      <c r="J822" s="3" t="n">
        <v>-0.88</v>
      </c>
      <c r="K822" s="2">
        <f>IF(H822="02.09 : Outras Saídas", IF(OR(ISNUMBER(SEARCH("CHEQUE COMPE SICREDI", F822)), ISNUMBER(SEARCH("aniversario", F822)), ISNUMBER(SEARCH("churrasco", F822)), ISNUMBER(SEARCH("bolo", F822)), ISNUMBER(SEARCH("SUPERMERCADO", F822))), "6.1 Despesas Administrativas (Pessoal)", IF(OR(ISNUMBER(SEARCH("DLKNET", F822)), ISNUMBER(SEARCH("TESTE", F822))), "6.1 Despesas Administrativas (Gerais)", IFERROR(VLOOKUP(H822, De_Para!A:B, 2, FALSE), "NÃO MAPEADO"))), IFERROR(VLOOKUP(H822, De_Para!A:B, 2, FALSE), "NÃO MAPEADO"))</f>
        <v/>
      </c>
    </row>
    <row r="823">
      <c r="A823" s="2" t="inlineStr">
        <is>
          <t>68864</t>
        </is>
      </c>
      <c r="B823" s="2" t="inlineStr">
        <is>
          <t>Sicoob</t>
        </is>
      </c>
      <c r="C823" s="2" t="inlineStr">
        <is>
          <t>15/06/2026</t>
        </is>
      </c>
      <c r="D823" s="2" t="inlineStr">
        <is>
          <t>15/06/2026</t>
        </is>
      </c>
      <c r="E823" s="2" t="inlineStr">
        <is>
          <t>Dinheiro</t>
        </is>
      </c>
      <c r="F823" s="2" t="inlineStr">
        <is>
          <t>Boleto "56305" do cliente "ALISSON CRUZ CATARINO"</t>
        </is>
      </c>
      <c r="G823" s="2" t="inlineStr">
        <is>
          <t>system</t>
        </is>
      </c>
      <c r="H823" s="2" t="inlineStr">
        <is>
          <t>01.01.01 : Mensalidade</t>
        </is>
      </c>
      <c r="I823" s="3" t="n">
        <v>102.16</v>
      </c>
      <c r="J823" s="2" t="n"/>
      <c r="K823" s="2">
        <f>IF(H823="02.09 : Outras Saídas", IF(OR(ISNUMBER(SEARCH("CHEQUE COMPE SICREDI", F823)), ISNUMBER(SEARCH("aniversario", F823)), ISNUMBER(SEARCH("churrasco", F823)), ISNUMBER(SEARCH("bolo", F823)), ISNUMBER(SEARCH("SUPERMERCADO", F823))), "6.1 Despesas Administrativas (Pessoal)", IF(OR(ISNUMBER(SEARCH("DLKNET", F823)), ISNUMBER(SEARCH("TESTE", F823))), "6.1 Despesas Administrativas (Gerais)", IFERROR(VLOOKUP(H823, De_Para!A:B, 2, FALSE), "NÃO MAPEADO"))), IFERROR(VLOOKUP(H823, De_Para!A:B, 2, FALSE), "NÃO MAPEADO"))</f>
        <v/>
      </c>
    </row>
    <row r="824">
      <c r="A824" s="2" t="inlineStr">
        <is>
          <t>68863</t>
        </is>
      </c>
      <c r="B824" s="2" t="inlineStr">
        <is>
          <t>Sicoob</t>
        </is>
      </c>
      <c r="C824" s="2" t="inlineStr">
        <is>
          <t>15/06/2026</t>
        </is>
      </c>
      <c r="D824" s="2" t="inlineStr">
        <is>
          <t>15/06/2026</t>
        </is>
      </c>
      <c r="E824" s="2" t="inlineStr">
        <is>
          <t>Dinheiro</t>
        </is>
      </c>
      <c r="F824" s="2" t="inlineStr">
        <is>
          <t>Boleto "54139" do cliente "ROSILDA INOCENCIA DA SILVA"</t>
        </is>
      </c>
      <c r="G824" s="2" t="inlineStr">
        <is>
          <t>system</t>
        </is>
      </c>
      <c r="H824" s="2" t="inlineStr">
        <is>
          <t>02.03.02.01 : Cobrança Bancaria</t>
        </is>
      </c>
      <c r="I824" s="2" t="n"/>
      <c r="J824" s="3" t="n">
        <v>-0.88</v>
      </c>
      <c r="K824" s="2">
        <f>IF(H824="02.09 : Outras Saídas", IF(OR(ISNUMBER(SEARCH("CHEQUE COMPE SICREDI", F824)), ISNUMBER(SEARCH("aniversario", F824)), ISNUMBER(SEARCH("churrasco", F824)), ISNUMBER(SEARCH("bolo", F824)), ISNUMBER(SEARCH("SUPERMERCADO", F824))), "6.1 Despesas Administrativas (Pessoal)", IF(OR(ISNUMBER(SEARCH("DLKNET", F824)), ISNUMBER(SEARCH("TESTE", F824))), "6.1 Despesas Administrativas (Gerais)", IFERROR(VLOOKUP(H824, De_Para!A:B, 2, FALSE), "NÃO MAPEADO"))), IFERROR(VLOOKUP(H824, De_Para!A:B, 2, FALSE), "NÃO MAPEADO"))</f>
        <v/>
      </c>
    </row>
    <row r="825">
      <c r="A825" s="2" t="inlineStr">
        <is>
          <t>68862</t>
        </is>
      </c>
      <c r="B825" s="2" t="inlineStr">
        <is>
          <t>Sicoob</t>
        </is>
      </c>
      <c r="C825" s="2" t="inlineStr">
        <is>
          <t>15/06/2026</t>
        </is>
      </c>
      <c r="D825" s="2" t="inlineStr">
        <is>
          <t>15/06/2026</t>
        </is>
      </c>
      <c r="E825" s="2" t="inlineStr">
        <is>
          <t>Dinheiro</t>
        </is>
      </c>
      <c r="F825" s="2" t="inlineStr">
        <is>
          <t>Boleto "54139" do cliente "ROSILDA INOCENCIA DA SILVA"</t>
        </is>
      </c>
      <c r="G825" s="2" t="inlineStr">
        <is>
          <t>system</t>
        </is>
      </c>
      <c r="H825" s="2" t="inlineStr">
        <is>
          <t>01.01.01 : Mensalidade</t>
        </is>
      </c>
      <c r="I825" s="3" t="n">
        <v>105</v>
      </c>
      <c r="J825" s="2" t="n"/>
      <c r="K825" s="2">
        <f>IF(H825="02.09 : Outras Saídas", IF(OR(ISNUMBER(SEARCH("CHEQUE COMPE SICREDI", F825)), ISNUMBER(SEARCH("aniversario", F825)), ISNUMBER(SEARCH("churrasco", F825)), ISNUMBER(SEARCH("bolo", F825)), ISNUMBER(SEARCH("SUPERMERCADO", F825))), "6.1 Despesas Administrativas (Pessoal)", IF(OR(ISNUMBER(SEARCH("DLKNET", F825)), ISNUMBER(SEARCH("TESTE", F825))), "6.1 Despesas Administrativas (Gerais)", IFERROR(VLOOKUP(H825, De_Para!A:B, 2, FALSE), "NÃO MAPEADO"))), IFERROR(VLOOKUP(H825, De_Para!A:B, 2, FALSE), "NÃO MAPEADO"))</f>
        <v/>
      </c>
    </row>
    <row r="826">
      <c r="A826" s="2" t="inlineStr">
        <is>
          <t>68861</t>
        </is>
      </c>
      <c r="B826" s="2" t="inlineStr">
        <is>
          <t>Sicoob</t>
        </is>
      </c>
      <c r="C826" s="2" t="inlineStr">
        <is>
          <t>15/06/2026</t>
        </is>
      </c>
      <c r="D826" s="2" t="inlineStr">
        <is>
          <t>15/06/2026</t>
        </is>
      </c>
      <c r="E826" s="2" t="inlineStr">
        <is>
          <t>Dinheiro</t>
        </is>
      </c>
      <c r="F826" s="2" t="inlineStr">
        <is>
          <t>Boleto "64154" do cliente "JACIR PEDRO DA SILVA"</t>
        </is>
      </c>
      <c r="G826" s="2" t="inlineStr">
        <is>
          <t>system</t>
        </is>
      </c>
      <c r="H826" s="2" t="inlineStr">
        <is>
          <t>02.03.02.01 : Cobrança Bancaria</t>
        </is>
      </c>
      <c r="I826" s="2" t="n"/>
      <c r="J826" s="3" t="n">
        <v>-0.88</v>
      </c>
      <c r="K826" s="2">
        <f>IF(H826="02.09 : Outras Saídas", IF(OR(ISNUMBER(SEARCH("CHEQUE COMPE SICREDI", F826)), ISNUMBER(SEARCH("aniversario", F826)), ISNUMBER(SEARCH("churrasco", F826)), ISNUMBER(SEARCH("bolo", F826)), ISNUMBER(SEARCH("SUPERMERCADO", F826))), "6.1 Despesas Administrativas (Pessoal)", IF(OR(ISNUMBER(SEARCH("DLKNET", F826)), ISNUMBER(SEARCH("TESTE", F826))), "6.1 Despesas Administrativas (Gerais)", IFERROR(VLOOKUP(H826, De_Para!A:B, 2, FALSE), "NÃO MAPEADO"))), IFERROR(VLOOKUP(H826, De_Para!A:B, 2, FALSE), "NÃO MAPEADO"))</f>
        <v/>
      </c>
    </row>
    <row r="827">
      <c r="A827" s="2" t="inlineStr">
        <is>
          <t>68860</t>
        </is>
      </c>
      <c r="B827" s="2" t="inlineStr">
        <is>
          <t>Sicoob</t>
        </is>
      </c>
      <c r="C827" s="2" t="inlineStr">
        <is>
          <t>15/06/2026</t>
        </is>
      </c>
      <c r="D827" s="2" t="inlineStr">
        <is>
          <t>15/06/2026</t>
        </is>
      </c>
      <c r="E827" s="2" t="inlineStr">
        <is>
          <t>Dinheiro</t>
        </is>
      </c>
      <c r="F827" s="2" t="inlineStr">
        <is>
          <t>Boleto "64154" do cliente "JACIR PEDRO DA SILVA"</t>
        </is>
      </c>
      <c r="G827" s="2" t="inlineStr">
        <is>
          <t>system</t>
        </is>
      </c>
      <c r="H827" s="2" t="inlineStr">
        <is>
          <t>01.01.01 : Mensalidade</t>
        </is>
      </c>
      <c r="I827" s="3" t="n">
        <v>107.16</v>
      </c>
      <c r="J827" s="2" t="n"/>
      <c r="K827" s="2">
        <f>IF(H827="02.09 : Outras Saídas", IF(OR(ISNUMBER(SEARCH("CHEQUE COMPE SICREDI", F827)), ISNUMBER(SEARCH("aniversario", F827)), ISNUMBER(SEARCH("churrasco", F827)), ISNUMBER(SEARCH("bolo", F827)), ISNUMBER(SEARCH("SUPERMERCADO", F827))), "6.1 Despesas Administrativas (Pessoal)", IF(OR(ISNUMBER(SEARCH("DLKNET", F827)), ISNUMBER(SEARCH("TESTE", F827))), "6.1 Despesas Administrativas (Gerais)", IFERROR(VLOOKUP(H827, De_Para!A:B, 2, FALSE), "NÃO MAPEADO"))), IFERROR(VLOOKUP(H827, De_Para!A:B, 2, FALSE), "NÃO MAPEADO"))</f>
        <v/>
      </c>
    </row>
    <row r="828">
      <c r="A828" s="2" t="inlineStr">
        <is>
          <t>68859</t>
        </is>
      </c>
      <c r="B828" s="2" t="inlineStr">
        <is>
          <t>Sicoob</t>
        </is>
      </c>
      <c r="C828" s="2" t="inlineStr">
        <is>
          <t>15/06/2026</t>
        </is>
      </c>
      <c r="D828" s="2" t="inlineStr">
        <is>
          <t>15/06/2026</t>
        </is>
      </c>
      <c r="E828" s="2" t="inlineStr">
        <is>
          <t>Dinheiro</t>
        </is>
      </c>
      <c r="F828" s="2" t="inlineStr">
        <is>
          <t>Boleto "58903" do cliente "MARCO ANTÔNIO DA COSTA"</t>
        </is>
      </c>
      <c r="G828" s="2" t="inlineStr">
        <is>
          <t>system</t>
        </is>
      </c>
      <c r="H828" s="2" t="inlineStr">
        <is>
          <t>02.03.02.01 : Cobrança Bancaria</t>
        </is>
      </c>
      <c r="I828" s="2" t="n"/>
      <c r="J828" s="3" t="n">
        <v>-0.88</v>
      </c>
      <c r="K828" s="2">
        <f>IF(H828="02.09 : Outras Saídas", IF(OR(ISNUMBER(SEARCH("CHEQUE COMPE SICREDI", F828)), ISNUMBER(SEARCH("aniversario", F828)), ISNUMBER(SEARCH("churrasco", F828)), ISNUMBER(SEARCH("bolo", F828)), ISNUMBER(SEARCH("SUPERMERCADO", F828))), "6.1 Despesas Administrativas (Pessoal)", IF(OR(ISNUMBER(SEARCH("DLKNET", F828)), ISNUMBER(SEARCH("TESTE", F828))), "6.1 Despesas Administrativas (Gerais)", IFERROR(VLOOKUP(H828, De_Para!A:B, 2, FALSE), "NÃO MAPEADO"))), IFERROR(VLOOKUP(H828, De_Para!A:B, 2, FALSE), "NÃO MAPEADO"))</f>
        <v/>
      </c>
    </row>
    <row r="829">
      <c r="A829" s="2" t="inlineStr">
        <is>
          <t>68858</t>
        </is>
      </c>
      <c r="B829" s="2" t="inlineStr">
        <is>
          <t>Sicoob</t>
        </is>
      </c>
      <c r="C829" s="2" t="inlineStr">
        <is>
          <t>15/06/2026</t>
        </is>
      </c>
      <c r="D829" s="2" t="inlineStr">
        <is>
          <t>15/06/2026</t>
        </is>
      </c>
      <c r="E829" s="2" t="inlineStr">
        <is>
          <t>Dinheiro</t>
        </is>
      </c>
      <c r="F829" s="2" t="inlineStr">
        <is>
          <t>Boleto "58903" do cliente "MARCO ANTÔNIO DA COSTA"</t>
        </is>
      </c>
      <c r="G829" s="2" t="inlineStr">
        <is>
          <t>system</t>
        </is>
      </c>
      <c r="H829" s="2" t="inlineStr">
        <is>
          <t>01.01.01 : Mensalidade</t>
        </is>
      </c>
      <c r="I829" s="3" t="n">
        <v>107.27</v>
      </c>
      <c r="J829" s="2" t="n"/>
      <c r="K829" s="2">
        <f>IF(H829="02.09 : Outras Saídas", IF(OR(ISNUMBER(SEARCH("CHEQUE COMPE SICREDI", F829)), ISNUMBER(SEARCH("aniversario", F829)), ISNUMBER(SEARCH("churrasco", F829)), ISNUMBER(SEARCH("bolo", F829)), ISNUMBER(SEARCH("SUPERMERCADO", F829))), "6.1 Despesas Administrativas (Pessoal)", IF(OR(ISNUMBER(SEARCH("DLKNET", F829)), ISNUMBER(SEARCH("TESTE", F829))), "6.1 Despesas Administrativas (Gerais)", IFERROR(VLOOKUP(H829, De_Para!A:B, 2, FALSE), "NÃO MAPEADO"))), IFERROR(VLOOKUP(H829, De_Para!A:B, 2, FALSE), "NÃO MAPEADO"))</f>
        <v/>
      </c>
    </row>
    <row r="830">
      <c r="A830" s="2" t="inlineStr">
        <is>
          <t>68857</t>
        </is>
      </c>
      <c r="B830" s="2" t="inlineStr">
        <is>
          <t>Sicredi SNI</t>
        </is>
      </c>
      <c r="C830" s="2" t="inlineStr">
        <is>
          <t>15/06/2026</t>
        </is>
      </c>
      <c r="D830" s="2" t="inlineStr">
        <is>
          <t>15/06/2026</t>
        </is>
      </c>
      <c r="E830" s="2" t="inlineStr">
        <is>
          <t>PIX</t>
        </is>
      </c>
      <c r="F830" s="2" t="inlineStr">
        <is>
          <t>Boleto "63106" do cliente "MARIA APARECIDA BRANCO DE PROENCA"</t>
        </is>
      </c>
      <c r="G830" s="2" t="inlineStr">
        <is>
          <t>system</t>
        </is>
      </c>
      <c r="H830" s="2" t="inlineStr">
        <is>
          <t>02.03.02.01 : Cobrança Bancaria</t>
        </is>
      </c>
      <c r="I830" s="2" t="n"/>
      <c r="J830" s="3" t="n">
        <v>-0.49</v>
      </c>
      <c r="K830" s="2">
        <f>IF(H830="02.09 : Outras Saídas", IF(OR(ISNUMBER(SEARCH("CHEQUE COMPE SICREDI", F830)), ISNUMBER(SEARCH("aniversario", F830)), ISNUMBER(SEARCH("churrasco", F830)), ISNUMBER(SEARCH("bolo", F830)), ISNUMBER(SEARCH("SUPERMERCADO", F830))), "6.1 Despesas Administrativas (Pessoal)", IF(OR(ISNUMBER(SEARCH("DLKNET", F830)), ISNUMBER(SEARCH("TESTE", F830))), "6.1 Despesas Administrativas (Gerais)", IFERROR(VLOOKUP(H830, De_Para!A:B, 2, FALSE), "NÃO MAPEADO"))), IFERROR(VLOOKUP(H830, De_Para!A:B, 2, FALSE), "NÃO MAPEADO"))</f>
        <v/>
      </c>
    </row>
    <row r="831">
      <c r="A831" s="2" t="inlineStr">
        <is>
          <t>68856</t>
        </is>
      </c>
      <c r="B831" s="2" t="inlineStr">
        <is>
          <t>Sicredi SNI</t>
        </is>
      </c>
      <c r="C831" s="2" t="inlineStr">
        <is>
          <t>15/06/2026</t>
        </is>
      </c>
      <c r="D831" s="2" t="inlineStr">
        <is>
          <t>15/06/2026</t>
        </is>
      </c>
      <c r="E831" s="2" t="inlineStr">
        <is>
          <t>PIX</t>
        </is>
      </c>
      <c r="F831" s="2" t="inlineStr">
        <is>
          <t>Boleto "63106" do cliente "MARIA APARECIDA BRANCO DE PROENCA"</t>
        </is>
      </c>
      <c r="G831" s="2" t="inlineStr">
        <is>
          <t>system</t>
        </is>
      </c>
      <c r="H831" s="2" t="inlineStr">
        <is>
          <t>01.01.01 : Mensalidade</t>
        </is>
      </c>
      <c r="I831" s="3" t="n">
        <v>99.90000000000001</v>
      </c>
      <c r="J831" s="2" t="n"/>
      <c r="K831" s="2">
        <f>IF(H831="02.09 : Outras Saídas", IF(OR(ISNUMBER(SEARCH("CHEQUE COMPE SICREDI", F831)), ISNUMBER(SEARCH("aniversario", F831)), ISNUMBER(SEARCH("churrasco", F831)), ISNUMBER(SEARCH("bolo", F831)), ISNUMBER(SEARCH("SUPERMERCADO", F831))), "6.1 Despesas Administrativas (Pessoal)", IF(OR(ISNUMBER(SEARCH("DLKNET", F831)), ISNUMBER(SEARCH("TESTE", F831))), "6.1 Despesas Administrativas (Gerais)", IFERROR(VLOOKUP(H831, De_Para!A:B, 2, FALSE), "NÃO MAPEADO"))), IFERROR(VLOOKUP(H831, De_Para!A:B, 2, FALSE), "NÃO MAPEADO"))</f>
        <v/>
      </c>
    </row>
    <row r="832">
      <c r="A832" s="2" t="inlineStr">
        <is>
          <t>68855</t>
        </is>
      </c>
      <c r="B832" s="2" t="inlineStr">
        <is>
          <t>Sicredi SNI</t>
        </is>
      </c>
      <c r="C832" s="2" t="inlineStr">
        <is>
          <t>15/06/2026</t>
        </is>
      </c>
      <c r="D832" s="2" t="inlineStr">
        <is>
          <t>15/06/2026</t>
        </is>
      </c>
      <c r="E832" s="2" t="inlineStr">
        <is>
          <t>PIX</t>
        </is>
      </c>
      <c r="F832" s="2" t="inlineStr">
        <is>
          <t>Boleto "56668" do cliente "CARLOS EDUARDO OVCAR GOMES"</t>
        </is>
      </c>
      <c r="G832" s="2" t="inlineStr">
        <is>
          <t>system</t>
        </is>
      </c>
      <c r="H832" s="2" t="inlineStr">
        <is>
          <t>02.03.02.01 : Cobrança Bancaria</t>
        </is>
      </c>
      <c r="I832" s="2" t="n"/>
      <c r="J832" s="3" t="n">
        <v>-0.49</v>
      </c>
      <c r="K832" s="2">
        <f>IF(H832="02.09 : Outras Saídas", IF(OR(ISNUMBER(SEARCH("CHEQUE COMPE SICREDI", F832)), ISNUMBER(SEARCH("aniversario", F832)), ISNUMBER(SEARCH("churrasco", F832)), ISNUMBER(SEARCH("bolo", F832)), ISNUMBER(SEARCH("SUPERMERCADO", F832))), "6.1 Despesas Administrativas (Pessoal)", IF(OR(ISNUMBER(SEARCH("DLKNET", F832)), ISNUMBER(SEARCH("TESTE", F832))), "6.1 Despesas Administrativas (Gerais)", IFERROR(VLOOKUP(H832, De_Para!A:B, 2, FALSE), "NÃO MAPEADO"))), IFERROR(VLOOKUP(H832, De_Para!A:B, 2, FALSE), "NÃO MAPEADO"))</f>
        <v/>
      </c>
    </row>
    <row r="833">
      <c r="A833" s="2" t="inlineStr">
        <is>
          <t>68854</t>
        </is>
      </c>
      <c r="B833" s="2" t="inlineStr">
        <is>
          <t>Sicredi SNI</t>
        </is>
      </c>
      <c r="C833" s="2" t="inlineStr">
        <is>
          <t>15/06/2026</t>
        </is>
      </c>
      <c r="D833" s="2" t="inlineStr">
        <is>
          <t>15/06/2026</t>
        </is>
      </c>
      <c r="E833" s="2" t="inlineStr">
        <is>
          <t>PIX</t>
        </is>
      </c>
      <c r="F833" s="2" t="inlineStr">
        <is>
          <t>Boleto "56668" do cliente "CARLOS EDUARDO OVCAR GOMES"</t>
        </is>
      </c>
      <c r="G833" s="2" t="inlineStr">
        <is>
          <t>system</t>
        </is>
      </c>
      <c r="H833" s="2" t="inlineStr">
        <is>
          <t>01.01.01 : Mensalidade</t>
        </is>
      </c>
      <c r="I833" s="3" t="n">
        <v>107.45</v>
      </c>
      <c r="J833" s="2" t="n"/>
      <c r="K833" s="2">
        <f>IF(H833="02.09 : Outras Saídas", IF(OR(ISNUMBER(SEARCH("CHEQUE COMPE SICREDI", F833)), ISNUMBER(SEARCH("aniversario", F833)), ISNUMBER(SEARCH("churrasco", F833)), ISNUMBER(SEARCH("bolo", F833)), ISNUMBER(SEARCH("SUPERMERCADO", F833))), "6.1 Despesas Administrativas (Pessoal)", IF(OR(ISNUMBER(SEARCH("DLKNET", F833)), ISNUMBER(SEARCH("TESTE", F833))), "6.1 Despesas Administrativas (Gerais)", IFERROR(VLOOKUP(H833, De_Para!A:B, 2, FALSE), "NÃO MAPEADO"))), IFERROR(VLOOKUP(H833, De_Para!A:B, 2, FALSE), "NÃO MAPEADO"))</f>
        <v/>
      </c>
    </row>
    <row r="834">
      <c r="A834" s="2" t="inlineStr">
        <is>
          <t>68853</t>
        </is>
      </c>
      <c r="B834" s="2" t="inlineStr">
        <is>
          <t>Sicredi SNI</t>
        </is>
      </c>
      <c r="C834" s="2" t="inlineStr">
        <is>
          <t>15/06/2026</t>
        </is>
      </c>
      <c r="D834" s="2" t="inlineStr">
        <is>
          <t>12/06/2026</t>
        </is>
      </c>
      <c r="E834" s="2" t="inlineStr">
        <is>
          <t>Boleto</t>
        </is>
      </c>
      <c r="F834" s="2" t="inlineStr">
        <is>
          <t>LIQUIDACAO BOLETO SICREDI 22250335000109 DDTEC DEDETIZAÇÃO BEER GARDEN</t>
        </is>
      </c>
      <c r="G834" s="2" t="inlineStr">
        <is>
          <t>clau</t>
        </is>
      </c>
      <c r="H834" s="2" t="inlineStr">
        <is>
          <t>02.03.02.07 : Pro-Labore</t>
        </is>
      </c>
      <c r="I834" s="2" t="n"/>
      <c r="J834" s="3" t="n">
        <v>-300</v>
      </c>
      <c r="K834" s="2">
        <f>IF(H834="02.09 : Outras Saídas", IF(OR(ISNUMBER(SEARCH("CHEQUE COMPE SICREDI", F834)), ISNUMBER(SEARCH("aniversario", F834)), ISNUMBER(SEARCH("churrasco", F834)), ISNUMBER(SEARCH("bolo", F834)), ISNUMBER(SEARCH("SUPERMERCADO", F834))), "6.1 Despesas Administrativas (Pessoal)", IF(OR(ISNUMBER(SEARCH("DLKNET", F834)), ISNUMBER(SEARCH("TESTE", F834))), "6.1 Despesas Administrativas (Gerais)", IFERROR(VLOOKUP(H834, De_Para!A:B, 2, FALSE), "NÃO MAPEADO"))), IFERROR(VLOOKUP(H834, De_Para!A:B, 2, FALSE), "NÃO MAPEADO"))</f>
        <v/>
      </c>
    </row>
    <row r="835">
      <c r="A835" s="2" t="inlineStr">
        <is>
          <t>68852</t>
        </is>
      </c>
      <c r="B835" s="2" t="inlineStr">
        <is>
          <t>Sicredi SNI</t>
        </is>
      </c>
      <c r="C835" s="2" t="inlineStr">
        <is>
          <t>15/06/2026</t>
        </is>
      </c>
      <c r="D835" s="2" t="inlineStr">
        <is>
          <t>15/06/2026</t>
        </is>
      </c>
      <c r="E835" s="2" t="inlineStr">
        <is>
          <t>Dinheiro</t>
        </is>
      </c>
      <c r="F835" s="2" t="inlineStr">
        <is>
          <t>Boleto "60941" do cliente "MARIA DA GRAÇA LOPES DE OLIVEIRA"</t>
        </is>
      </c>
      <c r="G835" s="2" t="inlineStr">
        <is>
          <t>system</t>
        </is>
      </c>
      <c r="H835" s="2" t="inlineStr">
        <is>
          <t>02.03.02.01 : Cobrança Bancaria</t>
        </is>
      </c>
      <c r="I835" s="2" t="n"/>
      <c r="J835" s="3" t="n">
        <v>-1.08</v>
      </c>
      <c r="K835" s="2">
        <f>IF(H835="02.09 : Outras Saídas", IF(OR(ISNUMBER(SEARCH("CHEQUE COMPE SICREDI", F835)), ISNUMBER(SEARCH("aniversario", F835)), ISNUMBER(SEARCH("churrasco", F835)), ISNUMBER(SEARCH("bolo", F835)), ISNUMBER(SEARCH("SUPERMERCADO", F835))), "6.1 Despesas Administrativas (Pessoal)", IF(OR(ISNUMBER(SEARCH("DLKNET", F835)), ISNUMBER(SEARCH("TESTE", F835))), "6.1 Despesas Administrativas (Gerais)", IFERROR(VLOOKUP(H835, De_Para!A:B, 2, FALSE), "NÃO MAPEADO"))), IFERROR(VLOOKUP(H835, De_Para!A:B, 2, FALSE), "NÃO MAPEADO"))</f>
        <v/>
      </c>
    </row>
    <row r="836">
      <c r="A836" s="2" t="inlineStr">
        <is>
          <t>68851</t>
        </is>
      </c>
      <c r="B836" s="2" t="inlineStr">
        <is>
          <t>Sicredi SNI</t>
        </is>
      </c>
      <c r="C836" s="2" t="inlineStr">
        <is>
          <t>15/06/2026</t>
        </is>
      </c>
      <c r="D836" s="2" t="inlineStr">
        <is>
          <t>15/06/2026</t>
        </is>
      </c>
      <c r="E836" s="2" t="inlineStr">
        <is>
          <t>Dinheiro</t>
        </is>
      </c>
      <c r="F836" s="2" t="inlineStr">
        <is>
          <t>Boleto "60941" do cliente "MARIA DA GRAÇA LOPES DE OLIVEIRA"</t>
        </is>
      </c>
      <c r="G836" s="2" t="inlineStr">
        <is>
          <t>system</t>
        </is>
      </c>
      <c r="H836" s="2" t="inlineStr">
        <is>
          <t>01.01.01 : Mensalidade</t>
        </is>
      </c>
      <c r="I836" s="3" t="n">
        <v>105</v>
      </c>
      <c r="J836" s="2" t="n"/>
      <c r="K836" s="2">
        <f>IF(H836="02.09 : Outras Saídas", IF(OR(ISNUMBER(SEARCH("CHEQUE COMPE SICREDI", F836)), ISNUMBER(SEARCH("aniversario", F836)), ISNUMBER(SEARCH("churrasco", F836)), ISNUMBER(SEARCH("bolo", F836)), ISNUMBER(SEARCH("SUPERMERCADO", F836))), "6.1 Despesas Administrativas (Pessoal)", IF(OR(ISNUMBER(SEARCH("DLKNET", F836)), ISNUMBER(SEARCH("TESTE", F836))), "6.1 Despesas Administrativas (Gerais)", IFERROR(VLOOKUP(H836, De_Para!A:B, 2, FALSE), "NÃO MAPEADO"))), IFERROR(VLOOKUP(H836, De_Para!A:B, 2, FALSE), "NÃO MAPEADO"))</f>
        <v/>
      </c>
    </row>
    <row r="837">
      <c r="A837" s="2" t="inlineStr">
        <is>
          <t>68850</t>
        </is>
      </c>
      <c r="B837" s="2" t="inlineStr">
        <is>
          <t>Sicredi SNI</t>
        </is>
      </c>
      <c r="C837" s="2" t="inlineStr">
        <is>
          <t>15/06/2026</t>
        </is>
      </c>
      <c r="D837" s="2" t="inlineStr">
        <is>
          <t>12/06/2026</t>
        </is>
      </c>
      <c r="E837" s="2" t="inlineStr">
        <is>
          <t>Boleto</t>
        </is>
      </c>
      <c r="F837" s="2" t="inlineStr">
        <is>
          <t>LIQUIDACAO BOLETO SICREDI 14219043000177 BICO FR PAGAMENTO BEER GARDEN</t>
        </is>
      </c>
      <c r="G837" s="2" t="inlineStr">
        <is>
          <t>clau</t>
        </is>
      </c>
      <c r="H837" s="2" t="inlineStr">
        <is>
          <t>02.03.02.07 : Pro-Labore</t>
        </is>
      </c>
      <c r="I837" s="2" t="n"/>
      <c r="J837" s="3" t="n">
        <v>-1303.05</v>
      </c>
      <c r="K837" s="2">
        <f>IF(H837="02.09 : Outras Saídas", IF(OR(ISNUMBER(SEARCH("CHEQUE COMPE SICREDI", F837)), ISNUMBER(SEARCH("aniversario", F837)), ISNUMBER(SEARCH("churrasco", F837)), ISNUMBER(SEARCH("bolo", F837)), ISNUMBER(SEARCH("SUPERMERCADO", F837))), "6.1 Despesas Administrativas (Pessoal)", IF(OR(ISNUMBER(SEARCH("DLKNET", F837)), ISNUMBER(SEARCH("TESTE", F837))), "6.1 Despesas Administrativas (Gerais)", IFERROR(VLOOKUP(H837, De_Para!A:B, 2, FALSE), "NÃO MAPEADO"))), IFERROR(VLOOKUP(H837, De_Para!A:B, 2, FALSE), "NÃO MAPEADO"))</f>
        <v/>
      </c>
    </row>
    <row r="838">
      <c r="A838" s="2" t="inlineStr">
        <is>
          <t>68849</t>
        </is>
      </c>
      <c r="B838" s="2" t="inlineStr">
        <is>
          <t>Sicredi SNI</t>
        </is>
      </c>
      <c r="C838" s="2" t="inlineStr">
        <is>
          <t>15/06/2026</t>
        </is>
      </c>
      <c r="D838" s="2" t="inlineStr">
        <is>
          <t>12/06/2026</t>
        </is>
      </c>
      <c r="E838" s="2" t="inlineStr">
        <is>
          <t>Boleto</t>
        </is>
      </c>
      <c r="F838" s="2" t="inlineStr">
        <is>
          <t>LIQUIDACAO BOLETO 52568821000122 BRADESCO ADMINI	 SEGURO TORO</t>
        </is>
      </c>
      <c r="G838" s="2" t="inlineStr">
        <is>
          <t>clau</t>
        </is>
      </c>
      <c r="H838" s="2" t="inlineStr">
        <is>
          <t>02.10.01 : SEGURO CARRO</t>
        </is>
      </c>
      <c r="I838" s="2" t="n"/>
      <c r="J838" s="3" t="n">
        <v>-489.65</v>
      </c>
      <c r="K838" s="2">
        <f>IF(H838="02.09 : Outras Saídas", IF(OR(ISNUMBER(SEARCH("CHEQUE COMPE SICREDI", F838)), ISNUMBER(SEARCH("aniversario", F838)), ISNUMBER(SEARCH("churrasco", F838)), ISNUMBER(SEARCH("bolo", F838)), ISNUMBER(SEARCH("SUPERMERCADO", F838))), "6.1 Despesas Administrativas (Pessoal)", IF(OR(ISNUMBER(SEARCH("DLKNET", F838)), ISNUMBER(SEARCH("TESTE", F838))), "6.1 Despesas Administrativas (Gerais)", IFERROR(VLOOKUP(H838, De_Para!A:B, 2, FALSE), "NÃO MAPEADO"))), IFERROR(VLOOKUP(H838, De_Para!A:B, 2, FALSE), "NÃO MAPEADO"))</f>
        <v/>
      </c>
    </row>
    <row r="839">
      <c r="A839" s="2" t="inlineStr">
        <is>
          <t>68848</t>
        </is>
      </c>
      <c r="B839" s="2" t="inlineStr">
        <is>
          <t>Sicredi SNI</t>
        </is>
      </c>
      <c r="C839" s="2" t="inlineStr">
        <is>
          <t>15/06/2026</t>
        </is>
      </c>
      <c r="D839" s="2" t="inlineStr">
        <is>
          <t>12/06/2026</t>
        </is>
      </c>
      <c r="E839" s="2" t="inlineStr">
        <is>
          <t>PIX</t>
        </is>
      </c>
      <c r="F839" s="2" t="inlineStr">
        <is>
          <t>PAGAMENTO PIX 04047379948 EVERTON ZILI DE AQUINO PAGAMENTO PROPORCIONAL BEER GARDEN</t>
        </is>
      </c>
      <c r="G839" s="2" t="inlineStr">
        <is>
          <t>clau</t>
        </is>
      </c>
      <c r="H839" s="2" t="inlineStr">
        <is>
          <t>02.03.02.07 : Pro-Labore</t>
        </is>
      </c>
      <c r="I839" s="2" t="n"/>
      <c r="J839" s="3" t="n">
        <v>-934.86</v>
      </c>
      <c r="K839" s="2">
        <f>IF(H839="02.09 : Outras Saídas", IF(OR(ISNUMBER(SEARCH("CHEQUE COMPE SICREDI", F839)), ISNUMBER(SEARCH("aniversario", F839)), ISNUMBER(SEARCH("churrasco", F839)), ISNUMBER(SEARCH("bolo", F839)), ISNUMBER(SEARCH("SUPERMERCADO", F839))), "6.1 Despesas Administrativas (Pessoal)", IF(OR(ISNUMBER(SEARCH("DLKNET", F839)), ISNUMBER(SEARCH("TESTE", F839))), "6.1 Despesas Administrativas (Gerais)", IFERROR(VLOOKUP(H839, De_Para!A:B, 2, FALSE), "NÃO MAPEADO"))), IFERROR(VLOOKUP(H839, De_Para!A:B, 2, FALSE), "NÃO MAPEADO"))</f>
        <v/>
      </c>
    </row>
    <row r="840">
      <c r="A840" s="2" t="inlineStr">
        <is>
          <t>68847</t>
        </is>
      </c>
      <c r="B840" s="2" t="inlineStr">
        <is>
          <t>Sicredi SNI</t>
        </is>
      </c>
      <c r="C840" s="2" t="inlineStr">
        <is>
          <t>15/06/2026</t>
        </is>
      </c>
      <c r="D840" s="2" t="inlineStr">
        <is>
          <t>12/06/2026</t>
        </is>
      </c>
      <c r="E840" s="2" t="inlineStr">
        <is>
          <t>PIX</t>
        </is>
      </c>
      <c r="F840" s="2" t="inlineStr">
        <is>
          <t>PAGAMENTO PIX 00974731000138 FRANGOS PIONEIRO IN PAGAMWNTO MANÁ BEER GARDEN</t>
        </is>
      </c>
      <c r="G840" s="2" t="inlineStr">
        <is>
          <t>clau</t>
        </is>
      </c>
      <c r="H840" s="2" t="inlineStr">
        <is>
          <t>02.03.02.07 : Pro-Labore</t>
        </is>
      </c>
      <c r="I840" s="2" t="n"/>
      <c r="J840" s="3" t="n">
        <v>-1014.67</v>
      </c>
      <c r="K840" s="2">
        <f>IF(H840="02.09 : Outras Saídas", IF(OR(ISNUMBER(SEARCH("CHEQUE COMPE SICREDI", F840)), ISNUMBER(SEARCH("aniversario", F840)), ISNUMBER(SEARCH("churrasco", F840)), ISNUMBER(SEARCH("bolo", F840)), ISNUMBER(SEARCH("SUPERMERCADO", F840))), "6.1 Despesas Administrativas (Pessoal)", IF(OR(ISNUMBER(SEARCH("DLKNET", F840)), ISNUMBER(SEARCH("TESTE", F840))), "6.1 Despesas Administrativas (Gerais)", IFERROR(VLOOKUP(H840, De_Para!A:B, 2, FALSE), "NÃO MAPEADO"))), IFERROR(VLOOKUP(H840, De_Para!A:B, 2, FALSE), "NÃO MAPEADO"))</f>
        <v/>
      </c>
    </row>
    <row r="841">
      <c r="A841" s="2" t="inlineStr">
        <is>
          <t>68846</t>
        </is>
      </c>
      <c r="B841" s="2" t="inlineStr">
        <is>
          <t>Sicredi SNI</t>
        </is>
      </c>
      <c r="C841" s="2" t="inlineStr">
        <is>
          <t>15/06/2026</t>
        </is>
      </c>
      <c r="D841" s="2" t="inlineStr">
        <is>
          <t>12/06/2026</t>
        </is>
      </c>
      <c r="E841" s="2" t="inlineStr">
        <is>
          <t>Boleto</t>
        </is>
      </c>
      <c r="F841" s="2" t="inlineStr">
        <is>
          <t>LIQUIDACAO BOLETO SICREDI 14219043000177 BICO FR  BOLETO BICO BEER GARDEN</t>
        </is>
      </c>
      <c r="G841" s="2" t="inlineStr">
        <is>
          <t>clau</t>
        </is>
      </c>
      <c r="H841" s="2" t="inlineStr">
        <is>
          <t>02.03.02.07 : Pro-Labore</t>
        </is>
      </c>
      <c r="I841" s="2" t="n"/>
      <c r="J841" s="3" t="n">
        <v>-416.71</v>
      </c>
      <c r="K841" s="2">
        <f>IF(H841="02.09 : Outras Saídas", IF(OR(ISNUMBER(SEARCH("CHEQUE COMPE SICREDI", F841)), ISNUMBER(SEARCH("aniversario", F841)), ISNUMBER(SEARCH("churrasco", F841)), ISNUMBER(SEARCH("bolo", F841)), ISNUMBER(SEARCH("SUPERMERCADO", F841))), "6.1 Despesas Administrativas (Pessoal)", IF(OR(ISNUMBER(SEARCH("DLKNET", F841)), ISNUMBER(SEARCH("TESTE", F841))), "6.1 Despesas Administrativas (Gerais)", IFERROR(VLOOKUP(H841, De_Para!A:B, 2, FALSE), "NÃO MAPEADO"))), IFERROR(VLOOKUP(H841, De_Para!A:B, 2, FALSE), "NÃO MAPEADO"))</f>
        <v/>
      </c>
    </row>
    <row r="842">
      <c r="A842" s="2" t="inlineStr">
        <is>
          <t>68845</t>
        </is>
      </c>
      <c r="B842" s="2" t="inlineStr">
        <is>
          <t>Sicoob</t>
        </is>
      </c>
      <c r="C842" s="2" t="inlineStr">
        <is>
          <t>15/06/2026</t>
        </is>
      </c>
      <c r="D842" s="2" t="inlineStr">
        <is>
          <t>15/06/2026</t>
        </is>
      </c>
      <c r="E842" s="2" t="inlineStr">
        <is>
          <t>Dinheiro</t>
        </is>
      </c>
      <c r="F842" s="2" t="inlineStr">
        <is>
          <t>Boleto "58804" do cliente "LEANDRO JUNIOR DE JESUS"</t>
        </is>
      </c>
      <c r="G842" s="2" t="inlineStr">
        <is>
          <t>system</t>
        </is>
      </c>
      <c r="H842" s="2" t="inlineStr">
        <is>
          <t>02.03.02.01 : Cobrança Bancaria</t>
        </is>
      </c>
      <c r="I842" s="2" t="n"/>
      <c r="J842" s="3" t="n">
        <v>-0.88</v>
      </c>
      <c r="K842" s="2">
        <f>IF(H842="02.09 : Outras Saídas", IF(OR(ISNUMBER(SEARCH("CHEQUE COMPE SICREDI", F842)), ISNUMBER(SEARCH("aniversario", F842)), ISNUMBER(SEARCH("churrasco", F842)), ISNUMBER(SEARCH("bolo", F842)), ISNUMBER(SEARCH("SUPERMERCADO", F842))), "6.1 Despesas Administrativas (Pessoal)", IF(OR(ISNUMBER(SEARCH("DLKNET", F842)), ISNUMBER(SEARCH("TESTE", F842))), "6.1 Despesas Administrativas (Gerais)", IFERROR(VLOOKUP(H842, De_Para!A:B, 2, FALSE), "NÃO MAPEADO"))), IFERROR(VLOOKUP(H842, De_Para!A:B, 2, FALSE), "NÃO MAPEADO"))</f>
        <v/>
      </c>
    </row>
    <row r="843">
      <c r="A843" s="2" t="inlineStr">
        <is>
          <t>68844</t>
        </is>
      </c>
      <c r="B843" s="2" t="inlineStr">
        <is>
          <t>Sicoob</t>
        </is>
      </c>
      <c r="C843" s="2" t="inlineStr">
        <is>
          <t>15/06/2026</t>
        </is>
      </c>
      <c r="D843" s="2" t="inlineStr">
        <is>
          <t>15/06/2026</t>
        </is>
      </c>
      <c r="E843" s="2" t="inlineStr">
        <is>
          <t>Dinheiro</t>
        </is>
      </c>
      <c r="F843" s="2" t="inlineStr">
        <is>
          <t>Boleto "58804" do cliente "LEANDRO JUNIOR DE JESUS"</t>
        </is>
      </c>
      <c r="G843" s="2" t="inlineStr">
        <is>
          <t>system</t>
        </is>
      </c>
      <c r="H843" s="2" t="inlineStr">
        <is>
          <t>01.01.01 : Mensalidade</t>
        </is>
      </c>
      <c r="I843" s="3" t="n">
        <v>105</v>
      </c>
      <c r="J843" s="2" t="n"/>
      <c r="K843" s="2">
        <f>IF(H843="02.09 : Outras Saídas", IF(OR(ISNUMBER(SEARCH("CHEQUE COMPE SICREDI", F843)), ISNUMBER(SEARCH("aniversario", F843)), ISNUMBER(SEARCH("churrasco", F843)), ISNUMBER(SEARCH("bolo", F843)), ISNUMBER(SEARCH("SUPERMERCADO", F843))), "6.1 Despesas Administrativas (Pessoal)", IF(OR(ISNUMBER(SEARCH("DLKNET", F843)), ISNUMBER(SEARCH("TESTE", F843))), "6.1 Despesas Administrativas (Gerais)", IFERROR(VLOOKUP(H843, De_Para!A:B, 2, FALSE), "NÃO MAPEADO"))), IFERROR(VLOOKUP(H843, De_Para!A:B, 2, FALSE), "NÃO MAPEADO"))</f>
        <v/>
      </c>
    </row>
    <row r="844">
      <c r="A844" s="2" t="inlineStr">
        <is>
          <t>68843</t>
        </is>
      </c>
      <c r="B844" s="2" t="inlineStr">
        <is>
          <t>Sicoob</t>
        </is>
      </c>
      <c r="C844" s="2" t="inlineStr">
        <is>
          <t>15/06/2026</t>
        </is>
      </c>
      <c r="D844" s="2" t="inlineStr">
        <is>
          <t>15/06/2026</t>
        </is>
      </c>
      <c r="E844" s="2" t="inlineStr">
        <is>
          <t>Dinheiro</t>
        </is>
      </c>
      <c r="F844" s="2" t="inlineStr">
        <is>
          <t>Boleto "58722" do cliente "NEID MARIA DA MOTA VALE"</t>
        </is>
      </c>
      <c r="G844" s="2" t="inlineStr">
        <is>
          <t>system</t>
        </is>
      </c>
      <c r="H844" s="2" t="inlineStr">
        <is>
          <t>02.03.02.01 : Cobrança Bancaria</t>
        </is>
      </c>
      <c r="I844" s="2" t="n"/>
      <c r="J844" s="3" t="n">
        <v>-0.88</v>
      </c>
      <c r="K844" s="2">
        <f>IF(H844="02.09 : Outras Saídas", IF(OR(ISNUMBER(SEARCH("CHEQUE COMPE SICREDI", F844)), ISNUMBER(SEARCH("aniversario", F844)), ISNUMBER(SEARCH("churrasco", F844)), ISNUMBER(SEARCH("bolo", F844)), ISNUMBER(SEARCH("SUPERMERCADO", F844))), "6.1 Despesas Administrativas (Pessoal)", IF(OR(ISNUMBER(SEARCH("DLKNET", F844)), ISNUMBER(SEARCH("TESTE", F844))), "6.1 Despesas Administrativas (Gerais)", IFERROR(VLOOKUP(H844, De_Para!A:B, 2, FALSE), "NÃO MAPEADO"))), IFERROR(VLOOKUP(H844, De_Para!A:B, 2, FALSE), "NÃO MAPEADO"))</f>
        <v/>
      </c>
    </row>
    <row r="845">
      <c r="A845" s="2" t="inlineStr">
        <is>
          <t>68842</t>
        </is>
      </c>
      <c r="B845" s="2" t="inlineStr">
        <is>
          <t>Sicoob</t>
        </is>
      </c>
      <c r="C845" s="2" t="inlineStr">
        <is>
          <t>15/06/2026</t>
        </is>
      </c>
      <c r="D845" s="2" t="inlineStr">
        <is>
          <t>15/06/2026</t>
        </is>
      </c>
      <c r="E845" s="2" t="inlineStr">
        <is>
          <t>Dinheiro</t>
        </is>
      </c>
      <c r="F845" s="2" t="inlineStr">
        <is>
          <t>Boleto "58722" do cliente "NEID MARIA DA MOTA VALE"</t>
        </is>
      </c>
      <c r="G845" s="2" t="inlineStr">
        <is>
          <t>system</t>
        </is>
      </c>
      <c r="H845" s="2" t="inlineStr">
        <is>
          <t>01.01.01 : Mensalidade</t>
        </is>
      </c>
      <c r="I845" s="3" t="n">
        <v>81.73</v>
      </c>
      <c r="J845" s="2" t="n"/>
      <c r="K845" s="2">
        <f>IF(H845="02.09 : Outras Saídas", IF(OR(ISNUMBER(SEARCH("CHEQUE COMPE SICREDI", F845)), ISNUMBER(SEARCH("aniversario", F845)), ISNUMBER(SEARCH("churrasco", F845)), ISNUMBER(SEARCH("bolo", F845)), ISNUMBER(SEARCH("SUPERMERCADO", F845))), "6.1 Despesas Administrativas (Pessoal)", IF(OR(ISNUMBER(SEARCH("DLKNET", F845)), ISNUMBER(SEARCH("TESTE", F845))), "6.1 Despesas Administrativas (Gerais)", IFERROR(VLOOKUP(H845, De_Para!A:B, 2, FALSE), "NÃO MAPEADO"))), IFERROR(VLOOKUP(H845, De_Para!A:B, 2, FALSE), "NÃO MAPEADO"))</f>
        <v/>
      </c>
    </row>
    <row r="846">
      <c r="A846" s="2" t="inlineStr">
        <is>
          <t>68841</t>
        </is>
      </c>
      <c r="B846" s="2" t="inlineStr">
        <is>
          <t>Sicoob</t>
        </is>
      </c>
      <c r="C846" s="2" t="inlineStr">
        <is>
          <t>15/06/2026</t>
        </is>
      </c>
      <c r="D846" s="2" t="inlineStr">
        <is>
          <t>15/06/2026</t>
        </is>
      </c>
      <c r="E846" s="2" t="inlineStr">
        <is>
          <t>Dinheiro</t>
        </is>
      </c>
      <c r="F846" s="2" t="inlineStr">
        <is>
          <t>Boleto "58519" do cliente "MIGUEL SEBASTIÃO DE ALMEIDA"</t>
        </is>
      </c>
      <c r="G846" s="2" t="inlineStr">
        <is>
          <t>system</t>
        </is>
      </c>
      <c r="H846" s="2" t="inlineStr">
        <is>
          <t>02.03.02.01 : Cobrança Bancaria</t>
        </is>
      </c>
      <c r="I846" s="2" t="n"/>
      <c r="J846" s="3" t="n">
        <v>-0.88</v>
      </c>
      <c r="K846" s="2">
        <f>IF(H846="02.09 : Outras Saídas", IF(OR(ISNUMBER(SEARCH("CHEQUE COMPE SICREDI", F846)), ISNUMBER(SEARCH("aniversario", F846)), ISNUMBER(SEARCH("churrasco", F846)), ISNUMBER(SEARCH("bolo", F846)), ISNUMBER(SEARCH("SUPERMERCADO", F846))), "6.1 Despesas Administrativas (Pessoal)", IF(OR(ISNUMBER(SEARCH("DLKNET", F846)), ISNUMBER(SEARCH("TESTE", F846))), "6.1 Despesas Administrativas (Gerais)", IFERROR(VLOOKUP(H846, De_Para!A:B, 2, FALSE), "NÃO MAPEADO"))), IFERROR(VLOOKUP(H846, De_Para!A:B, 2, FALSE), "NÃO MAPEADO"))</f>
        <v/>
      </c>
    </row>
    <row r="847">
      <c r="A847" s="2" t="inlineStr">
        <is>
          <t>68840</t>
        </is>
      </c>
      <c r="B847" s="2" t="inlineStr">
        <is>
          <t>Sicoob</t>
        </is>
      </c>
      <c r="C847" s="2" t="inlineStr">
        <is>
          <t>15/06/2026</t>
        </is>
      </c>
      <c r="D847" s="2" t="inlineStr">
        <is>
          <t>15/06/2026</t>
        </is>
      </c>
      <c r="E847" s="2" t="inlineStr">
        <is>
          <t>Dinheiro</t>
        </is>
      </c>
      <c r="F847" s="2" t="inlineStr">
        <is>
          <t>Boleto "58519" do cliente "MIGUEL SEBASTIÃO DE ALMEIDA"</t>
        </is>
      </c>
      <c r="G847" s="2" t="inlineStr">
        <is>
          <t>system</t>
        </is>
      </c>
      <c r="H847" s="2" t="inlineStr">
        <is>
          <t>01.01.01 : Mensalidade</t>
        </is>
      </c>
      <c r="I847" s="3" t="n">
        <v>120</v>
      </c>
      <c r="J847" s="2" t="n"/>
      <c r="K847" s="2">
        <f>IF(H847="02.09 : Outras Saídas", IF(OR(ISNUMBER(SEARCH("CHEQUE COMPE SICREDI", F847)), ISNUMBER(SEARCH("aniversario", F847)), ISNUMBER(SEARCH("churrasco", F847)), ISNUMBER(SEARCH("bolo", F847)), ISNUMBER(SEARCH("SUPERMERCADO", F847))), "6.1 Despesas Administrativas (Pessoal)", IF(OR(ISNUMBER(SEARCH("DLKNET", F847)), ISNUMBER(SEARCH("TESTE", F847))), "6.1 Despesas Administrativas (Gerais)", IFERROR(VLOOKUP(H847, De_Para!A:B, 2, FALSE), "NÃO MAPEADO"))), IFERROR(VLOOKUP(H847, De_Para!A:B, 2, FALSE), "NÃO MAPEADO"))</f>
        <v/>
      </c>
    </row>
    <row r="848">
      <c r="A848" s="2" t="inlineStr">
        <is>
          <t>68839</t>
        </is>
      </c>
      <c r="B848" s="2" t="inlineStr">
        <is>
          <t>Sicoob</t>
        </is>
      </c>
      <c r="C848" s="2" t="inlineStr">
        <is>
          <t>15/06/2026</t>
        </is>
      </c>
      <c r="D848" s="2" t="inlineStr">
        <is>
          <t>15/06/2026</t>
        </is>
      </c>
      <c r="E848" s="2" t="inlineStr">
        <is>
          <t>Dinheiro</t>
        </is>
      </c>
      <c r="F848" s="2" t="inlineStr">
        <is>
          <t>Boleto "58508" do cliente "MIGUEL SEBASTIÃO DE ALMEIDA"</t>
        </is>
      </c>
      <c r="G848" s="2" t="inlineStr">
        <is>
          <t>system</t>
        </is>
      </c>
      <c r="H848" s="2" t="inlineStr">
        <is>
          <t>02.03.02.01 : Cobrança Bancaria</t>
        </is>
      </c>
      <c r="I848" s="2" t="n"/>
      <c r="J848" s="3" t="n">
        <v>-0.88</v>
      </c>
      <c r="K848" s="2">
        <f>IF(H848="02.09 : Outras Saídas", IF(OR(ISNUMBER(SEARCH("CHEQUE COMPE SICREDI", F848)), ISNUMBER(SEARCH("aniversario", F848)), ISNUMBER(SEARCH("churrasco", F848)), ISNUMBER(SEARCH("bolo", F848)), ISNUMBER(SEARCH("SUPERMERCADO", F848))), "6.1 Despesas Administrativas (Pessoal)", IF(OR(ISNUMBER(SEARCH("DLKNET", F848)), ISNUMBER(SEARCH("TESTE", F848))), "6.1 Despesas Administrativas (Gerais)", IFERROR(VLOOKUP(H848, De_Para!A:B, 2, FALSE), "NÃO MAPEADO"))), IFERROR(VLOOKUP(H848, De_Para!A:B, 2, FALSE), "NÃO MAPEADO"))</f>
        <v/>
      </c>
    </row>
    <row r="849">
      <c r="A849" s="2" t="inlineStr">
        <is>
          <t>68838</t>
        </is>
      </c>
      <c r="B849" s="2" t="inlineStr">
        <is>
          <t>Sicoob</t>
        </is>
      </c>
      <c r="C849" s="2" t="inlineStr">
        <is>
          <t>15/06/2026</t>
        </is>
      </c>
      <c r="D849" s="2" t="inlineStr">
        <is>
          <t>15/06/2026</t>
        </is>
      </c>
      <c r="E849" s="2" t="inlineStr">
        <is>
          <t>Dinheiro</t>
        </is>
      </c>
      <c r="F849" s="2" t="inlineStr">
        <is>
          <t>Boleto "58508" do cliente "MIGUEL SEBASTIÃO DE ALMEIDA"</t>
        </is>
      </c>
      <c r="G849" s="2" t="inlineStr">
        <is>
          <t>system</t>
        </is>
      </c>
      <c r="H849" s="2" t="inlineStr">
        <is>
          <t>01.01.01 : Mensalidade</t>
        </is>
      </c>
      <c r="I849" s="3" t="n">
        <v>105</v>
      </c>
      <c r="J849" s="2" t="n"/>
      <c r="K849" s="2">
        <f>IF(H849="02.09 : Outras Saídas", IF(OR(ISNUMBER(SEARCH("CHEQUE COMPE SICREDI", F849)), ISNUMBER(SEARCH("aniversario", F849)), ISNUMBER(SEARCH("churrasco", F849)), ISNUMBER(SEARCH("bolo", F849)), ISNUMBER(SEARCH("SUPERMERCADO", F849))), "6.1 Despesas Administrativas (Pessoal)", IF(OR(ISNUMBER(SEARCH("DLKNET", F849)), ISNUMBER(SEARCH("TESTE", F849))), "6.1 Despesas Administrativas (Gerais)", IFERROR(VLOOKUP(H849, De_Para!A:B, 2, FALSE), "NÃO MAPEADO"))), IFERROR(VLOOKUP(H849, De_Para!A:B, 2, FALSE), "NÃO MAPEADO"))</f>
        <v/>
      </c>
    </row>
    <row r="850">
      <c r="A850" s="2" t="inlineStr">
        <is>
          <t>68837</t>
        </is>
      </c>
      <c r="B850" s="2" t="inlineStr">
        <is>
          <t>Sicoob</t>
        </is>
      </c>
      <c r="C850" s="2" t="inlineStr">
        <is>
          <t>15/06/2026</t>
        </is>
      </c>
      <c r="D850" s="2" t="inlineStr">
        <is>
          <t>15/06/2026</t>
        </is>
      </c>
      <c r="E850" s="2" t="inlineStr">
        <is>
          <t>Dinheiro</t>
        </is>
      </c>
      <c r="F850" s="2" t="inlineStr">
        <is>
          <t>Boleto "58486" do cliente "SERGIO OJEDA PEREIRA"</t>
        </is>
      </c>
      <c r="G850" s="2" t="inlineStr">
        <is>
          <t>system</t>
        </is>
      </c>
      <c r="H850" s="2" t="inlineStr">
        <is>
          <t>02.03.02.01 : Cobrança Bancaria</t>
        </is>
      </c>
      <c r="I850" s="2" t="n"/>
      <c r="J850" s="3" t="n">
        <v>-0.88</v>
      </c>
      <c r="K850" s="2">
        <f>IF(H850="02.09 : Outras Saídas", IF(OR(ISNUMBER(SEARCH("CHEQUE COMPE SICREDI", F850)), ISNUMBER(SEARCH("aniversario", F850)), ISNUMBER(SEARCH("churrasco", F850)), ISNUMBER(SEARCH("bolo", F850)), ISNUMBER(SEARCH("SUPERMERCADO", F850))), "6.1 Despesas Administrativas (Pessoal)", IF(OR(ISNUMBER(SEARCH("DLKNET", F850)), ISNUMBER(SEARCH("TESTE", F850))), "6.1 Despesas Administrativas (Gerais)", IFERROR(VLOOKUP(H850, De_Para!A:B, 2, FALSE), "NÃO MAPEADO"))), IFERROR(VLOOKUP(H850, De_Para!A:B, 2, FALSE), "NÃO MAPEADO"))</f>
        <v/>
      </c>
    </row>
    <row r="851">
      <c r="A851" s="2" t="inlineStr">
        <is>
          <t>68836</t>
        </is>
      </c>
      <c r="B851" s="2" t="inlineStr">
        <is>
          <t>Sicoob</t>
        </is>
      </c>
      <c r="C851" s="2" t="inlineStr">
        <is>
          <t>15/06/2026</t>
        </is>
      </c>
      <c r="D851" s="2" t="inlineStr">
        <is>
          <t>15/06/2026</t>
        </is>
      </c>
      <c r="E851" s="2" t="inlineStr">
        <is>
          <t>Dinheiro</t>
        </is>
      </c>
      <c r="F851" s="2" t="inlineStr">
        <is>
          <t>Boleto "58486" do cliente "SERGIO OJEDA PEREIRA"</t>
        </is>
      </c>
      <c r="G851" s="2" t="inlineStr">
        <is>
          <t>system</t>
        </is>
      </c>
      <c r="H851" s="2" t="inlineStr">
        <is>
          <t>01.03.01 : Mensalidade</t>
        </is>
      </c>
      <c r="I851" s="3" t="n">
        <v>105</v>
      </c>
      <c r="J851" s="2" t="n"/>
      <c r="K851" s="2">
        <f>IF(H851="02.09 : Outras Saídas", IF(OR(ISNUMBER(SEARCH("CHEQUE COMPE SICREDI", F851)), ISNUMBER(SEARCH("aniversario", F851)), ISNUMBER(SEARCH("churrasco", F851)), ISNUMBER(SEARCH("bolo", F851)), ISNUMBER(SEARCH("SUPERMERCADO", F851))), "6.1 Despesas Administrativas (Pessoal)", IF(OR(ISNUMBER(SEARCH("DLKNET", F851)), ISNUMBER(SEARCH("TESTE", F851))), "6.1 Despesas Administrativas (Gerais)", IFERROR(VLOOKUP(H851, De_Para!A:B, 2, FALSE), "NÃO MAPEADO"))), IFERROR(VLOOKUP(H851, De_Para!A:B, 2, FALSE), "NÃO MAPEADO"))</f>
        <v/>
      </c>
    </row>
    <row r="852">
      <c r="A852" s="2" t="inlineStr">
        <is>
          <t>68835</t>
        </is>
      </c>
      <c r="B852" s="2" t="inlineStr">
        <is>
          <t>Sicoob</t>
        </is>
      </c>
      <c r="C852" s="2" t="inlineStr">
        <is>
          <t>15/06/2026</t>
        </is>
      </c>
      <c r="D852" s="2" t="inlineStr">
        <is>
          <t>15/06/2026</t>
        </is>
      </c>
      <c r="E852" s="2" t="inlineStr">
        <is>
          <t>Dinheiro</t>
        </is>
      </c>
      <c r="F852" s="2" t="inlineStr">
        <is>
          <t>Boleto "58442" do cliente "VALERIA CARVALHO DA COSTA DUARTE - AGENCIA"</t>
        </is>
      </c>
      <c r="G852" s="2" t="inlineStr">
        <is>
          <t>system</t>
        </is>
      </c>
      <c r="H852" s="2" t="inlineStr">
        <is>
          <t>02.03.02.01 : Cobrança Bancaria</t>
        </is>
      </c>
      <c r="I852" s="2" t="n"/>
      <c r="J852" s="3" t="n">
        <v>-0.88</v>
      </c>
      <c r="K852" s="2">
        <f>IF(H852="02.09 : Outras Saídas", IF(OR(ISNUMBER(SEARCH("CHEQUE COMPE SICREDI", F852)), ISNUMBER(SEARCH("aniversario", F852)), ISNUMBER(SEARCH("churrasco", F852)), ISNUMBER(SEARCH("bolo", F852)), ISNUMBER(SEARCH("SUPERMERCADO", F852))), "6.1 Despesas Administrativas (Pessoal)", IF(OR(ISNUMBER(SEARCH("DLKNET", F852)), ISNUMBER(SEARCH("TESTE", F852))), "6.1 Despesas Administrativas (Gerais)", IFERROR(VLOOKUP(H852, De_Para!A:B, 2, FALSE), "NÃO MAPEADO"))), IFERROR(VLOOKUP(H852, De_Para!A:B, 2, FALSE), "NÃO MAPEADO"))</f>
        <v/>
      </c>
    </row>
    <row r="853">
      <c r="A853" s="2" t="inlineStr">
        <is>
          <t>68834</t>
        </is>
      </c>
      <c r="B853" s="2" t="inlineStr">
        <is>
          <t>Sicoob</t>
        </is>
      </c>
      <c r="C853" s="2" t="inlineStr">
        <is>
          <t>15/06/2026</t>
        </is>
      </c>
      <c r="D853" s="2" t="inlineStr">
        <is>
          <t>15/06/2026</t>
        </is>
      </c>
      <c r="E853" s="2" t="inlineStr">
        <is>
          <t>Dinheiro</t>
        </is>
      </c>
      <c r="F853" s="2" t="inlineStr">
        <is>
          <t>Boleto "58442" do cliente "VALERIA CARVALHO DA COSTA DUARTE - AGENCIA"</t>
        </is>
      </c>
      <c r="G853" s="2" t="inlineStr">
        <is>
          <t>system</t>
        </is>
      </c>
      <c r="H853" s="2" t="inlineStr">
        <is>
          <t>01.01.01 : Mensalidade</t>
        </is>
      </c>
      <c r="I853" s="3" t="n">
        <v>105</v>
      </c>
      <c r="J853" s="2" t="n"/>
      <c r="K853" s="2">
        <f>IF(H853="02.09 : Outras Saídas", IF(OR(ISNUMBER(SEARCH("CHEQUE COMPE SICREDI", F853)), ISNUMBER(SEARCH("aniversario", F853)), ISNUMBER(SEARCH("churrasco", F853)), ISNUMBER(SEARCH("bolo", F853)), ISNUMBER(SEARCH("SUPERMERCADO", F853))), "6.1 Despesas Administrativas (Pessoal)", IF(OR(ISNUMBER(SEARCH("DLKNET", F853)), ISNUMBER(SEARCH("TESTE", F853))), "6.1 Despesas Administrativas (Gerais)", IFERROR(VLOOKUP(H853, De_Para!A:B, 2, FALSE), "NÃO MAPEADO"))), IFERROR(VLOOKUP(H853, De_Para!A:B, 2, FALSE), "NÃO MAPEADO"))</f>
        <v/>
      </c>
    </row>
    <row r="854">
      <c r="A854" s="2" t="inlineStr">
        <is>
          <t>68833</t>
        </is>
      </c>
      <c r="B854" s="2" t="inlineStr">
        <is>
          <t>Sicoob</t>
        </is>
      </c>
      <c r="C854" s="2" t="inlineStr">
        <is>
          <t>15/06/2026</t>
        </is>
      </c>
      <c r="D854" s="2" t="inlineStr">
        <is>
          <t>15/06/2026</t>
        </is>
      </c>
      <c r="E854" s="2" t="inlineStr">
        <is>
          <t>Dinheiro</t>
        </is>
      </c>
      <c r="F854" s="2" t="inlineStr">
        <is>
          <t>Boleto "58431" do cliente "SERGIO OJEDA PEREIRA"</t>
        </is>
      </c>
      <c r="G854" s="2" t="inlineStr">
        <is>
          <t>system</t>
        </is>
      </c>
      <c r="H854" s="2" t="inlineStr">
        <is>
          <t>02.03.02.01 : Cobrança Bancaria</t>
        </is>
      </c>
      <c r="I854" s="2" t="n"/>
      <c r="J854" s="3" t="n">
        <v>-0.88</v>
      </c>
      <c r="K854" s="2">
        <f>IF(H854="02.09 : Outras Saídas", IF(OR(ISNUMBER(SEARCH("CHEQUE COMPE SICREDI", F854)), ISNUMBER(SEARCH("aniversario", F854)), ISNUMBER(SEARCH("churrasco", F854)), ISNUMBER(SEARCH("bolo", F854)), ISNUMBER(SEARCH("SUPERMERCADO", F854))), "6.1 Despesas Administrativas (Pessoal)", IF(OR(ISNUMBER(SEARCH("DLKNET", F854)), ISNUMBER(SEARCH("TESTE", F854))), "6.1 Despesas Administrativas (Gerais)", IFERROR(VLOOKUP(H854, De_Para!A:B, 2, FALSE), "NÃO MAPEADO"))), IFERROR(VLOOKUP(H854, De_Para!A:B, 2, FALSE), "NÃO MAPEADO"))</f>
        <v/>
      </c>
    </row>
    <row r="855">
      <c r="A855" s="2" t="inlineStr">
        <is>
          <t>68832</t>
        </is>
      </c>
      <c r="B855" s="2" t="inlineStr">
        <is>
          <t>Sicoob</t>
        </is>
      </c>
      <c r="C855" s="2" t="inlineStr">
        <is>
          <t>15/06/2026</t>
        </is>
      </c>
      <c r="D855" s="2" t="inlineStr">
        <is>
          <t>15/06/2026</t>
        </is>
      </c>
      <c r="E855" s="2" t="inlineStr">
        <is>
          <t>Dinheiro</t>
        </is>
      </c>
      <c r="F855" s="2" t="inlineStr">
        <is>
          <t>Boleto "58431" do cliente "SERGIO OJEDA PEREIRA"</t>
        </is>
      </c>
      <c r="G855" s="2" t="inlineStr">
        <is>
          <t>system</t>
        </is>
      </c>
      <c r="H855" s="2" t="inlineStr">
        <is>
          <t>01.03.01 : Mensalidade</t>
        </is>
      </c>
      <c r="I855" s="3" t="n">
        <v>105</v>
      </c>
      <c r="J855" s="2" t="n"/>
      <c r="K855" s="2">
        <f>IF(H855="02.09 : Outras Saídas", IF(OR(ISNUMBER(SEARCH("CHEQUE COMPE SICREDI", F855)), ISNUMBER(SEARCH("aniversario", F855)), ISNUMBER(SEARCH("churrasco", F855)), ISNUMBER(SEARCH("bolo", F855)), ISNUMBER(SEARCH("SUPERMERCADO", F855))), "6.1 Despesas Administrativas (Pessoal)", IF(OR(ISNUMBER(SEARCH("DLKNET", F855)), ISNUMBER(SEARCH("TESTE", F855))), "6.1 Despesas Administrativas (Gerais)", IFERROR(VLOOKUP(H855, De_Para!A:B, 2, FALSE), "NÃO MAPEADO"))), IFERROR(VLOOKUP(H855, De_Para!A:B, 2, FALSE), "NÃO MAPEADO"))</f>
        <v/>
      </c>
    </row>
    <row r="856">
      <c r="A856" s="2" t="inlineStr">
        <is>
          <t>68831</t>
        </is>
      </c>
      <c r="B856" s="2" t="inlineStr">
        <is>
          <t>Sicoob</t>
        </is>
      </c>
      <c r="C856" s="2" t="inlineStr">
        <is>
          <t>15/06/2026</t>
        </is>
      </c>
      <c r="D856" s="2" t="inlineStr">
        <is>
          <t>15/06/2026</t>
        </is>
      </c>
      <c r="E856" s="2" t="inlineStr">
        <is>
          <t>Dinheiro</t>
        </is>
      </c>
      <c r="F856" s="2" t="inlineStr">
        <is>
          <t>Boleto "58409" do cliente "JOÃO NICOLAU DE BORBA"</t>
        </is>
      </c>
      <c r="G856" s="2" t="inlineStr">
        <is>
          <t>system</t>
        </is>
      </c>
      <c r="H856" s="2" t="inlineStr">
        <is>
          <t>02.03.02.01 : Cobrança Bancaria</t>
        </is>
      </c>
      <c r="I856" s="2" t="n"/>
      <c r="J856" s="3" t="n">
        <v>-0.88</v>
      </c>
      <c r="K856" s="2">
        <f>IF(H856="02.09 : Outras Saídas", IF(OR(ISNUMBER(SEARCH("CHEQUE COMPE SICREDI", F856)), ISNUMBER(SEARCH("aniversario", F856)), ISNUMBER(SEARCH("churrasco", F856)), ISNUMBER(SEARCH("bolo", F856)), ISNUMBER(SEARCH("SUPERMERCADO", F856))), "6.1 Despesas Administrativas (Pessoal)", IF(OR(ISNUMBER(SEARCH("DLKNET", F856)), ISNUMBER(SEARCH("TESTE", F856))), "6.1 Despesas Administrativas (Gerais)", IFERROR(VLOOKUP(H856, De_Para!A:B, 2, FALSE), "NÃO MAPEADO"))), IFERROR(VLOOKUP(H856, De_Para!A:B, 2, FALSE), "NÃO MAPEADO"))</f>
        <v/>
      </c>
    </row>
    <row r="857">
      <c r="A857" s="2" t="inlineStr">
        <is>
          <t>68830</t>
        </is>
      </c>
      <c r="B857" s="2" t="inlineStr">
        <is>
          <t>Sicoob</t>
        </is>
      </c>
      <c r="C857" s="2" t="inlineStr">
        <is>
          <t>15/06/2026</t>
        </is>
      </c>
      <c r="D857" s="2" t="inlineStr">
        <is>
          <t>15/06/2026</t>
        </is>
      </c>
      <c r="E857" s="2" t="inlineStr">
        <is>
          <t>Dinheiro</t>
        </is>
      </c>
      <c r="F857" s="2" t="inlineStr">
        <is>
          <t>Boleto "58409" do cliente "JOÃO NICOLAU DE BORBA"</t>
        </is>
      </c>
      <c r="G857" s="2" t="inlineStr">
        <is>
          <t>system</t>
        </is>
      </c>
      <c r="H857" s="2" t="inlineStr">
        <is>
          <t>01.01.01 : Mensalidade</t>
        </is>
      </c>
      <c r="I857" s="3" t="n">
        <v>100</v>
      </c>
      <c r="J857" s="2" t="n"/>
      <c r="K857" s="2">
        <f>IF(H857="02.09 : Outras Saídas", IF(OR(ISNUMBER(SEARCH("CHEQUE COMPE SICREDI", F857)), ISNUMBER(SEARCH("aniversario", F857)), ISNUMBER(SEARCH("churrasco", F857)), ISNUMBER(SEARCH("bolo", F857)), ISNUMBER(SEARCH("SUPERMERCADO", F857))), "6.1 Despesas Administrativas (Pessoal)", IF(OR(ISNUMBER(SEARCH("DLKNET", F857)), ISNUMBER(SEARCH("TESTE", F857))), "6.1 Despesas Administrativas (Gerais)", IFERROR(VLOOKUP(H857, De_Para!A:B, 2, FALSE), "NÃO MAPEADO"))), IFERROR(VLOOKUP(H857, De_Para!A:B, 2, FALSE), "NÃO MAPEADO"))</f>
        <v/>
      </c>
    </row>
    <row r="858">
      <c r="A858" s="2" t="inlineStr">
        <is>
          <t>68829</t>
        </is>
      </c>
      <c r="B858" s="2" t="inlineStr">
        <is>
          <t>Sicoob</t>
        </is>
      </c>
      <c r="C858" s="2" t="inlineStr">
        <is>
          <t>15/06/2026</t>
        </is>
      </c>
      <c r="D858" s="2" t="inlineStr">
        <is>
          <t>15/06/2026</t>
        </is>
      </c>
      <c r="E858" s="2" t="inlineStr">
        <is>
          <t>Dinheiro</t>
        </is>
      </c>
      <c r="F858" s="2" t="inlineStr">
        <is>
          <t>Boleto "58398" do cliente "PAULINO DE SOUZA PADILHA"</t>
        </is>
      </c>
      <c r="G858" s="2" t="inlineStr">
        <is>
          <t>system</t>
        </is>
      </c>
      <c r="H858" s="2" t="inlineStr">
        <is>
          <t>02.03.02.01 : Cobrança Bancaria</t>
        </is>
      </c>
      <c r="I858" s="2" t="n"/>
      <c r="J858" s="3" t="n">
        <v>-0.88</v>
      </c>
      <c r="K858" s="2">
        <f>IF(H858="02.09 : Outras Saídas", IF(OR(ISNUMBER(SEARCH("CHEQUE COMPE SICREDI", F858)), ISNUMBER(SEARCH("aniversario", F858)), ISNUMBER(SEARCH("churrasco", F858)), ISNUMBER(SEARCH("bolo", F858)), ISNUMBER(SEARCH("SUPERMERCADO", F858))), "6.1 Despesas Administrativas (Pessoal)", IF(OR(ISNUMBER(SEARCH("DLKNET", F858)), ISNUMBER(SEARCH("TESTE", F858))), "6.1 Despesas Administrativas (Gerais)", IFERROR(VLOOKUP(H858, De_Para!A:B, 2, FALSE), "NÃO MAPEADO"))), IFERROR(VLOOKUP(H858, De_Para!A:B, 2, FALSE), "NÃO MAPEADO"))</f>
        <v/>
      </c>
    </row>
    <row r="859">
      <c r="A859" s="2" t="inlineStr">
        <is>
          <t>68828</t>
        </is>
      </c>
      <c r="B859" s="2" t="inlineStr">
        <is>
          <t>Sicoob</t>
        </is>
      </c>
      <c r="C859" s="2" t="inlineStr">
        <is>
          <t>15/06/2026</t>
        </is>
      </c>
      <c r="D859" s="2" t="inlineStr">
        <is>
          <t>15/06/2026</t>
        </is>
      </c>
      <c r="E859" s="2" t="inlineStr">
        <is>
          <t>Dinheiro</t>
        </is>
      </c>
      <c r="F859" s="2" t="inlineStr">
        <is>
          <t>Boleto "58398" do cliente "PAULINO DE SOUZA PADILHA"</t>
        </is>
      </c>
      <c r="G859" s="2" t="inlineStr">
        <is>
          <t>system</t>
        </is>
      </c>
      <c r="H859" s="2" t="inlineStr">
        <is>
          <t>01.03.01 : Mensalidade</t>
        </is>
      </c>
      <c r="I859" s="3" t="n">
        <v>105</v>
      </c>
      <c r="J859" s="2" t="n"/>
      <c r="K859" s="2">
        <f>IF(H859="02.09 : Outras Saídas", IF(OR(ISNUMBER(SEARCH("CHEQUE COMPE SICREDI", F859)), ISNUMBER(SEARCH("aniversario", F859)), ISNUMBER(SEARCH("churrasco", F859)), ISNUMBER(SEARCH("bolo", F859)), ISNUMBER(SEARCH("SUPERMERCADO", F859))), "6.1 Despesas Administrativas (Pessoal)", IF(OR(ISNUMBER(SEARCH("DLKNET", F859)), ISNUMBER(SEARCH("TESTE", F859))), "6.1 Despesas Administrativas (Gerais)", IFERROR(VLOOKUP(H859, De_Para!A:B, 2, FALSE), "NÃO MAPEADO"))), IFERROR(VLOOKUP(H859, De_Para!A:B, 2, FALSE), "NÃO MAPEADO"))</f>
        <v/>
      </c>
    </row>
    <row r="860">
      <c r="A860" s="2" t="inlineStr">
        <is>
          <t>68827</t>
        </is>
      </c>
      <c r="B860" s="2" t="inlineStr">
        <is>
          <t>Sicoob</t>
        </is>
      </c>
      <c r="C860" s="2" t="inlineStr">
        <is>
          <t>15/06/2026</t>
        </is>
      </c>
      <c r="D860" s="2" t="inlineStr">
        <is>
          <t>15/06/2026</t>
        </is>
      </c>
      <c r="E860" s="2" t="inlineStr">
        <is>
          <t>Dinheiro</t>
        </is>
      </c>
      <c r="F860" s="2" t="inlineStr">
        <is>
          <t>Boleto "57952" do cliente "EDILAINE DA SILVA MASSARO"</t>
        </is>
      </c>
      <c r="G860" s="2" t="inlineStr">
        <is>
          <t>system</t>
        </is>
      </c>
      <c r="H860" s="2" t="inlineStr">
        <is>
          <t>02.03.02.01 : Cobrança Bancaria</t>
        </is>
      </c>
      <c r="I860" s="2" t="n"/>
      <c r="J860" s="3" t="n">
        <v>-0.88</v>
      </c>
      <c r="K860" s="2">
        <f>IF(H860="02.09 : Outras Saídas", IF(OR(ISNUMBER(SEARCH("CHEQUE COMPE SICREDI", F860)), ISNUMBER(SEARCH("aniversario", F860)), ISNUMBER(SEARCH("churrasco", F860)), ISNUMBER(SEARCH("bolo", F860)), ISNUMBER(SEARCH("SUPERMERCADO", F860))), "6.1 Despesas Administrativas (Pessoal)", IF(OR(ISNUMBER(SEARCH("DLKNET", F860)), ISNUMBER(SEARCH("TESTE", F860))), "6.1 Despesas Administrativas (Gerais)", IFERROR(VLOOKUP(H860, De_Para!A:B, 2, FALSE), "NÃO MAPEADO"))), IFERROR(VLOOKUP(H860, De_Para!A:B, 2, FALSE), "NÃO MAPEADO"))</f>
        <v/>
      </c>
    </row>
    <row r="861">
      <c r="A861" s="2" t="inlineStr">
        <is>
          <t>68826</t>
        </is>
      </c>
      <c r="B861" s="2" t="inlineStr">
        <is>
          <t>Sicoob</t>
        </is>
      </c>
      <c r="C861" s="2" t="inlineStr">
        <is>
          <t>15/06/2026</t>
        </is>
      </c>
      <c r="D861" s="2" t="inlineStr">
        <is>
          <t>15/06/2026</t>
        </is>
      </c>
      <c r="E861" s="2" t="inlineStr">
        <is>
          <t>Dinheiro</t>
        </is>
      </c>
      <c r="F861" s="2" t="inlineStr">
        <is>
          <t>Boleto "57952" do cliente "EDILAINE DA SILVA MASSARO"</t>
        </is>
      </c>
      <c r="G861" s="2" t="inlineStr">
        <is>
          <t>system</t>
        </is>
      </c>
      <c r="H861" s="2" t="inlineStr">
        <is>
          <t>01.01.01 : Mensalidade</t>
        </is>
      </c>
      <c r="I861" s="3" t="n">
        <v>107.2</v>
      </c>
      <c r="J861" s="2" t="n"/>
      <c r="K861" s="2">
        <f>IF(H861="02.09 : Outras Saídas", IF(OR(ISNUMBER(SEARCH("CHEQUE COMPE SICREDI", F861)), ISNUMBER(SEARCH("aniversario", F861)), ISNUMBER(SEARCH("churrasco", F861)), ISNUMBER(SEARCH("bolo", F861)), ISNUMBER(SEARCH("SUPERMERCADO", F861))), "6.1 Despesas Administrativas (Pessoal)", IF(OR(ISNUMBER(SEARCH("DLKNET", F861)), ISNUMBER(SEARCH("TESTE", F861))), "6.1 Despesas Administrativas (Gerais)", IFERROR(VLOOKUP(H861, De_Para!A:B, 2, FALSE), "NÃO MAPEADO"))), IFERROR(VLOOKUP(H861, De_Para!A:B, 2, FALSE), "NÃO MAPEADO"))</f>
        <v/>
      </c>
    </row>
    <row r="862">
      <c r="A862" s="2" t="inlineStr">
        <is>
          <t>68825</t>
        </is>
      </c>
      <c r="B862" s="2" t="inlineStr">
        <is>
          <t>Sicoob</t>
        </is>
      </c>
      <c r="C862" s="2" t="inlineStr">
        <is>
          <t>15/06/2026</t>
        </is>
      </c>
      <c r="D862" s="2" t="inlineStr">
        <is>
          <t>15/06/2026</t>
        </is>
      </c>
      <c r="E862" s="2" t="inlineStr">
        <is>
          <t>Dinheiro</t>
        </is>
      </c>
      <c r="F862" s="2" t="inlineStr">
        <is>
          <t>Boleto "57942" do cliente "PEDRO MAJOR"</t>
        </is>
      </c>
      <c r="G862" s="2" t="inlineStr">
        <is>
          <t>system</t>
        </is>
      </c>
      <c r="H862" s="2" t="inlineStr">
        <is>
          <t>02.03.02.01 : Cobrança Bancaria</t>
        </is>
      </c>
      <c r="I862" s="2" t="n"/>
      <c r="J862" s="3" t="n">
        <v>-0.88</v>
      </c>
      <c r="K862" s="2">
        <f>IF(H862="02.09 : Outras Saídas", IF(OR(ISNUMBER(SEARCH("CHEQUE COMPE SICREDI", F862)), ISNUMBER(SEARCH("aniversario", F862)), ISNUMBER(SEARCH("churrasco", F862)), ISNUMBER(SEARCH("bolo", F862)), ISNUMBER(SEARCH("SUPERMERCADO", F862))), "6.1 Despesas Administrativas (Pessoal)", IF(OR(ISNUMBER(SEARCH("DLKNET", F862)), ISNUMBER(SEARCH("TESTE", F862))), "6.1 Despesas Administrativas (Gerais)", IFERROR(VLOOKUP(H862, De_Para!A:B, 2, FALSE), "NÃO MAPEADO"))), IFERROR(VLOOKUP(H862, De_Para!A:B, 2, FALSE), "NÃO MAPEADO"))</f>
        <v/>
      </c>
    </row>
    <row r="863">
      <c r="A863" s="2" t="inlineStr">
        <is>
          <t>68824</t>
        </is>
      </c>
      <c r="B863" s="2" t="inlineStr">
        <is>
          <t>Sicoob</t>
        </is>
      </c>
      <c r="C863" s="2" t="inlineStr">
        <is>
          <t>15/06/2026</t>
        </is>
      </c>
      <c r="D863" s="2" t="inlineStr">
        <is>
          <t>15/06/2026</t>
        </is>
      </c>
      <c r="E863" s="2" t="inlineStr">
        <is>
          <t>Dinheiro</t>
        </is>
      </c>
      <c r="F863" s="2" t="inlineStr">
        <is>
          <t>Boleto "57942" do cliente "PEDRO MAJOR"</t>
        </is>
      </c>
      <c r="G863" s="2" t="inlineStr">
        <is>
          <t>system</t>
        </is>
      </c>
      <c r="H863" s="2" t="inlineStr">
        <is>
          <t>01.03.01 : Mensalidade</t>
        </is>
      </c>
      <c r="I863" s="3" t="n">
        <v>105</v>
      </c>
      <c r="J863" s="2" t="n"/>
      <c r="K863" s="2">
        <f>IF(H863="02.09 : Outras Saídas", IF(OR(ISNUMBER(SEARCH("CHEQUE COMPE SICREDI", F863)), ISNUMBER(SEARCH("aniversario", F863)), ISNUMBER(SEARCH("churrasco", F863)), ISNUMBER(SEARCH("bolo", F863)), ISNUMBER(SEARCH("SUPERMERCADO", F863))), "6.1 Despesas Administrativas (Pessoal)", IF(OR(ISNUMBER(SEARCH("DLKNET", F863)), ISNUMBER(SEARCH("TESTE", F863))), "6.1 Despesas Administrativas (Gerais)", IFERROR(VLOOKUP(H863, De_Para!A:B, 2, FALSE), "NÃO MAPEADO"))), IFERROR(VLOOKUP(H863, De_Para!A:B, 2, FALSE), "NÃO MAPEADO"))</f>
        <v/>
      </c>
    </row>
    <row r="864">
      <c r="A864" s="2" t="inlineStr">
        <is>
          <t>68823</t>
        </is>
      </c>
      <c r="B864" s="2" t="inlineStr">
        <is>
          <t>Sicoob</t>
        </is>
      </c>
      <c r="C864" s="2" t="inlineStr">
        <is>
          <t>15/06/2026</t>
        </is>
      </c>
      <c r="D864" s="2" t="inlineStr">
        <is>
          <t>15/06/2026</t>
        </is>
      </c>
      <c r="E864" s="2" t="inlineStr">
        <is>
          <t>Dinheiro</t>
        </is>
      </c>
      <c r="F864" s="2" t="inlineStr">
        <is>
          <t>Boleto "57824" do cliente "ANTÔNIO PRONKO"</t>
        </is>
      </c>
      <c r="G864" s="2" t="inlineStr">
        <is>
          <t>system</t>
        </is>
      </c>
      <c r="H864" s="2" t="inlineStr">
        <is>
          <t>02.03.02.01 : Cobrança Bancaria</t>
        </is>
      </c>
      <c r="I864" s="2" t="n"/>
      <c r="J864" s="3" t="n">
        <v>-0.88</v>
      </c>
      <c r="K864" s="2">
        <f>IF(H864="02.09 : Outras Saídas", IF(OR(ISNUMBER(SEARCH("CHEQUE COMPE SICREDI", F864)), ISNUMBER(SEARCH("aniversario", F864)), ISNUMBER(SEARCH("churrasco", F864)), ISNUMBER(SEARCH("bolo", F864)), ISNUMBER(SEARCH("SUPERMERCADO", F864))), "6.1 Despesas Administrativas (Pessoal)", IF(OR(ISNUMBER(SEARCH("DLKNET", F864)), ISNUMBER(SEARCH("TESTE", F864))), "6.1 Despesas Administrativas (Gerais)", IFERROR(VLOOKUP(H864, De_Para!A:B, 2, FALSE), "NÃO MAPEADO"))), IFERROR(VLOOKUP(H864, De_Para!A:B, 2, FALSE), "NÃO MAPEADO"))</f>
        <v/>
      </c>
    </row>
    <row r="865">
      <c r="A865" s="2" t="inlineStr">
        <is>
          <t>68822</t>
        </is>
      </c>
      <c r="B865" s="2" t="inlineStr">
        <is>
          <t>Sicoob</t>
        </is>
      </c>
      <c r="C865" s="2" t="inlineStr">
        <is>
          <t>15/06/2026</t>
        </is>
      </c>
      <c r="D865" s="2" t="inlineStr">
        <is>
          <t>15/06/2026</t>
        </is>
      </c>
      <c r="E865" s="2" t="inlineStr">
        <is>
          <t>Dinheiro</t>
        </is>
      </c>
      <c r="F865" s="2" t="inlineStr">
        <is>
          <t>Boleto "57824" do cliente "ANTÔNIO PRONKO"</t>
        </is>
      </c>
      <c r="G865" s="2" t="inlineStr">
        <is>
          <t>system</t>
        </is>
      </c>
      <c r="H865" s="2" t="inlineStr">
        <is>
          <t>01.01.01 : Mensalidade</t>
        </is>
      </c>
      <c r="I865" s="3" t="n">
        <v>107.27</v>
      </c>
      <c r="J865" s="2" t="n"/>
      <c r="K865" s="2">
        <f>IF(H865="02.09 : Outras Saídas", IF(OR(ISNUMBER(SEARCH("CHEQUE COMPE SICREDI", F865)), ISNUMBER(SEARCH("aniversario", F865)), ISNUMBER(SEARCH("churrasco", F865)), ISNUMBER(SEARCH("bolo", F865)), ISNUMBER(SEARCH("SUPERMERCADO", F865))), "6.1 Despesas Administrativas (Pessoal)", IF(OR(ISNUMBER(SEARCH("DLKNET", F865)), ISNUMBER(SEARCH("TESTE", F865))), "6.1 Despesas Administrativas (Gerais)", IFERROR(VLOOKUP(H865, De_Para!A:B, 2, FALSE), "NÃO MAPEADO"))), IFERROR(VLOOKUP(H865, De_Para!A:B, 2, FALSE), "NÃO MAPEADO"))</f>
        <v/>
      </c>
    </row>
    <row r="866">
      <c r="A866" s="2" t="inlineStr">
        <is>
          <t>68821</t>
        </is>
      </c>
      <c r="B866" s="2" t="inlineStr">
        <is>
          <t>Sicoob</t>
        </is>
      </c>
      <c r="C866" s="2" t="inlineStr">
        <is>
          <t>15/06/2026</t>
        </is>
      </c>
      <c r="D866" s="2" t="inlineStr">
        <is>
          <t>15/06/2026</t>
        </is>
      </c>
      <c r="E866" s="2" t="inlineStr">
        <is>
          <t>Dinheiro</t>
        </is>
      </c>
      <c r="F866" s="2" t="inlineStr">
        <is>
          <t>Boleto "57502" do cliente "ELSES MENDES DO NASCIMENTO"</t>
        </is>
      </c>
      <c r="G866" s="2" t="inlineStr">
        <is>
          <t>system</t>
        </is>
      </c>
      <c r="H866" s="2" t="inlineStr">
        <is>
          <t>02.03.02.01 : Cobrança Bancaria</t>
        </is>
      </c>
      <c r="I866" s="2" t="n"/>
      <c r="J866" s="3" t="n">
        <v>-0.88</v>
      </c>
      <c r="K866" s="2">
        <f>IF(H866="02.09 : Outras Saídas", IF(OR(ISNUMBER(SEARCH("CHEQUE COMPE SICREDI", F866)), ISNUMBER(SEARCH("aniversario", F866)), ISNUMBER(SEARCH("churrasco", F866)), ISNUMBER(SEARCH("bolo", F866)), ISNUMBER(SEARCH("SUPERMERCADO", F866))), "6.1 Despesas Administrativas (Pessoal)", IF(OR(ISNUMBER(SEARCH("DLKNET", F866)), ISNUMBER(SEARCH("TESTE", F866))), "6.1 Despesas Administrativas (Gerais)", IFERROR(VLOOKUP(H866, De_Para!A:B, 2, FALSE), "NÃO MAPEADO"))), IFERROR(VLOOKUP(H866, De_Para!A:B, 2, FALSE), "NÃO MAPEADO"))</f>
        <v/>
      </c>
    </row>
    <row r="867">
      <c r="A867" s="2" t="inlineStr">
        <is>
          <t>68820</t>
        </is>
      </c>
      <c r="B867" s="2" t="inlineStr">
        <is>
          <t>Sicoob</t>
        </is>
      </c>
      <c r="C867" s="2" t="inlineStr">
        <is>
          <t>15/06/2026</t>
        </is>
      </c>
      <c r="D867" s="2" t="inlineStr">
        <is>
          <t>15/06/2026</t>
        </is>
      </c>
      <c r="E867" s="2" t="inlineStr">
        <is>
          <t>Dinheiro</t>
        </is>
      </c>
      <c r="F867" s="2" t="inlineStr">
        <is>
          <t>Boleto "57502" do cliente "ELSES MENDES DO NASCIMENTO"</t>
        </is>
      </c>
      <c r="G867" s="2" t="inlineStr">
        <is>
          <t>system</t>
        </is>
      </c>
      <c r="H867" s="2" t="inlineStr">
        <is>
          <t>01.01.01 : Mensalidade</t>
        </is>
      </c>
      <c r="I867" s="3" t="n">
        <v>107.27</v>
      </c>
      <c r="J867" s="2" t="n"/>
      <c r="K867" s="2">
        <f>IF(H867="02.09 : Outras Saídas", IF(OR(ISNUMBER(SEARCH("CHEQUE COMPE SICREDI", F867)), ISNUMBER(SEARCH("aniversario", F867)), ISNUMBER(SEARCH("churrasco", F867)), ISNUMBER(SEARCH("bolo", F867)), ISNUMBER(SEARCH("SUPERMERCADO", F867))), "6.1 Despesas Administrativas (Pessoal)", IF(OR(ISNUMBER(SEARCH("DLKNET", F867)), ISNUMBER(SEARCH("TESTE", F867))), "6.1 Despesas Administrativas (Gerais)", IFERROR(VLOOKUP(H867, De_Para!A:B, 2, FALSE), "NÃO MAPEADO"))), IFERROR(VLOOKUP(H867, De_Para!A:B, 2, FALSE), "NÃO MAPEADO"))</f>
        <v/>
      </c>
    </row>
    <row r="868">
      <c r="A868" s="2" t="inlineStr">
        <is>
          <t>68819</t>
        </is>
      </c>
      <c r="B868" s="2" t="inlineStr">
        <is>
          <t>Sicoob</t>
        </is>
      </c>
      <c r="C868" s="2" t="inlineStr">
        <is>
          <t>15/06/2026</t>
        </is>
      </c>
      <c r="D868" s="2" t="inlineStr">
        <is>
          <t>15/06/2026</t>
        </is>
      </c>
      <c r="E868" s="2" t="inlineStr">
        <is>
          <t>Dinheiro</t>
        </is>
      </c>
      <c r="F868" s="2" t="inlineStr">
        <is>
          <t>Boleto "57150" do cliente "JOSE ANACLETO BERARDO DA SILVA"</t>
        </is>
      </c>
      <c r="G868" s="2" t="inlineStr">
        <is>
          <t>system</t>
        </is>
      </c>
      <c r="H868" s="2" t="inlineStr">
        <is>
          <t>02.03.02.01 : Cobrança Bancaria</t>
        </is>
      </c>
      <c r="I868" s="2" t="n"/>
      <c r="J868" s="3" t="n">
        <v>-0.88</v>
      </c>
      <c r="K868" s="2">
        <f>IF(H868="02.09 : Outras Saídas", IF(OR(ISNUMBER(SEARCH("CHEQUE COMPE SICREDI", F868)), ISNUMBER(SEARCH("aniversario", F868)), ISNUMBER(SEARCH("churrasco", F868)), ISNUMBER(SEARCH("bolo", F868)), ISNUMBER(SEARCH("SUPERMERCADO", F868))), "6.1 Despesas Administrativas (Pessoal)", IF(OR(ISNUMBER(SEARCH("DLKNET", F868)), ISNUMBER(SEARCH("TESTE", F868))), "6.1 Despesas Administrativas (Gerais)", IFERROR(VLOOKUP(H868, De_Para!A:B, 2, FALSE), "NÃO MAPEADO"))), IFERROR(VLOOKUP(H868, De_Para!A:B, 2, FALSE), "NÃO MAPEADO"))</f>
        <v/>
      </c>
    </row>
    <row r="869">
      <c r="A869" s="2" t="inlineStr">
        <is>
          <t>68818</t>
        </is>
      </c>
      <c r="B869" s="2" t="inlineStr">
        <is>
          <t>Sicoob</t>
        </is>
      </c>
      <c r="C869" s="2" t="inlineStr">
        <is>
          <t>15/06/2026</t>
        </is>
      </c>
      <c r="D869" s="2" t="inlineStr">
        <is>
          <t>15/06/2026</t>
        </is>
      </c>
      <c r="E869" s="2" t="inlineStr">
        <is>
          <t>Dinheiro</t>
        </is>
      </c>
      <c r="F869" s="2" t="inlineStr">
        <is>
          <t>Boleto "57150" do cliente "JOSE ANACLETO BERARDO DA SILVA"</t>
        </is>
      </c>
      <c r="G869" s="2" t="inlineStr">
        <is>
          <t>system</t>
        </is>
      </c>
      <c r="H869" s="2" t="inlineStr">
        <is>
          <t>01.03.01 : Mensalidade</t>
        </is>
      </c>
      <c r="I869" s="3" t="n">
        <v>107.2</v>
      </c>
      <c r="J869" s="2" t="n"/>
      <c r="K869" s="2">
        <f>IF(H869="02.09 : Outras Saídas", IF(OR(ISNUMBER(SEARCH("CHEQUE COMPE SICREDI", F869)), ISNUMBER(SEARCH("aniversario", F869)), ISNUMBER(SEARCH("churrasco", F869)), ISNUMBER(SEARCH("bolo", F869)), ISNUMBER(SEARCH("SUPERMERCADO", F869))), "6.1 Despesas Administrativas (Pessoal)", IF(OR(ISNUMBER(SEARCH("DLKNET", F869)), ISNUMBER(SEARCH("TESTE", F869))), "6.1 Despesas Administrativas (Gerais)", IFERROR(VLOOKUP(H869, De_Para!A:B, 2, FALSE), "NÃO MAPEADO"))), IFERROR(VLOOKUP(H869, De_Para!A:B, 2, FALSE), "NÃO MAPEADO"))</f>
        <v/>
      </c>
    </row>
    <row r="870">
      <c r="A870" s="2" t="inlineStr">
        <is>
          <t>68817</t>
        </is>
      </c>
      <c r="B870" s="2" t="inlineStr">
        <is>
          <t>Sicoob</t>
        </is>
      </c>
      <c r="C870" s="2" t="inlineStr">
        <is>
          <t>15/06/2026</t>
        </is>
      </c>
      <c r="D870" s="2" t="inlineStr">
        <is>
          <t>15/06/2026</t>
        </is>
      </c>
      <c r="E870" s="2" t="inlineStr">
        <is>
          <t>Dinheiro</t>
        </is>
      </c>
      <c r="F870" s="2" t="inlineStr">
        <is>
          <t>Boleto "56199" do cliente "ANTONIO MARIA FILHO"</t>
        </is>
      </c>
      <c r="G870" s="2" t="inlineStr">
        <is>
          <t>system</t>
        </is>
      </c>
      <c r="H870" s="2" t="inlineStr">
        <is>
          <t>02.03.02.01 : Cobrança Bancaria</t>
        </is>
      </c>
      <c r="I870" s="2" t="n"/>
      <c r="J870" s="3" t="n">
        <v>-0.88</v>
      </c>
      <c r="K870" s="2">
        <f>IF(H870="02.09 : Outras Saídas", IF(OR(ISNUMBER(SEARCH("CHEQUE COMPE SICREDI", F870)), ISNUMBER(SEARCH("aniversario", F870)), ISNUMBER(SEARCH("churrasco", F870)), ISNUMBER(SEARCH("bolo", F870)), ISNUMBER(SEARCH("SUPERMERCADO", F870))), "6.1 Despesas Administrativas (Pessoal)", IF(OR(ISNUMBER(SEARCH("DLKNET", F870)), ISNUMBER(SEARCH("TESTE", F870))), "6.1 Despesas Administrativas (Gerais)", IFERROR(VLOOKUP(H870, De_Para!A:B, 2, FALSE), "NÃO MAPEADO"))), IFERROR(VLOOKUP(H870, De_Para!A:B, 2, FALSE), "NÃO MAPEADO"))</f>
        <v/>
      </c>
    </row>
    <row r="871">
      <c r="A871" s="2" t="inlineStr">
        <is>
          <t>68816</t>
        </is>
      </c>
      <c r="B871" s="2" t="inlineStr">
        <is>
          <t>Sicoob</t>
        </is>
      </c>
      <c r="C871" s="2" t="inlineStr">
        <is>
          <t>15/06/2026</t>
        </is>
      </c>
      <c r="D871" s="2" t="inlineStr">
        <is>
          <t>15/06/2026</t>
        </is>
      </c>
      <c r="E871" s="2" t="inlineStr">
        <is>
          <t>Dinheiro</t>
        </is>
      </c>
      <c r="F871" s="2" t="inlineStr">
        <is>
          <t>Boleto "56199" do cliente "ANTONIO MARIA FILHO"</t>
        </is>
      </c>
      <c r="G871" s="2" t="inlineStr">
        <is>
          <t>system</t>
        </is>
      </c>
      <c r="H871" s="2" t="inlineStr">
        <is>
          <t>01.01.01 : Mensalidade</t>
        </is>
      </c>
      <c r="I871" s="3" t="n">
        <v>107.27</v>
      </c>
      <c r="J871" s="2" t="n"/>
      <c r="K871" s="2">
        <f>IF(H871="02.09 : Outras Saídas", IF(OR(ISNUMBER(SEARCH("CHEQUE COMPE SICREDI", F871)), ISNUMBER(SEARCH("aniversario", F871)), ISNUMBER(SEARCH("churrasco", F871)), ISNUMBER(SEARCH("bolo", F871)), ISNUMBER(SEARCH("SUPERMERCADO", F871))), "6.1 Despesas Administrativas (Pessoal)", IF(OR(ISNUMBER(SEARCH("DLKNET", F871)), ISNUMBER(SEARCH("TESTE", F871))), "6.1 Despesas Administrativas (Gerais)", IFERROR(VLOOKUP(H871, De_Para!A:B, 2, FALSE), "NÃO MAPEADO"))), IFERROR(VLOOKUP(H871, De_Para!A:B, 2, FALSE), "NÃO MAPEADO"))</f>
        <v/>
      </c>
    </row>
    <row r="872">
      <c r="A872" s="2" t="inlineStr">
        <is>
          <t>68815</t>
        </is>
      </c>
      <c r="B872" s="2" t="inlineStr">
        <is>
          <t>Sicoob</t>
        </is>
      </c>
      <c r="C872" s="2" t="inlineStr">
        <is>
          <t>15/06/2026</t>
        </is>
      </c>
      <c r="D872" s="2" t="inlineStr">
        <is>
          <t>15/06/2026</t>
        </is>
      </c>
      <c r="E872" s="2" t="inlineStr">
        <is>
          <t>Dinheiro</t>
        </is>
      </c>
      <c r="F872" s="2" t="inlineStr">
        <is>
          <t>Boleto "55684" do cliente "ELIELSON VIEIRA DO NASCIMENTO"</t>
        </is>
      </c>
      <c r="G872" s="2" t="inlineStr">
        <is>
          <t>system</t>
        </is>
      </c>
      <c r="H872" s="2" t="inlineStr">
        <is>
          <t>02.03.02.01 : Cobrança Bancaria</t>
        </is>
      </c>
      <c r="I872" s="2" t="n"/>
      <c r="J872" s="3" t="n">
        <v>-0.88</v>
      </c>
      <c r="K872" s="2">
        <f>IF(H872="02.09 : Outras Saídas", IF(OR(ISNUMBER(SEARCH("CHEQUE COMPE SICREDI", F872)), ISNUMBER(SEARCH("aniversario", F872)), ISNUMBER(SEARCH("churrasco", F872)), ISNUMBER(SEARCH("bolo", F872)), ISNUMBER(SEARCH("SUPERMERCADO", F872))), "6.1 Despesas Administrativas (Pessoal)", IF(OR(ISNUMBER(SEARCH("DLKNET", F872)), ISNUMBER(SEARCH("TESTE", F872))), "6.1 Despesas Administrativas (Gerais)", IFERROR(VLOOKUP(H872, De_Para!A:B, 2, FALSE), "NÃO MAPEADO"))), IFERROR(VLOOKUP(H872, De_Para!A:B, 2, FALSE), "NÃO MAPEADO"))</f>
        <v/>
      </c>
    </row>
    <row r="873">
      <c r="A873" s="2" t="inlineStr">
        <is>
          <t>68814</t>
        </is>
      </c>
      <c r="B873" s="2" t="inlineStr">
        <is>
          <t>Sicoob</t>
        </is>
      </c>
      <c r="C873" s="2" t="inlineStr">
        <is>
          <t>15/06/2026</t>
        </is>
      </c>
      <c r="D873" s="2" t="inlineStr">
        <is>
          <t>15/06/2026</t>
        </is>
      </c>
      <c r="E873" s="2" t="inlineStr">
        <is>
          <t>Dinheiro</t>
        </is>
      </c>
      <c r="F873" s="2" t="inlineStr">
        <is>
          <t>Boleto "55684" do cliente "ELIELSON VIEIRA DO NASCIMENTO"</t>
        </is>
      </c>
      <c r="G873" s="2" t="inlineStr">
        <is>
          <t>system</t>
        </is>
      </c>
      <c r="H873" s="2" t="inlineStr">
        <is>
          <t>01.01.01 : Mensalidade</t>
        </is>
      </c>
      <c r="I873" s="3" t="n">
        <v>102.1</v>
      </c>
      <c r="J873" s="2" t="n"/>
      <c r="K873" s="2">
        <f>IF(H873="02.09 : Outras Saídas", IF(OR(ISNUMBER(SEARCH("CHEQUE COMPE SICREDI", F873)), ISNUMBER(SEARCH("aniversario", F873)), ISNUMBER(SEARCH("churrasco", F873)), ISNUMBER(SEARCH("bolo", F873)), ISNUMBER(SEARCH("SUPERMERCADO", F873))), "6.1 Despesas Administrativas (Pessoal)", IF(OR(ISNUMBER(SEARCH("DLKNET", F873)), ISNUMBER(SEARCH("TESTE", F873))), "6.1 Despesas Administrativas (Gerais)", IFERROR(VLOOKUP(H873, De_Para!A:B, 2, FALSE), "NÃO MAPEADO"))), IFERROR(VLOOKUP(H873, De_Para!A:B, 2, FALSE), "NÃO MAPEADO"))</f>
        <v/>
      </c>
    </row>
    <row r="874">
      <c r="A874" s="2" t="inlineStr">
        <is>
          <t>68813</t>
        </is>
      </c>
      <c r="B874" s="2" t="inlineStr">
        <is>
          <t>Sicoob</t>
        </is>
      </c>
      <c r="C874" s="2" t="inlineStr">
        <is>
          <t>15/06/2026</t>
        </is>
      </c>
      <c r="D874" s="2" t="inlineStr">
        <is>
          <t>15/06/2026</t>
        </is>
      </c>
      <c r="E874" s="2" t="inlineStr">
        <is>
          <t>Dinheiro</t>
        </is>
      </c>
      <c r="F874" s="2" t="inlineStr">
        <is>
          <t>Boleto "53996" do cliente "LILIAN TELLES DA COSTA"</t>
        </is>
      </c>
      <c r="G874" s="2" t="inlineStr">
        <is>
          <t>system</t>
        </is>
      </c>
      <c r="H874" s="2" t="inlineStr">
        <is>
          <t>02.03.02.01 : Cobrança Bancaria</t>
        </is>
      </c>
      <c r="I874" s="2" t="n"/>
      <c r="J874" s="3" t="n">
        <v>-0.88</v>
      </c>
      <c r="K874" s="2">
        <f>IF(H874="02.09 : Outras Saídas", IF(OR(ISNUMBER(SEARCH("CHEQUE COMPE SICREDI", F874)), ISNUMBER(SEARCH("aniversario", F874)), ISNUMBER(SEARCH("churrasco", F874)), ISNUMBER(SEARCH("bolo", F874)), ISNUMBER(SEARCH("SUPERMERCADO", F874))), "6.1 Despesas Administrativas (Pessoal)", IF(OR(ISNUMBER(SEARCH("DLKNET", F874)), ISNUMBER(SEARCH("TESTE", F874))), "6.1 Despesas Administrativas (Gerais)", IFERROR(VLOOKUP(H874, De_Para!A:B, 2, FALSE), "NÃO MAPEADO"))), IFERROR(VLOOKUP(H874, De_Para!A:B, 2, FALSE), "NÃO MAPEADO"))</f>
        <v/>
      </c>
    </row>
    <row r="875">
      <c r="A875" s="2" t="inlineStr">
        <is>
          <t>68812</t>
        </is>
      </c>
      <c r="B875" s="2" t="inlineStr">
        <is>
          <t>Sicoob</t>
        </is>
      </c>
      <c r="C875" s="2" t="inlineStr">
        <is>
          <t>15/06/2026</t>
        </is>
      </c>
      <c r="D875" s="2" t="inlineStr">
        <is>
          <t>15/06/2026</t>
        </is>
      </c>
      <c r="E875" s="2" t="inlineStr">
        <is>
          <t>Dinheiro</t>
        </is>
      </c>
      <c r="F875" s="2" t="inlineStr">
        <is>
          <t>Boleto "53996" do cliente "LILIAN TELLES DA COSTA"</t>
        </is>
      </c>
      <c r="G875" s="2" t="inlineStr">
        <is>
          <t>system</t>
        </is>
      </c>
      <c r="H875" s="2" t="inlineStr">
        <is>
          <t>01.03.01 : Mensalidade</t>
        </is>
      </c>
      <c r="I875" s="3" t="n">
        <v>107.2</v>
      </c>
      <c r="J875" s="2" t="n"/>
      <c r="K875" s="2">
        <f>IF(H875="02.09 : Outras Saídas", IF(OR(ISNUMBER(SEARCH("CHEQUE COMPE SICREDI", F875)), ISNUMBER(SEARCH("aniversario", F875)), ISNUMBER(SEARCH("churrasco", F875)), ISNUMBER(SEARCH("bolo", F875)), ISNUMBER(SEARCH("SUPERMERCADO", F875))), "6.1 Despesas Administrativas (Pessoal)", IF(OR(ISNUMBER(SEARCH("DLKNET", F875)), ISNUMBER(SEARCH("TESTE", F875))), "6.1 Despesas Administrativas (Gerais)", IFERROR(VLOOKUP(H875, De_Para!A:B, 2, FALSE), "NÃO MAPEADO"))), IFERROR(VLOOKUP(H875, De_Para!A:B, 2, FALSE), "NÃO MAPEADO"))</f>
        <v/>
      </c>
    </row>
    <row r="876">
      <c r="A876" s="2" t="inlineStr">
        <is>
          <t>68811</t>
        </is>
      </c>
      <c r="B876" s="2" t="inlineStr">
        <is>
          <t>Sicoob</t>
        </is>
      </c>
      <c r="C876" s="2" t="inlineStr">
        <is>
          <t>15/06/2026</t>
        </is>
      </c>
      <c r="D876" s="2" t="inlineStr">
        <is>
          <t>15/06/2026</t>
        </is>
      </c>
      <c r="E876" s="2" t="inlineStr">
        <is>
          <t>Dinheiro</t>
        </is>
      </c>
      <c r="F876" s="2" t="inlineStr">
        <is>
          <t>Boleto "67118" do cliente "MARCIO PADUA DE SOUSA"</t>
        </is>
      </c>
      <c r="G876" s="2" t="inlineStr">
        <is>
          <t>system</t>
        </is>
      </c>
      <c r="H876" s="2" t="inlineStr">
        <is>
          <t>02.03.02.01 : Cobrança Bancaria</t>
        </is>
      </c>
      <c r="I876" s="2" t="n"/>
      <c r="J876" s="3" t="n">
        <v>-0.88</v>
      </c>
      <c r="K876" s="2">
        <f>IF(H876="02.09 : Outras Saídas", IF(OR(ISNUMBER(SEARCH("CHEQUE COMPE SICREDI", F876)), ISNUMBER(SEARCH("aniversario", F876)), ISNUMBER(SEARCH("churrasco", F876)), ISNUMBER(SEARCH("bolo", F876)), ISNUMBER(SEARCH("SUPERMERCADO", F876))), "6.1 Despesas Administrativas (Pessoal)", IF(OR(ISNUMBER(SEARCH("DLKNET", F876)), ISNUMBER(SEARCH("TESTE", F876))), "6.1 Despesas Administrativas (Gerais)", IFERROR(VLOOKUP(H876, De_Para!A:B, 2, FALSE), "NÃO MAPEADO"))), IFERROR(VLOOKUP(H876, De_Para!A:B, 2, FALSE), "NÃO MAPEADO"))</f>
        <v/>
      </c>
    </row>
    <row r="877">
      <c r="A877" s="2" t="inlineStr">
        <is>
          <t>68810</t>
        </is>
      </c>
      <c r="B877" s="2" t="inlineStr">
        <is>
          <t>Sicoob</t>
        </is>
      </c>
      <c r="C877" s="2" t="inlineStr">
        <is>
          <t>15/06/2026</t>
        </is>
      </c>
      <c r="D877" s="2" t="inlineStr">
        <is>
          <t>15/06/2026</t>
        </is>
      </c>
      <c r="E877" s="2" t="inlineStr">
        <is>
          <t>Dinheiro</t>
        </is>
      </c>
      <c r="F877" s="2" t="inlineStr">
        <is>
          <t>Boleto "67118" do cliente "MARCIO PADUA DE SOUSA"</t>
        </is>
      </c>
      <c r="G877" s="2" t="inlineStr">
        <is>
          <t>system</t>
        </is>
      </c>
      <c r="H877" s="2" t="inlineStr">
        <is>
          <t>01.01.01 : Mensalidade</t>
        </is>
      </c>
      <c r="I877" s="3" t="n">
        <v>109.9</v>
      </c>
      <c r="J877" s="2" t="n"/>
      <c r="K877" s="2">
        <f>IF(H877="02.09 : Outras Saídas", IF(OR(ISNUMBER(SEARCH("CHEQUE COMPE SICREDI", F877)), ISNUMBER(SEARCH("aniversario", F877)), ISNUMBER(SEARCH("churrasco", F877)), ISNUMBER(SEARCH("bolo", F877)), ISNUMBER(SEARCH("SUPERMERCADO", F877))), "6.1 Despesas Administrativas (Pessoal)", IF(OR(ISNUMBER(SEARCH("DLKNET", F877)), ISNUMBER(SEARCH("TESTE", F877))), "6.1 Despesas Administrativas (Gerais)", IFERROR(VLOOKUP(H877, De_Para!A:B, 2, FALSE), "NÃO MAPEADO"))), IFERROR(VLOOKUP(H877, De_Para!A:B, 2, FALSE), "NÃO MAPEADO"))</f>
        <v/>
      </c>
    </row>
    <row r="878">
      <c r="A878" s="2" t="inlineStr">
        <is>
          <t>68809</t>
        </is>
      </c>
      <c r="B878" s="2" t="inlineStr">
        <is>
          <t>Sicoob</t>
        </is>
      </c>
      <c r="C878" s="2" t="inlineStr">
        <is>
          <t>15/06/2026</t>
        </is>
      </c>
      <c r="D878" s="2" t="inlineStr">
        <is>
          <t>15/06/2026</t>
        </is>
      </c>
      <c r="E878" s="2" t="inlineStr">
        <is>
          <t>Dinheiro</t>
        </is>
      </c>
      <c r="F878" s="2" t="inlineStr">
        <is>
          <t>Boleto "66961" do cliente "RENATA DE SOUZA DA SILVA"</t>
        </is>
      </c>
      <c r="G878" s="2" t="inlineStr">
        <is>
          <t>system</t>
        </is>
      </c>
      <c r="H878" s="2" t="inlineStr">
        <is>
          <t>02.03.02.01 : Cobrança Bancaria</t>
        </is>
      </c>
      <c r="I878" s="2" t="n"/>
      <c r="J878" s="3" t="n">
        <v>-0.88</v>
      </c>
      <c r="K878" s="2">
        <f>IF(H878="02.09 : Outras Saídas", IF(OR(ISNUMBER(SEARCH("CHEQUE COMPE SICREDI", F878)), ISNUMBER(SEARCH("aniversario", F878)), ISNUMBER(SEARCH("churrasco", F878)), ISNUMBER(SEARCH("bolo", F878)), ISNUMBER(SEARCH("SUPERMERCADO", F878))), "6.1 Despesas Administrativas (Pessoal)", IF(OR(ISNUMBER(SEARCH("DLKNET", F878)), ISNUMBER(SEARCH("TESTE", F878))), "6.1 Despesas Administrativas (Gerais)", IFERROR(VLOOKUP(H878, De_Para!A:B, 2, FALSE), "NÃO MAPEADO"))), IFERROR(VLOOKUP(H878, De_Para!A:B, 2, FALSE), "NÃO MAPEADO"))</f>
        <v/>
      </c>
    </row>
    <row r="879">
      <c r="A879" s="2" t="inlineStr">
        <is>
          <t>68808</t>
        </is>
      </c>
      <c r="B879" s="2" t="inlineStr">
        <is>
          <t>Sicoob</t>
        </is>
      </c>
      <c r="C879" s="2" t="inlineStr">
        <is>
          <t>15/06/2026</t>
        </is>
      </c>
      <c r="D879" s="2" t="inlineStr">
        <is>
          <t>15/06/2026</t>
        </is>
      </c>
      <c r="E879" s="2" t="inlineStr">
        <is>
          <t>Dinheiro</t>
        </is>
      </c>
      <c r="F879" s="2" t="inlineStr">
        <is>
          <t>Boleto "66961" do cliente "RENATA DE SOUZA DA SILVA"</t>
        </is>
      </c>
      <c r="G879" s="2" t="inlineStr">
        <is>
          <t>system</t>
        </is>
      </c>
      <c r="H879" s="2" t="inlineStr">
        <is>
          <t>01.01.01 : Mensalidade</t>
        </is>
      </c>
      <c r="I879" s="3" t="n">
        <v>102.16</v>
      </c>
      <c r="J879" s="2" t="n"/>
      <c r="K879" s="2">
        <f>IF(H879="02.09 : Outras Saídas", IF(OR(ISNUMBER(SEARCH("CHEQUE COMPE SICREDI", F879)), ISNUMBER(SEARCH("aniversario", F879)), ISNUMBER(SEARCH("churrasco", F879)), ISNUMBER(SEARCH("bolo", F879)), ISNUMBER(SEARCH("SUPERMERCADO", F879))), "6.1 Despesas Administrativas (Pessoal)", IF(OR(ISNUMBER(SEARCH("DLKNET", F879)), ISNUMBER(SEARCH("TESTE", F879))), "6.1 Despesas Administrativas (Gerais)", IFERROR(VLOOKUP(H879, De_Para!A:B, 2, FALSE), "NÃO MAPEADO"))), IFERROR(VLOOKUP(H879, De_Para!A:B, 2, FALSE), "NÃO MAPEADO"))</f>
        <v/>
      </c>
    </row>
    <row r="880">
      <c r="A880" s="2" t="inlineStr">
        <is>
          <t>68807</t>
        </is>
      </c>
      <c r="B880" s="2" t="inlineStr">
        <is>
          <t>Sicoob</t>
        </is>
      </c>
      <c r="C880" s="2" t="inlineStr">
        <is>
          <t>15/06/2026</t>
        </is>
      </c>
      <c r="D880" s="2" t="inlineStr">
        <is>
          <t>15/06/2026</t>
        </is>
      </c>
      <c r="E880" s="2" t="inlineStr">
        <is>
          <t>Dinheiro</t>
        </is>
      </c>
      <c r="F880" s="2" t="inlineStr">
        <is>
          <t>Boleto "66767" do cliente "ROBERTO RODRIGUES VILAS BOAS"</t>
        </is>
      </c>
      <c r="G880" s="2" t="inlineStr">
        <is>
          <t>system</t>
        </is>
      </c>
      <c r="H880" s="2" t="inlineStr">
        <is>
          <t>02.03.02.01 : Cobrança Bancaria</t>
        </is>
      </c>
      <c r="I880" s="2" t="n"/>
      <c r="J880" s="3" t="n">
        <v>-0.88</v>
      </c>
      <c r="K880" s="2">
        <f>IF(H880="02.09 : Outras Saídas", IF(OR(ISNUMBER(SEARCH("CHEQUE COMPE SICREDI", F880)), ISNUMBER(SEARCH("aniversario", F880)), ISNUMBER(SEARCH("churrasco", F880)), ISNUMBER(SEARCH("bolo", F880)), ISNUMBER(SEARCH("SUPERMERCADO", F880))), "6.1 Despesas Administrativas (Pessoal)", IF(OR(ISNUMBER(SEARCH("DLKNET", F880)), ISNUMBER(SEARCH("TESTE", F880))), "6.1 Despesas Administrativas (Gerais)", IFERROR(VLOOKUP(H880, De_Para!A:B, 2, FALSE), "NÃO MAPEADO"))), IFERROR(VLOOKUP(H880, De_Para!A:B, 2, FALSE), "NÃO MAPEADO"))</f>
        <v/>
      </c>
    </row>
    <row r="881">
      <c r="A881" s="2" t="inlineStr">
        <is>
          <t>68806</t>
        </is>
      </c>
      <c r="B881" s="2" t="inlineStr">
        <is>
          <t>Sicoob</t>
        </is>
      </c>
      <c r="C881" s="2" t="inlineStr">
        <is>
          <t>15/06/2026</t>
        </is>
      </c>
      <c r="D881" s="2" t="inlineStr">
        <is>
          <t>15/06/2026</t>
        </is>
      </c>
      <c r="E881" s="2" t="inlineStr">
        <is>
          <t>Dinheiro</t>
        </is>
      </c>
      <c r="F881" s="2" t="inlineStr">
        <is>
          <t>Boleto "66767" do cliente "ROBERTO RODRIGUES VILAS BOAS"</t>
        </is>
      </c>
      <c r="G881" s="2" t="inlineStr">
        <is>
          <t>system</t>
        </is>
      </c>
      <c r="H881" s="2" t="inlineStr">
        <is>
          <t>01.01.01 : Mensalidade</t>
        </is>
      </c>
      <c r="I881" s="3" t="n">
        <v>104.9</v>
      </c>
      <c r="J881" s="2" t="n"/>
      <c r="K881" s="2">
        <f>IF(H881="02.09 : Outras Saídas", IF(OR(ISNUMBER(SEARCH("CHEQUE COMPE SICREDI", F881)), ISNUMBER(SEARCH("aniversario", F881)), ISNUMBER(SEARCH("churrasco", F881)), ISNUMBER(SEARCH("bolo", F881)), ISNUMBER(SEARCH("SUPERMERCADO", F881))), "6.1 Despesas Administrativas (Pessoal)", IF(OR(ISNUMBER(SEARCH("DLKNET", F881)), ISNUMBER(SEARCH("TESTE", F881))), "6.1 Despesas Administrativas (Gerais)", IFERROR(VLOOKUP(H881, De_Para!A:B, 2, FALSE), "NÃO MAPEADO"))), IFERROR(VLOOKUP(H881, De_Para!A:B, 2, FALSE), "NÃO MAPEADO"))</f>
        <v/>
      </c>
    </row>
    <row r="882">
      <c r="A882" s="2" t="inlineStr">
        <is>
          <t>68805</t>
        </is>
      </c>
      <c r="B882" s="2" t="inlineStr">
        <is>
          <t>Sicoob</t>
        </is>
      </c>
      <c r="C882" s="2" t="inlineStr">
        <is>
          <t>15/06/2026</t>
        </is>
      </c>
      <c r="D882" s="2" t="inlineStr">
        <is>
          <t>15/06/2026</t>
        </is>
      </c>
      <c r="E882" s="2" t="inlineStr">
        <is>
          <t>Dinheiro</t>
        </is>
      </c>
      <c r="F882" s="2" t="inlineStr">
        <is>
          <t>Boleto "66279" do cliente "ANGELICA SOUZA SILVA"</t>
        </is>
      </c>
      <c r="G882" s="2" t="inlineStr">
        <is>
          <t>system</t>
        </is>
      </c>
      <c r="H882" s="2" t="inlineStr">
        <is>
          <t>02.03.02.01 : Cobrança Bancaria</t>
        </is>
      </c>
      <c r="I882" s="2" t="n"/>
      <c r="J882" s="3" t="n">
        <v>-0.88</v>
      </c>
      <c r="K882" s="2">
        <f>IF(H882="02.09 : Outras Saídas", IF(OR(ISNUMBER(SEARCH("CHEQUE COMPE SICREDI", F882)), ISNUMBER(SEARCH("aniversario", F882)), ISNUMBER(SEARCH("churrasco", F882)), ISNUMBER(SEARCH("bolo", F882)), ISNUMBER(SEARCH("SUPERMERCADO", F882))), "6.1 Despesas Administrativas (Pessoal)", IF(OR(ISNUMBER(SEARCH("DLKNET", F882)), ISNUMBER(SEARCH("TESTE", F882))), "6.1 Despesas Administrativas (Gerais)", IFERROR(VLOOKUP(H882, De_Para!A:B, 2, FALSE), "NÃO MAPEADO"))), IFERROR(VLOOKUP(H882, De_Para!A:B, 2, FALSE), "NÃO MAPEADO"))</f>
        <v/>
      </c>
    </row>
    <row r="883">
      <c r="A883" s="2" t="inlineStr">
        <is>
          <t>68804</t>
        </is>
      </c>
      <c r="B883" s="2" t="inlineStr">
        <is>
          <t>Sicoob</t>
        </is>
      </c>
      <c r="C883" s="2" t="inlineStr">
        <is>
          <t>15/06/2026</t>
        </is>
      </c>
      <c r="D883" s="2" t="inlineStr">
        <is>
          <t>15/06/2026</t>
        </is>
      </c>
      <c r="E883" s="2" t="inlineStr">
        <is>
          <t>Dinheiro</t>
        </is>
      </c>
      <c r="F883" s="2" t="inlineStr">
        <is>
          <t>Boleto "66279" do cliente "ANGELICA SOUZA SILVA"</t>
        </is>
      </c>
      <c r="G883" s="2" t="inlineStr">
        <is>
          <t>system</t>
        </is>
      </c>
      <c r="H883" s="2" t="inlineStr">
        <is>
          <t>01.01.01 : Mensalidade</t>
        </is>
      </c>
      <c r="I883" s="3" t="n">
        <v>109.9</v>
      </c>
      <c r="J883" s="2" t="n"/>
      <c r="K883" s="2">
        <f>IF(H883="02.09 : Outras Saídas", IF(OR(ISNUMBER(SEARCH("CHEQUE COMPE SICREDI", F883)), ISNUMBER(SEARCH("aniversario", F883)), ISNUMBER(SEARCH("churrasco", F883)), ISNUMBER(SEARCH("bolo", F883)), ISNUMBER(SEARCH("SUPERMERCADO", F883))), "6.1 Despesas Administrativas (Pessoal)", IF(OR(ISNUMBER(SEARCH("DLKNET", F883)), ISNUMBER(SEARCH("TESTE", F883))), "6.1 Despesas Administrativas (Gerais)", IFERROR(VLOOKUP(H883, De_Para!A:B, 2, FALSE), "NÃO MAPEADO"))), IFERROR(VLOOKUP(H883, De_Para!A:B, 2, FALSE), "NÃO MAPEADO"))</f>
        <v/>
      </c>
    </row>
    <row r="884">
      <c r="A884" s="2" t="inlineStr">
        <is>
          <t>68803</t>
        </is>
      </c>
      <c r="B884" s="2" t="inlineStr">
        <is>
          <t>Sicoob</t>
        </is>
      </c>
      <c r="C884" s="2" t="inlineStr">
        <is>
          <t>15/06/2026</t>
        </is>
      </c>
      <c r="D884" s="2" t="inlineStr">
        <is>
          <t>15/06/2026</t>
        </is>
      </c>
      <c r="E884" s="2" t="inlineStr">
        <is>
          <t>Dinheiro</t>
        </is>
      </c>
      <c r="F884" s="2" t="inlineStr">
        <is>
          <t>Boleto "66221" do cliente "WAGNER ZANIT DA SILVA"</t>
        </is>
      </c>
      <c r="G884" s="2" t="inlineStr">
        <is>
          <t>system</t>
        </is>
      </c>
      <c r="H884" s="2" t="inlineStr">
        <is>
          <t>02.03.02.01 : Cobrança Bancaria</t>
        </is>
      </c>
      <c r="I884" s="2" t="n"/>
      <c r="J884" s="3" t="n">
        <v>-0.88</v>
      </c>
      <c r="K884" s="2">
        <f>IF(H884="02.09 : Outras Saídas", IF(OR(ISNUMBER(SEARCH("CHEQUE COMPE SICREDI", F884)), ISNUMBER(SEARCH("aniversario", F884)), ISNUMBER(SEARCH("churrasco", F884)), ISNUMBER(SEARCH("bolo", F884)), ISNUMBER(SEARCH("SUPERMERCADO", F884))), "6.1 Despesas Administrativas (Pessoal)", IF(OR(ISNUMBER(SEARCH("DLKNET", F884)), ISNUMBER(SEARCH("TESTE", F884))), "6.1 Despesas Administrativas (Gerais)", IFERROR(VLOOKUP(H884, De_Para!A:B, 2, FALSE), "NÃO MAPEADO"))), IFERROR(VLOOKUP(H884, De_Para!A:B, 2, FALSE), "NÃO MAPEADO"))</f>
        <v/>
      </c>
    </row>
    <row r="885">
      <c r="A885" s="2" t="inlineStr">
        <is>
          <t>68802</t>
        </is>
      </c>
      <c r="B885" s="2" t="inlineStr">
        <is>
          <t>Sicoob</t>
        </is>
      </c>
      <c r="C885" s="2" t="inlineStr">
        <is>
          <t>15/06/2026</t>
        </is>
      </c>
      <c r="D885" s="2" t="inlineStr">
        <is>
          <t>15/06/2026</t>
        </is>
      </c>
      <c r="E885" s="2" t="inlineStr">
        <is>
          <t>Dinheiro</t>
        </is>
      </c>
      <c r="F885" s="2" t="inlineStr">
        <is>
          <t>Boleto "66221" do cliente "WAGNER ZANIT DA SILVA"</t>
        </is>
      </c>
      <c r="G885" s="2" t="inlineStr">
        <is>
          <t>system</t>
        </is>
      </c>
      <c r="H885" s="2" t="inlineStr">
        <is>
          <t>01.01.01 : Mensalidade</t>
        </is>
      </c>
      <c r="I885" s="3" t="n">
        <v>102.3</v>
      </c>
      <c r="J885" s="2" t="n"/>
      <c r="K885" s="2">
        <f>IF(H885="02.09 : Outras Saídas", IF(OR(ISNUMBER(SEARCH("CHEQUE COMPE SICREDI", F885)), ISNUMBER(SEARCH("aniversario", F885)), ISNUMBER(SEARCH("churrasco", F885)), ISNUMBER(SEARCH("bolo", F885)), ISNUMBER(SEARCH("SUPERMERCADO", F885))), "6.1 Despesas Administrativas (Pessoal)", IF(OR(ISNUMBER(SEARCH("DLKNET", F885)), ISNUMBER(SEARCH("TESTE", F885))), "6.1 Despesas Administrativas (Gerais)", IFERROR(VLOOKUP(H885, De_Para!A:B, 2, FALSE), "NÃO MAPEADO"))), IFERROR(VLOOKUP(H885, De_Para!A:B, 2, FALSE), "NÃO MAPEADO"))</f>
        <v/>
      </c>
    </row>
    <row r="886">
      <c r="A886" s="2" t="inlineStr">
        <is>
          <t>68801</t>
        </is>
      </c>
      <c r="B886" s="2" t="inlineStr">
        <is>
          <t>Sicoob</t>
        </is>
      </c>
      <c r="C886" s="2" t="inlineStr">
        <is>
          <t>15/06/2026</t>
        </is>
      </c>
      <c r="D886" s="2" t="inlineStr">
        <is>
          <t>15/06/2026</t>
        </is>
      </c>
      <c r="E886" s="2" t="inlineStr">
        <is>
          <t>Dinheiro</t>
        </is>
      </c>
      <c r="F886" s="2" t="inlineStr">
        <is>
          <t>Boleto "66027" do cliente "DALVINO JOSÉ DA CRUZ"</t>
        </is>
      </c>
      <c r="G886" s="2" t="inlineStr">
        <is>
          <t>system</t>
        </is>
      </c>
      <c r="H886" s="2" t="inlineStr">
        <is>
          <t>02.03.02.01 : Cobrança Bancaria</t>
        </is>
      </c>
      <c r="I886" s="2" t="n"/>
      <c r="J886" s="3" t="n">
        <v>-0.88</v>
      </c>
      <c r="K886" s="2">
        <f>IF(H886="02.09 : Outras Saídas", IF(OR(ISNUMBER(SEARCH("CHEQUE COMPE SICREDI", F886)), ISNUMBER(SEARCH("aniversario", F886)), ISNUMBER(SEARCH("churrasco", F886)), ISNUMBER(SEARCH("bolo", F886)), ISNUMBER(SEARCH("SUPERMERCADO", F886))), "6.1 Despesas Administrativas (Pessoal)", IF(OR(ISNUMBER(SEARCH("DLKNET", F886)), ISNUMBER(SEARCH("TESTE", F886))), "6.1 Despesas Administrativas (Gerais)", IFERROR(VLOOKUP(H886, De_Para!A:B, 2, FALSE), "NÃO MAPEADO"))), IFERROR(VLOOKUP(H886, De_Para!A:B, 2, FALSE), "NÃO MAPEADO"))</f>
        <v/>
      </c>
    </row>
    <row r="887">
      <c r="A887" s="2" t="inlineStr">
        <is>
          <t>68800</t>
        </is>
      </c>
      <c r="B887" s="2" t="inlineStr">
        <is>
          <t>Sicoob</t>
        </is>
      </c>
      <c r="C887" s="2" t="inlineStr">
        <is>
          <t>15/06/2026</t>
        </is>
      </c>
      <c r="D887" s="2" t="inlineStr">
        <is>
          <t>15/06/2026</t>
        </is>
      </c>
      <c r="E887" s="2" t="inlineStr">
        <is>
          <t>Dinheiro</t>
        </is>
      </c>
      <c r="F887" s="2" t="inlineStr">
        <is>
          <t>Boleto "66027" do cliente "DALVINO JOSÉ DA CRUZ"</t>
        </is>
      </c>
      <c r="G887" s="2" t="inlineStr">
        <is>
          <t>system</t>
        </is>
      </c>
      <c r="H887" s="2" t="inlineStr">
        <is>
          <t>01.01.01 : Mensalidade</t>
        </is>
      </c>
      <c r="I887" s="3" t="n">
        <v>99.90000000000001</v>
      </c>
      <c r="J887" s="2" t="n"/>
      <c r="K887" s="2">
        <f>IF(H887="02.09 : Outras Saídas", IF(OR(ISNUMBER(SEARCH("CHEQUE COMPE SICREDI", F887)), ISNUMBER(SEARCH("aniversario", F887)), ISNUMBER(SEARCH("churrasco", F887)), ISNUMBER(SEARCH("bolo", F887)), ISNUMBER(SEARCH("SUPERMERCADO", F887))), "6.1 Despesas Administrativas (Pessoal)", IF(OR(ISNUMBER(SEARCH("DLKNET", F887)), ISNUMBER(SEARCH("TESTE", F887))), "6.1 Despesas Administrativas (Gerais)", IFERROR(VLOOKUP(H887, De_Para!A:B, 2, FALSE), "NÃO MAPEADO"))), IFERROR(VLOOKUP(H887, De_Para!A:B, 2, FALSE), "NÃO MAPEADO"))</f>
        <v/>
      </c>
    </row>
    <row r="888">
      <c r="A888" s="2" t="inlineStr">
        <is>
          <t>68799</t>
        </is>
      </c>
      <c r="B888" s="2" t="inlineStr">
        <is>
          <t>Sicoob</t>
        </is>
      </c>
      <c r="C888" s="2" t="inlineStr">
        <is>
          <t>15/06/2026</t>
        </is>
      </c>
      <c r="D888" s="2" t="inlineStr">
        <is>
          <t>15/06/2026</t>
        </is>
      </c>
      <c r="E888" s="2" t="inlineStr">
        <is>
          <t>Dinheiro</t>
        </is>
      </c>
      <c r="F888" s="2" t="inlineStr">
        <is>
          <t>Boleto "65712" do cliente "DONIZETE RODRIGUES DE ALMEIDA"</t>
        </is>
      </c>
      <c r="G888" s="2" t="inlineStr">
        <is>
          <t>system</t>
        </is>
      </c>
      <c r="H888" s="2" t="inlineStr">
        <is>
          <t>02.03.02.01 : Cobrança Bancaria</t>
        </is>
      </c>
      <c r="I888" s="2" t="n"/>
      <c r="J888" s="3" t="n">
        <v>-0.88</v>
      </c>
      <c r="K888" s="2">
        <f>IF(H888="02.09 : Outras Saídas", IF(OR(ISNUMBER(SEARCH("CHEQUE COMPE SICREDI", F888)), ISNUMBER(SEARCH("aniversario", F888)), ISNUMBER(SEARCH("churrasco", F888)), ISNUMBER(SEARCH("bolo", F888)), ISNUMBER(SEARCH("SUPERMERCADO", F888))), "6.1 Despesas Administrativas (Pessoal)", IF(OR(ISNUMBER(SEARCH("DLKNET", F888)), ISNUMBER(SEARCH("TESTE", F888))), "6.1 Despesas Administrativas (Gerais)", IFERROR(VLOOKUP(H888, De_Para!A:B, 2, FALSE), "NÃO MAPEADO"))), IFERROR(VLOOKUP(H888, De_Para!A:B, 2, FALSE), "NÃO MAPEADO"))</f>
        <v/>
      </c>
    </row>
    <row r="889">
      <c r="A889" s="2" t="inlineStr">
        <is>
          <t>68798</t>
        </is>
      </c>
      <c r="B889" s="2" t="inlineStr">
        <is>
          <t>Sicoob</t>
        </is>
      </c>
      <c r="C889" s="2" t="inlineStr">
        <is>
          <t>15/06/2026</t>
        </is>
      </c>
      <c r="D889" s="2" t="inlineStr">
        <is>
          <t>15/06/2026</t>
        </is>
      </c>
      <c r="E889" s="2" t="inlineStr">
        <is>
          <t>Dinheiro</t>
        </is>
      </c>
      <c r="F889" s="2" t="inlineStr">
        <is>
          <t>Boleto "65712" do cliente "DONIZETE RODRIGUES DE ALMEIDA"</t>
        </is>
      </c>
      <c r="G889" s="2" t="inlineStr">
        <is>
          <t>system</t>
        </is>
      </c>
      <c r="H889" s="2" t="inlineStr">
        <is>
          <t>01.01.01 : Mensalidade</t>
        </is>
      </c>
      <c r="I889" s="3" t="n">
        <v>112.19</v>
      </c>
      <c r="J889" s="2" t="n"/>
      <c r="K889" s="2">
        <f>IF(H889="02.09 : Outras Saídas", IF(OR(ISNUMBER(SEARCH("CHEQUE COMPE SICREDI", F889)), ISNUMBER(SEARCH("aniversario", F889)), ISNUMBER(SEARCH("churrasco", F889)), ISNUMBER(SEARCH("bolo", F889)), ISNUMBER(SEARCH("SUPERMERCADO", F889))), "6.1 Despesas Administrativas (Pessoal)", IF(OR(ISNUMBER(SEARCH("DLKNET", F889)), ISNUMBER(SEARCH("TESTE", F889))), "6.1 Despesas Administrativas (Gerais)", IFERROR(VLOOKUP(H889, De_Para!A:B, 2, FALSE), "NÃO MAPEADO"))), IFERROR(VLOOKUP(H889, De_Para!A:B, 2, FALSE), "NÃO MAPEADO"))</f>
        <v/>
      </c>
    </row>
    <row r="890">
      <c r="A890" s="2" t="inlineStr">
        <is>
          <t>68797</t>
        </is>
      </c>
      <c r="B890" s="2" t="inlineStr">
        <is>
          <t>Sicoob</t>
        </is>
      </c>
      <c r="C890" s="2" t="inlineStr">
        <is>
          <t>15/06/2026</t>
        </is>
      </c>
      <c r="D890" s="2" t="inlineStr">
        <is>
          <t>15/06/2026</t>
        </is>
      </c>
      <c r="E890" s="2" t="inlineStr">
        <is>
          <t>Dinheiro</t>
        </is>
      </c>
      <c r="F890" s="2" t="inlineStr">
        <is>
          <t>Boleto "65635" do cliente "EDISON FERNANDES"</t>
        </is>
      </c>
      <c r="G890" s="2" t="inlineStr">
        <is>
          <t>system</t>
        </is>
      </c>
      <c r="H890" s="2" t="inlineStr">
        <is>
          <t>02.03.02.01 : Cobrança Bancaria</t>
        </is>
      </c>
      <c r="I890" s="2" t="n"/>
      <c r="J890" s="3" t="n">
        <v>-0.88</v>
      </c>
      <c r="K890" s="2">
        <f>IF(H890="02.09 : Outras Saídas", IF(OR(ISNUMBER(SEARCH("CHEQUE COMPE SICREDI", F890)), ISNUMBER(SEARCH("aniversario", F890)), ISNUMBER(SEARCH("churrasco", F890)), ISNUMBER(SEARCH("bolo", F890)), ISNUMBER(SEARCH("SUPERMERCADO", F890))), "6.1 Despesas Administrativas (Pessoal)", IF(OR(ISNUMBER(SEARCH("DLKNET", F890)), ISNUMBER(SEARCH("TESTE", F890))), "6.1 Despesas Administrativas (Gerais)", IFERROR(VLOOKUP(H890, De_Para!A:B, 2, FALSE), "NÃO MAPEADO"))), IFERROR(VLOOKUP(H890, De_Para!A:B, 2, FALSE), "NÃO MAPEADO"))</f>
        <v/>
      </c>
    </row>
    <row r="891">
      <c r="A891" s="2" t="inlineStr">
        <is>
          <t>68796</t>
        </is>
      </c>
      <c r="B891" s="2" t="inlineStr">
        <is>
          <t>Sicoob</t>
        </is>
      </c>
      <c r="C891" s="2" t="inlineStr">
        <is>
          <t>15/06/2026</t>
        </is>
      </c>
      <c r="D891" s="2" t="inlineStr">
        <is>
          <t>15/06/2026</t>
        </is>
      </c>
      <c r="E891" s="2" t="inlineStr">
        <is>
          <t>Dinheiro</t>
        </is>
      </c>
      <c r="F891" s="2" t="inlineStr">
        <is>
          <t>Boleto "65635" do cliente "EDISON FERNANDES"</t>
        </is>
      </c>
      <c r="G891" s="2" t="inlineStr">
        <is>
          <t>system</t>
        </is>
      </c>
      <c r="H891" s="2" t="inlineStr">
        <is>
          <t>01.01.01 : Mensalidade</t>
        </is>
      </c>
      <c r="I891" s="3" t="n">
        <v>107.09</v>
      </c>
      <c r="J891" s="2" t="n"/>
      <c r="K891" s="2">
        <f>IF(H891="02.09 : Outras Saídas", IF(OR(ISNUMBER(SEARCH("CHEQUE COMPE SICREDI", F891)), ISNUMBER(SEARCH("aniversario", F891)), ISNUMBER(SEARCH("churrasco", F891)), ISNUMBER(SEARCH("bolo", F891)), ISNUMBER(SEARCH("SUPERMERCADO", F891))), "6.1 Despesas Administrativas (Pessoal)", IF(OR(ISNUMBER(SEARCH("DLKNET", F891)), ISNUMBER(SEARCH("TESTE", F891))), "6.1 Despesas Administrativas (Gerais)", IFERROR(VLOOKUP(H891, De_Para!A:B, 2, FALSE), "NÃO MAPEADO"))), IFERROR(VLOOKUP(H891, De_Para!A:B, 2, FALSE), "NÃO MAPEADO"))</f>
        <v/>
      </c>
    </row>
    <row r="892">
      <c r="A892" s="2" t="inlineStr">
        <is>
          <t>68795</t>
        </is>
      </c>
      <c r="B892" s="2" t="inlineStr">
        <is>
          <t>Sicoob</t>
        </is>
      </c>
      <c r="C892" s="2" t="inlineStr">
        <is>
          <t>15/06/2026</t>
        </is>
      </c>
      <c r="D892" s="2" t="inlineStr">
        <is>
          <t>15/06/2026</t>
        </is>
      </c>
      <c r="E892" s="2" t="inlineStr">
        <is>
          <t>Dinheiro</t>
        </is>
      </c>
      <c r="F892" s="2" t="inlineStr">
        <is>
          <t>Boleto "65052" do cliente "JULIANA ROSA DE LIMA"</t>
        </is>
      </c>
      <c r="G892" s="2" t="inlineStr">
        <is>
          <t>system</t>
        </is>
      </c>
      <c r="H892" s="2" t="inlineStr">
        <is>
          <t>02.03.02.01 : Cobrança Bancaria</t>
        </is>
      </c>
      <c r="I892" s="2" t="n"/>
      <c r="J892" s="3" t="n">
        <v>-0.88</v>
      </c>
      <c r="K892" s="2">
        <f>IF(H892="02.09 : Outras Saídas", IF(OR(ISNUMBER(SEARCH("CHEQUE COMPE SICREDI", F892)), ISNUMBER(SEARCH("aniversario", F892)), ISNUMBER(SEARCH("churrasco", F892)), ISNUMBER(SEARCH("bolo", F892)), ISNUMBER(SEARCH("SUPERMERCADO", F892))), "6.1 Despesas Administrativas (Pessoal)", IF(OR(ISNUMBER(SEARCH("DLKNET", F892)), ISNUMBER(SEARCH("TESTE", F892))), "6.1 Despesas Administrativas (Gerais)", IFERROR(VLOOKUP(H892, De_Para!A:B, 2, FALSE), "NÃO MAPEADO"))), IFERROR(VLOOKUP(H892, De_Para!A:B, 2, FALSE), "NÃO MAPEADO"))</f>
        <v/>
      </c>
    </row>
    <row r="893">
      <c r="A893" s="2" t="inlineStr">
        <is>
          <t>68794</t>
        </is>
      </c>
      <c r="B893" s="2" t="inlineStr">
        <is>
          <t>Sicoob</t>
        </is>
      </c>
      <c r="C893" s="2" t="inlineStr">
        <is>
          <t>15/06/2026</t>
        </is>
      </c>
      <c r="D893" s="2" t="inlineStr">
        <is>
          <t>15/06/2026</t>
        </is>
      </c>
      <c r="E893" s="2" t="inlineStr">
        <is>
          <t>Dinheiro</t>
        </is>
      </c>
      <c r="F893" s="2" t="inlineStr">
        <is>
          <t>Boleto "65052" do cliente "JULIANA ROSA DE LIMA"</t>
        </is>
      </c>
      <c r="G893" s="2" t="inlineStr">
        <is>
          <t>system</t>
        </is>
      </c>
      <c r="H893" s="2" t="inlineStr">
        <is>
          <t>01.01.01 : Mensalidade</t>
        </is>
      </c>
      <c r="I893" s="3" t="n">
        <v>83.92</v>
      </c>
      <c r="J893" s="2" t="n"/>
      <c r="K893" s="2">
        <f>IF(H893="02.09 : Outras Saídas", IF(OR(ISNUMBER(SEARCH("CHEQUE COMPE SICREDI", F893)), ISNUMBER(SEARCH("aniversario", F893)), ISNUMBER(SEARCH("churrasco", F893)), ISNUMBER(SEARCH("bolo", F893)), ISNUMBER(SEARCH("SUPERMERCADO", F893))), "6.1 Despesas Administrativas (Pessoal)", IF(OR(ISNUMBER(SEARCH("DLKNET", F893)), ISNUMBER(SEARCH("TESTE", F893))), "6.1 Despesas Administrativas (Gerais)", IFERROR(VLOOKUP(H893, De_Para!A:B, 2, FALSE), "NÃO MAPEADO"))), IFERROR(VLOOKUP(H893, De_Para!A:B, 2, FALSE), "NÃO MAPEADO"))</f>
        <v/>
      </c>
    </row>
    <row r="894">
      <c r="A894" s="2" t="inlineStr">
        <is>
          <t>68793</t>
        </is>
      </c>
      <c r="B894" s="2" t="inlineStr">
        <is>
          <t>Sicoob</t>
        </is>
      </c>
      <c r="C894" s="2" t="inlineStr">
        <is>
          <t>15/06/2026</t>
        </is>
      </c>
      <c r="D894" s="2" t="inlineStr">
        <is>
          <t>15/06/2026</t>
        </is>
      </c>
      <c r="E894" s="2" t="inlineStr">
        <is>
          <t>Dinheiro</t>
        </is>
      </c>
      <c r="F894" s="2" t="inlineStr">
        <is>
          <t>Boleto "64880" do cliente "JOEL RIBEIRO DO VALE"</t>
        </is>
      </c>
      <c r="G894" s="2" t="inlineStr">
        <is>
          <t>system</t>
        </is>
      </c>
      <c r="H894" s="2" t="inlineStr">
        <is>
          <t>02.03.02.01 : Cobrança Bancaria</t>
        </is>
      </c>
      <c r="I894" s="2" t="n"/>
      <c r="J894" s="3" t="n">
        <v>-0.88</v>
      </c>
      <c r="K894" s="2">
        <f>IF(H894="02.09 : Outras Saídas", IF(OR(ISNUMBER(SEARCH("CHEQUE COMPE SICREDI", F894)), ISNUMBER(SEARCH("aniversario", F894)), ISNUMBER(SEARCH("churrasco", F894)), ISNUMBER(SEARCH("bolo", F894)), ISNUMBER(SEARCH("SUPERMERCADO", F894))), "6.1 Despesas Administrativas (Pessoal)", IF(OR(ISNUMBER(SEARCH("DLKNET", F894)), ISNUMBER(SEARCH("TESTE", F894))), "6.1 Despesas Administrativas (Gerais)", IFERROR(VLOOKUP(H894, De_Para!A:B, 2, FALSE), "NÃO MAPEADO"))), IFERROR(VLOOKUP(H894, De_Para!A:B, 2, FALSE), "NÃO MAPEADO"))</f>
        <v/>
      </c>
    </row>
    <row r="895">
      <c r="A895" s="2" t="inlineStr">
        <is>
          <t>68792</t>
        </is>
      </c>
      <c r="B895" s="2" t="inlineStr">
        <is>
          <t>Sicoob</t>
        </is>
      </c>
      <c r="C895" s="2" t="inlineStr">
        <is>
          <t>15/06/2026</t>
        </is>
      </c>
      <c r="D895" s="2" t="inlineStr">
        <is>
          <t>15/06/2026</t>
        </is>
      </c>
      <c r="E895" s="2" t="inlineStr">
        <is>
          <t>Dinheiro</t>
        </is>
      </c>
      <c r="F895" s="2" t="inlineStr">
        <is>
          <t>Boleto "64880" do cliente "JOEL RIBEIRO DO VALE"</t>
        </is>
      </c>
      <c r="G895" s="2" t="inlineStr">
        <is>
          <t>system</t>
        </is>
      </c>
      <c r="H895" s="2" t="inlineStr">
        <is>
          <t>01.01.01 : Mensalidade</t>
        </is>
      </c>
      <c r="I895" s="3" t="n">
        <v>104.9</v>
      </c>
      <c r="J895" s="2" t="n"/>
      <c r="K895" s="2">
        <f>IF(H895="02.09 : Outras Saídas", IF(OR(ISNUMBER(SEARCH("CHEQUE COMPE SICREDI", F895)), ISNUMBER(SEARCH("aniversario", F895)), ISNUMBER(SEARCH("churrasco", F895)), ISNUMBER(SEARCH("bolo", F895)), ISNUMBER(SEARCH("SUPERMERCADO", F895))), "6.1 Despesas Administrativas (Pessoal)", IF(OR(ISNUMBER(SEARCH("DLKNET", F895)), ISNUMBER(SEARCH("TESTE", F895))), "6.1 Despesas Administrativas (Gerais)", IFERROR(VLOOKUP(H895, De_Para!A:B, 2, FALSE), "NÃO MAPEADO"))), IFERROR(VLOOKUP(H895, De_Para!A:B, 2, FALSE), "NÃO MAPEADO"))</f>
        <v/>
      </c>
    </row>
    <row r="896">
      <c r="A896" s="2" t="inlineStr">
        <is>
          <t>68791</t>
        </is>
      </c>
      <c r="B896" s="2" t="inlineStr">
        <is>
          <t>Sicoob</t>
        </is>
      </c>
      <c r="C896" s="2" t="inlineStr">
        <is>
          <t>15/06/2026</t>
        </is>
      </c>
      <c r="D896" s="2" t="inlineStr">
        <is>
          <t>15/06/2026</t>
        </is>
      </c>
      <c r="E896" s="2" t="inlineStr">
        <is>
          <t>Dinheiro</t>
        </is>
      </c>
      <c r="F896" s="2" t="inlineStr">
        <is>
          <t>Boleto "63291" do cliente "LUCIANE FORGATI"</t>
        </is>
      </c>
      <c r="G896" s="2" t="inlineStr">
        <is>
          <t>system</t>
        </is>
      </c>
      <c r="H896" s="2" t="inlineStr">
        <is>
          <t>02.03.02.01 : Cobrança Bancaria</t>
        </is>
      </c>
      <c r="I896" s="2" t="n"/>
      <c r="J896" s="3" t="n">
        <v>-0.88</v>
      </c>
      <c r="K896" s="2">
        <f>IF(H896="02.09 : Outras Saídas", IF(OR(ISNUMBER(SEARCH("CHEQUE COMPE SICREDI", F896)), ISNUMBER(SEARCH("aniversario", F896)), ISNUMBER(SEARCH("churrasco", F896)), ISNUMBER(SEARCH("bolo", F896)), ISNUMBER(SEARCH("SUPERMERCADO", F896))), "6.1 Despesas Administrativas (Pessoal)", IF(OR(ISNUMBER(SEARCH("DLKNET", F896)), ISNUMBER(SEARCH("TESTE", F896))), "6.1 Despesas Administrativas (Gerais)", IFERROR(VLOOKUP(H896, De_Para!A:B, 2, FALSE), "NÃO MAPEADO"))), IFERROR(VLOOKUP(H896, De_Para!A:B, 2, FALSE), "NÃO MAPEADO"))</f>
        <v/>
      </c>
    </row>
    <row r="897">
      <c r="A897" s="2" t="inlineStr">
        <is>
          <t>68790</t>
        </is>
      </c>
      <c r="B897" s="2" t="inlineStr">
        <is>
          <t>Sicoob</t>
        </is>
      </c>
      <c r="C897" s="2" t="inlineStr">
        <is>
          <t>15/06/2026</t>
        </is>
      </c>
      <c r="D897" s="2" t="inlineStr">
        <is>
          <t>15/06/2026</t>
        </is>
      </c>
      <c r="E897" s="2" t="inlineStr">
        <is>
          <t>Dinheiro</t>
        </is>
      </c>
      <c r="F897" s="2" t="inlineStr">
        <is>
          <t>Boleto "63291" do cliente "LUCIANE FORGATI"</t>
        </is>
      </c>
      <c r="G897" s="2" t="inlineStr">
        <is>
          <t>system</t>
        </is>
      </c>
      <c r="H897" s="2" t="inlineStr">
        <is>
          <t>01.01.01 : Mensalidade</t>
        </is>
      </c>
      <c r="I897" s="3" t="n">
        <v>104.9</v>
      </c>
      <c r="J897" s="2" t="n"/>
      <c r="K897" s="2">
        <f>IF(H897="02.09 : Outras Saídas", IF(OR(ISNUMBER(SEARCH("CHEQUE COMPE SICREDI", F897)), ISNUMBER(SEARCH("aniversario", F897)), ISNUMBER(SEARCH("churrasco", F897)), ISNUMBER(SEARCH("bolo", F897)), ISNUMBER(SEARCH("SUPERMERCADO", F897))), "6.1 Despesas Administrativas (Pessoal)", IF(OR(ISNUMBER(SEARCH("DLKNET", F897)), ISNUMBER(SEARCH("TESTE", F897))), "6.1 Despesas Administrativas (Gerais)", IFERROR(VLOOKUP(H897, De_Para!A:B, 2, FALSE), "NÃO MAPEADO"))), IFERROR(VLOOKUP(H897, De_Para!A:B, 2, FALSE), "NÃO MAPEADO"))</f>
        <v/>
      </c>
    </row>
    <row r="898">
      <c r="A898" s="2" t="inlineStr">
        <is>
          <t>68789</t>
        </is>
      </c>
      <c r="B898" s="2" t="inlineStr">
        <is>
          <t>Sicoob</t>
        </is>
      </c>
      <c r="C898" s="2" t="inlineStr">
        <is>
          <t>15/06/2026</t>
        </is>
      </c>
      <c r="D898" s="2" t="inlineStr">
        <is>
          <t>15/06/2026</t>
        </is>
      </c>
      <c r="E898" s="2" t="inlineStr">
        <is>
          <t>Dinheiro</t>
        </is>
      </c>
      <c r="F898" s="2" t="inlineStr">
        <is>
          <t>Boleto "63085" do cliente "WESLEY PANICHI"</t>
        </is>
      </c>
      <c r="G898" s="2" t="inlineStr">
        <is>
          <t>system</t>
        </is>
      </c>
      <c r="H898" s="2" t="inlineStr">
        <is>
          <t>02.03.02.01 : Cobrança Bancaria</t>
        </is>
      </c>
      <c r="I898" s="2" t="n"/>
      <c r="J898" s="3" t="n">
        <v>-0.88</v>
      </c>
      <c r="K898" s="2">
        <f>IF(H898="02.09 : Outras Saídas", IF(OR(ISNUMBER(SEARCH("CHEQUE COMPE SICREDI", F898)), ISNUMBER(SEARCH("aniversario", F898)), ISNUMBER(SEARCH("churrasco", F898)), ISNUMBER(SEARCH("bolo", F898)), ISNUMBER(SEARCH("SUPERMERCADO", F898))), "6.1 Despesas Administrativas (Pessoal)", IF(OR(ISNUMBER(SEARCH("DLKNET", F898)), ISNUMBER(SEARCH("TESTE", F898))), "6.1 Despesas Administrativas (Gerais)", IFERROR(VLOOKUP(H898, De_Para!A:B, 2, FALSE), "NÃO MAPEADO"))), IFERROR(VLOOKUP(H898, De_Para!A:B, 2, FALSE), "NÃO MAPEADO"))</f>
        <v/>
      </c>
    </row>
    <row r="899">
      <c r="A899" s="2" t="inlineStr">
        <is>
          <t>68788</t>
        </is>
      </c>
      <c r="B899" s="2" t="inlineStr">
        <is>
          <t>Sicoob</t>
        </is>
      </c>
      <c r="C899" s="2" t="inlineStr">
        <is>
          <t>15/06/2026</t>
        </is>
      </c>
      <c r="D899" s="2" t="inlineStr">
        <is>
          <t>15/06/2026</t>
        </is>
      </c>
      <c r="E899" s="2" t="inlineStr">
        <is>
          <t>Dinheiro</t>
        </is>
      </c>
      <c r="F899" s="2" t="inlineStr">
        <is>
          <t>Boleto "63085" do cliente "WESLEY PANICHI"</t>
        </is>
      </c>
      <c r="G899" s="2" t="inlineStr">
        <is>
          <t>system</t>
        </is>
      </c>
      <c r="H899" s="2" t="inlineStr">
        <is>
          <t>01.01.01 : Mensalidade</t>
        </is>
      </c>
      <c r="I899" s="3" t="n">
        <v>107.12</v>
      </c>
      <c r="J899" s="2" t="n"/>
      <c r="K899" s="2">
        <f>IF(H899="02.09 : Outras Saídas", IF(OR(ISNUMBER(SEARCH("CHEQUE COMPE SICREDI", F899)), ISNUMBER(SEARCH("aniversario", F899)), ISNUMBER(SEARCH("churrasco", F899)), ISNUMBER(SEARCH("bolo", F899)), ISNUMBER(SEARCH("SUPERMERCADO", F899))), "6.1 Despesas Administrativas (Pessoal)", IF(OR(ISNUMBER(SEARCH("DLKNET", F899)), ISNUMBER(SEARCH("TESTE", F899))), "6.1 Despesas Administrativas (Gerais)", IFERROR(VLOOKUP(H899, De_Para!A:B, 2, FALSE), "NÃO MAPEADO"))), IFERROR(VLOOKUP(H899, De_Para!A:B, 2, FALSE), "NÃO MAPEADO"))</f>
        <v/>
      </c>
    </row>
    <row r="900">
      <c r="A900" s="2" t="inlineStr">
        <is>
          <t>68787</t>
        </is>
      </c>
      <c r="B900" s="2" t="inlineStr">
        <is>
          <t>Sicoob</t>
        </is>
      </c>
      <c r="C900" s="2" t="inlineStr">
        <is>
          <t>15/06/2026</t>
        </is>
      </c>
      <c r="D900" s="2" t="inlineStr">
        <is>
          <t>15/06/2026</t>
        </is>
      </c>
      <c r="E900" s="2" t="inlineStr">
        <is>
          <t>Dinheiro</t>
        </is>
      </c>
      <c r="F900" s="2" t="inlineStr">
        <is>
          <t>Boleto "62952" do cliente "VICENTE DE PAULA SILVA"</t>
        </is>
      </c>
      <c r="G900" s="2" t="inlineStr">
        <is>
          <t>system</t>
        </is>
      </c>
      <c r="H900" s="2" t="inlineStr">
        <is>
          <t>02.03.02.01 : Cobrança Bancaria</t>
        </is>
      </c>
      <c r="I900" s="2" t="n"/>
      <c r="J900" s="3" t="n">
        <v>-0.88</v>
      </c>
      <c r="K900" s="2">
        <f>IF(H900="02.09 : Outras Saídas", IF(OR(ISNUMBER(SEARCH("CHEQUE COMPE SICREDI", F900)), ISNUMBER(SEARCH("aniversario", F900)), ISNUMBER(SEARCH("churrasco", F900)), ISNUMBER(SEARCH("bolo", F900)), ISNUMBER(SEARCH("SUPERMERCADO", F900))), "6.1 Despesas Administrativas (Pessoal)", IF(OR(ISNUMBER(SEARCH("DLKNET", F900)), ISNUMBER(SEARCH("TESTE", F900))), "6.1 Despesas Administrativas (Gerais)", IFERROR(VLOOKUP(H900, De_Para!A:B, 2, FALSE), "NÃO MAPEADO"))), IFERROR(VLOOKUP(H900, De_Para!A:B, 2, FALSE), "NÃO MAPEADO"))</f>
        <v/>
      </c>
    </row>
    <row r="901">
      <c r="A901" s="2" t="inlineStr">
        <is>
          <t>68786</t>
        </is>
      </c>
      <c r="B901" s="2" t="inlineStr">
        <is>
          <t>Sicoob</t>
        </is>
      </c>
      <c r="C901" s="2" t="inlineStr">
        <is>
          <t>15/06/2026</t>
        </is>
      </c>
      <c r="D901" s="2" t="inlineStr">
        <is>
          <t>15/06/2026</t>
        </is>
      </c>
      <c r="E901" s="2" t="inlineStr">
        <is>
          <t>Dinheiro</t>
        </is>
      </c>
      <c r="F901" s="2" t="inlineStr">
        <is>
          <t>Boleto "62952" do cliente "VICENTE DE PAULA SILVA"</t>
        </is>
      </c>
      <c r="G901" s="2" t="inlineStr">
        <is>
          <t>system</t>
        </is>
      </c>
      <c r="H901" s="2" t="inlineStr">
        <is>
          <t>01.03.01 : Mensalidade</t>
        </is>
      </c>
      <c r="I901" s="3" t="n">
        <v>107.2</v>
      </c>
      <c r="J901" s="2" t="n"/>
      <c r="K901" s="2">
        <f>IF(H901="02.09 : Outras Saídas", IF(OR(ISNUMBER(SEARCH("CHEQUE COMPE SICREDI", F901)), ISNUMBER(SEARCH("aniversario", F901)), ISNUMBER(SEARCH("churrasco", F901)), ISNUMBER(SEARCH("bolo", F901)), ISNUMBER(SEARCH("SUPERMERCADO", F901))), "6.1 Despesas Administrativas (Pessoal)", IF(OR(ISNUMBER(SEARCH("DLKNET", F901)), ISNUMBER(SEARCH("TESTE", F901))), "6.1 Despesas Administrativas (Gerais)", IFERROR(VLOOKUP(H901, De_Para!A:B, 2, FALSE), "NÃO MAPEADO"))), IFERROR(VLOOKUP(H901, De_Para!A:B, 2, FALSE), "NÃO MAPEADO"))</f>
        <v/>
      </c>
    </row>
    <row r="902">
      <c r="A902" s="2" t="inlineStr">
        <is>
          <t>68785</t>
        </is>
      </c>
      <c r="B902" s="2" t="inlineStr">
        <is>
          <t>Sicoob</t>
        </is>
      </c>
      <c r="C902" s="2" t="inlineStr">
        <is>
          <t>15/06/2026</t>
        </is>
      </c>
      <c r="D902" s="2" t="inlineStr">
        <is>
          <t>15/06/2026</t>
        </is>
      </c>
      <c r="E902" s="2" t="inlineStr">
        <is>
          <t>Dinheiro</t>
        </is>
      </c>
      <c r="F902" s="2" t="inlineStr">
        <is>
          <t>Boleto "62376" do cliente "GISLAINE SENE DIVINO"</t>
        </is>
      </c>
      <c r="G902" s="2" t="inlineStr">
        <is>
          <t>system</t>
        </is>
      </c>
      <c r="H902" s="2" t="inlineStr">
        <is>
          <t>02.03.02.01 : Cobrança Bancaria</t>
        </is>
      </c>
      <c r="I902" s="2" t="n"/>
      <c r="J902" s="3" t="n">
        <v>-0.88</v>
      </c>
      <c r="K902" s="2">
        <f>IF(H902="02.09 : Outras Saídas", IF(OR(ISNUMBER(SEARCH("CHEQUE COMPE SICREDI", F902)), ISNUMBER(SEARCH("aniversario", F902)), ISNUMBER(SEARCH("churrasco", F902)), ISNUMBER(SEARCH("bolo", F902)), ISNUMBER(SEARCH("SUPERMERCADO", F902))), "6.1 Despesas Administrativas (Pessoal)", IF(OR(ISNUMBER(SEARCH("DLKNET", F902)), ISNUMBER(SEARCH("TESTE", F902))), "6.1 Despesas Administrativas (Gerais)", IFERROR(VLOOKUP(H902, De_Para!A:B, 2, FALSE), "NÃO MAPEADO"))), IFERROR(VLOOKUP(H902, De_Para!A:B, 2, FALSE), "NÃO MAPEADO"))</f>
        <v/>
      </c>
    </row>
    <row r="903">
      <c r="A903" s="2" t="inlineStr">
        <is>
          <t>68784</t>
        </is>
      </c>
      <c r="B903" s="2" t="inlineStr">
        <is>
          <t>Sicoob</t>
        </is>
      </c>
      <c r="C903" s="2" t="inlineStr">
        <is>
          <t>15/06/2026</t>
        </is>
      </c>
      <c r="D903" s="2" t="inlineStr">
        <is>
          <t>15/06/2026</t>
        </is>
      </c>
      <c r="E903" s="2" t="inlineStr">
        <is>
          <t>Dinheiro</t>
        </is>
      </c>
      <c r="F903" s="2" t="inlineStr">
        <is>
          <t>Boleto "62376" do cliente "GISLAINE SENE DIVINO"</t>
        </is>
      </c>
      <c r="G903" s="2" t="inlineStr">
        <is>
          <t>system</t>
        </is>
      </c>
      <c r="H903" s="2" t="inlineStr">
        <is>
          <t>01.01.01 : Mensalidade</t>
        </is>
      </c>
      <c r="I903" s="3" t="n">
        <v>110</v>
      </c>
      <c r="J903" s="2" t="n"/>
      <c r="K903" s="2">
        <f>IF(H903="02.09 : Outras Saídas", IF(OR(ISNUMBER(SEARCH("CHEQUE COMPE SICREDI", F903)), ISNUMBER(SEARCH("aniversario", F903)), ISNUMBER(SEARCH("churrasco", F903)), ISNUMBER(SEARCH("bolo", F903)), ISNUMBER(SEARCH("SUPERMERCADO", F903))), "6.1 Despesas Administrativas (Pessoal)", IF(OR(ISNUMBER(SEARCH("DLKNET", F903)), ISNUMBER(SEARCH("TESTE", F903))), "6.1 Despesas Administrativas (Gerais)", IFERROR(VLOOKUP(H903, De_Para!A:B, 2, FALSE), "NÃO MAPEADO"))), IFERROR(VLOOKUP(H903, De_Para!A:B, 2, FALSE), "NÃO MAPEADO"))</f>
        <v/>
      </c>
    </row>
    <row r="904">
      <c r="A904" s="2" t="inlineStr">
        <is>
          <t>68783</t>
        </is>
      </c>
      <c r="B904" s="2" t="inlineStr">
        <is>
          <t>Sicoob</t>
        </is>
      </c>
      <c r="C904" s="2" t="inlineStr">
        <is>
          <t>15/06/2026</t>
        </is>
      </c>
      <c r="D904" s="2" t="inlineStr">
        <is>
          <t>15/06/2026</t>
        </is>
      </c>
      <c r="E904" s="2" t="inlineStr">
        <is>
          <t>Dinheiro</t>
        </is>
      </c>
      <c r="F904" s="2" t="inlineStr">
        <is>
          <t>Boleto "62197" do cliente "ANDREIA DE FATIMA FONSECA BONTORIN"</t>
        </is>
      </c>
      <c r="G904" s="2" t="inlineStr">
        <is>
          <t>system</t>
        </is>
      </c>
      <c r="H904" s="2" t="inlineStr">
        <is>
          <t>02.03.02.01 : Cobrança Bancaria</t>
        </is>
      </c>
      <c r="I904" s="2" t="n"/>
      <c r="J904" s="3" t="n">
        <v>-0.88</v>
      </c>
      <c r="K904" s="2">
        <f>IF(H904="02.09 : Outras Saídas", IF(OR(ISNUMBER(SEARCH("CHEQUE COMPE SICREDI", F904)), ISNUMBER(SEARCH("aniversario", F904)), ISNUMBER(SEARCH("churrasco", F904)), ISNUMBER(SEARCH("bolo", F904)), ISNUMBER(SEARCH("SUPERMERCADO", F904))), "6.1 Despesas Administrativas (Pessoal)", IF(OR(ISNUMBER(SEARCH("DLKNET", F904)), ISNUMBER(SEARCH("TESTE", F904))), "6.1 Despesas Administrativas (Gerais)", IFERROR(VLOOKUP(H904, De_Para!A:B, 2, FALSE), "NÃO MAPEADO"))), IFERROR(VLOOKUP(H904, De_Para!A:B, 2, FALSE), "NÃO MAPEADO"))</f>
        <v/>
      </c>
    </row>
    <row r="905">
      <c r="A905" s="2" t="inlineStr">
        <is>
          <t>68782</t>
        </is>
      </c>
      <c r="B905" s="2" t="inlineStr">
        <is>
          <t>Sicoob</t>
        </is>
      </c>
      <c r="C905" s="2" t="inlineStr">
        <is>
          <t>15/06/2026</t>
        </is>
      </c>
      <c r="D905" s="2" t="inlineStr">
        <is>
          <t>15/06/2026</t>
        </is>
      </c>
      <c r="E905" s="2" t="inlineStr">
        <is>
          <t>Dinheiro</t>
        </is>
      </c>
      <c r="F905" s="2" t="inlineStr">
        <is>
          <t>Boleto "62197" do cliente "ANDREIA DE FATIMA FONSECA BONTORIN"</t>
        </is>
      </c>
      <c r="G905" s="2" t="inlineStr">
        <is>
          <t>system</t>
        </is>
      </c>
      <c r="H905" s="2" t="inlineStr">
        <is>
          <t>01.01.01 : Mensalidade</t>
        </is>
      </c>
      <c r="I905" s="3" t="n">
        <v>105</v>
      </c>
      <c r="J905" s="2" t="n"/>
      <c r="K905" s="2">
        <f>IF(H905="02.09 : Outras Saídas", IF(OR(ISNUMBER(SEARCH("CHEQUE COMPE SICREDI", F905)), ISNUMBER(SEARCH("aniversario", F905)), ISNUMBER(SEARCH("churrasco", F905)), ISNUMBER(SEARCH("bolo", F905)), ISNUMBER(SEARCH("SUPERMERCADO", F905))), "6.1 Despesas Administrativas (Pessoal)", IF(OR(ISNUMBER(SEARCH("DLKNET", F905)), ISNUMBER(SEARCH("TESTE", F905))), "6.1 Despesas Administrativas (Gerais)", IFERROR(VLOOKUP(H905, De_Para!A:B, 2, FALSE), "NÃO MAPEADO"))), IFERROR(VLOOKUP(H905, De_Para!A:B, 2, FALSE), "NÃO MAPEADO"))</f>
        <v/>
      </c>
    </row>
    <row r="906">
      <c r="A906" s="2" t="inlineStr">
        <is>
          <t>68781</t>
        </is>
      </c>
      <c r="B906" s="2" t="inlineStr">
        <is>
          <t>Sicoob</t>
        </is>
      </c>
      <c r="C906" s="2" t="inlineStr">
        <is>
          <t>15/06/2026</t>
        </is>
      </c>
      <c r="D906" s="2" t="inlineStr">
        <is>
          <t>15/06/2026</t>
        </is>
      </c>
      <c r="E906" s="2" t="inlineStr">
        <is>
          <t>Dinheiro</t>
        </is>
      </c>
      <c r="F906" s="2" t="inlineStr">
        <is>
          <t>Boleto "61461" do cliente "MARIA DA GLORIA SANDY DO VALE"</t>
        </is>
      </c>
      <c r="G906" s="2" t="inlineStr">
        <is>
          <t>system</t>
        </is>
      </c>
      <c r="H906" s="2" t="inlineStr">
        <is>
          <t>02.03.02.01 : Cobrança Bancaria</t>
        </is>
      </c>
      <c r="I906" s="2" t="n"/>
      <c r="J906" s="3" t="n">
        <v>-0.88</v>
      </c>
      <c r="K906" s="2">
        <f>IF(H906="02.09 : Outras Saídas", IF(OR(ISNUMBER(SEARCH("CHEQUE COMPE SICREDI", F906)), ISNUMBER(SEARCH("aniversario", F906)), ISNUMBER(SEARCH("churrasco", F906)), ISNUMBER(SEARCH("bolo", F906)), ISNUMBER(SEARCH("SUPERMERCADO", F906))), "6.1 Despesas Administrativas (Pessoal)", IF(OR(ISNUMBER(SEARCH("DLKNET", F906)), ISNUMBER(SEARCH("TESTE", F906))), "6.1 Despesas Administrativas (Gerais)", IFERROR(VLOOKUP(H906, De_Para!A:B, 2, FALSE), "NÃO MAPEADO"))), IFERROR(VLOOKUP(H906, De_Para!A:B, 2, FALSE), "NÃO MAPEADO"))</f>
        <v/>
      </c>
    </row>
    <row r="907">
      <c r="A907" s="2" t="inlineStr">
        <is>
          <t>68780</t>
        </is>
      </c>
      <c r="B907" s="2" t="inlineStr">
        <is>
          <t>Sicoob</t>
        </is>
      </c>
      <c r="C907" s="2" t="inlineStr">
        <is>
          <t>15/06/2026</t>
        </is>
      </c>
      <c r="D907" s="2" t="inlineStr">
        <is>
          <t>15/06/2026</t>
        </is>
      </c>
      <c r="E907" s="2" t="inlineStr">
        <is>
          <t>Dinheiro</t>
        </is>
      </c>
      <c r="F907" s="2" t="inlineStr">
        <is>
          <t>Boleto "61461" do cliente "MARIA DA GLORIA SANDY DO VALE"</t>
        </is>
      </c>
      <c r="G907" s="2" t="inlineStr">
        <is>
          <t>system</t>
        </is>
      </c>
      <c r="H907" s="2" t="inlineStr">
        <is>
          <t>01.01.01 : Mensalidade</t>
        </is>
      </c>
      <c r="I907" s="3" t="n">
        <v>100</v>
      </c>
      <c r="J907" s="2" t="n"/>
      <c r="K907" s="2">
        <f>IF(H907="02.09 : Outras Saídas", IF(OR(ISNUMBER(SEARCH("CHEQUE COMPE SICREDI", F907)), ISNUMBER(SEARCH("aniversario", F907)), ISNUMBER(SEARCH("churrasco", F907)), ISNUMBER(SEARCH("bolo", F907)), ISNUMBER(SEARCH("SUPERMERCADO", F907))), "6.1 Despesas Administrativas (Pessoal)", IF(OR(ISNUMBER(SEARCH("DLKNET", F907)), ISNUMBER(SEARCH("TESTE", F907))), "6.1 Despesas Administrativas (Gerais)", IFERROR(VLOOKUP(H907, De_Para!A:B, 2, FALSE), "NÃO MAPEADO"))), IFERROR(VLOOKUP(H907, De_Para!A:B, 2, FALSE), "NÃO MAPEADO"))</f>
        <v/>
      </c>
    </row>
    <row r="908">
      <c r="A908" s="2" t="inlineStr">
        <is>
          <t>68779</t>
        </is>
      </c>
      <c r="B908" s="2" t="inlineStr">
        <is>
          <t>Sicoob</t>
        </is>
      </c>
      <c r="C908" s="2" t="inlineStr">
        <is>
          <t>15/06/2026</t>
        </is>
      </c>
      <c r="D908" s="2" t="inlineStr">
        <is>
          <t>15/06/2026</t>
        </is>
      </c>
      <c r="E908" s="2" t="inlineStr">
        <is>
          <t>Dinheiro</t>
        </is>
      </c>
      <c r="F908" s="2" t="inlineStr">
        <is>
          <t>Boleto "58993" do cliente "GILBERTO LOPES DOS SANTOS"</t>
        </is>
      </c>
      <c r="G908" s="2" t="inlineStr">
        <is>
          <t>system</t>
        </is>
      </c>
      <c r="H908" s="2" t="inlineStr">
        <is>
          <t>02.03.02.01 : Cobrança Bancaria</t>
        </is>
      </c>
      <c r="I908" s="2" t="n"/>
      <c r="J908" s="3" t="n">
        <v>-0.88</v>
      </c>
      <c r="K908" s="2">
        <f>IF(H908="02.09 : Outras Saídas", IF(OR(ISNUMBER(SEARCH("CHEQUE COMPE SICREDI", F908)), ISNUMBER(SEARCH("aniversario", F908)), ISNUMBER(SEARCH("churrasco", F908)), ISNUMBER(SEARCH("bolo", F908)), ISNUMBER(SEARCH("SUPERMERCADO", F908))), "6.1 Despesas Administrativas (Pessoal)", IF(OR(ISNUMBER(SEARCH("DLKNET", F908)), ISNUMBER(SEARCH("TESTE", F908))), "6.1 Despesas Administrativas (Gerais)", IFERROR(VLOOKUP(H908, De_Para!A:B, 2, FALSE), "NÃO MAPEADO"))), IFERROR(VLOOKUP(H908, De_Para!A:B, 2, FALSE), "NÃO MAPEADO"))</f>
        <v/>
      </c>
    </row>
    <row r="909">
      <c r="A909" s="2" t="inlineStr">
        <is>
          <t>68778</t>
        </is>
      </c>
      <c r="B909" s="2" t="inlineStr">
        <is>
          <t>Sicoob</t>
        </is>
      </c>
      <c r="C909" s="2" t="inlineStr">
        <is>
          <t>15/06/2026</t>
        </is>
      </c>
      <c r="D909" s="2" t="inlineStr">
        <is>
          <t>15/06/2026</t>
        </is>
      </c>
      <c r="E909" s="2" t="inlineStr">
        <is>
          <t>Dinheiro</t>
        </is>
      </c>
      <c r="F909" s="2" t="inlineStr">
        <is>
          <t>Boleto "58993" do cliente "GILBERTO LOPES DOS SANTOS"</t>
        </is>
      </c>
      <c r="G909" s="2" t="inlineStr">
        <is>
          <t>system</t>
        </is>
      </c>
      <c r="H909" s="2" t="inlineStr">
        <is>
          <t>01.01.01 : Mensalidade</t>
        </is>
      </c>
      <c r="I909" s="3" t="n">
        <v>122.56</v>
      </c>
      <c r="J909" s="2" t="n"/>
      <c r="K909" s="2">
        <f>IF(H909="02.09 : Outras Saídas", IF(OR(ISNUMBER(SEARCH("CHEQUE COMPE SICREDI", F909)), ISNUMBER(SEARCH("aniversario", F909)), ISNUMBER(SEARCH("churrasco", F909)), ISNUMBER(SEARCH("bolo", F909)), ISNUMBER(SEARCH("SUPERMERCADO", F909))), "6.1 Despesas Administrativas (Pessoal)", IF(OR(ISNUMBER(SEARCH("DLKNET", F909)), ISNUMBER(SEARCH("TESTE", F909))), "6.1 Despesas Administrativas (Gerais)", IFERROR(VLOOKUP(H909, De_Para!A:B, 2, FALSE), "NÃO MAPEADO"))), IFERROR(VLOOKUP(H909, De_Para!A:B, 2, FALSE), "NÃO MAPEADO"))</f>
        <v/>
      </c>
    </row>
    <row r="910">
      <c r="A910" s="2" t="inlineStr">
        <is>
          <t>68777</t>
        </is>
      </c>
      <c r="B910" s="2" t="inlineStr">
        <is>
          <t>Sicredi SNI</t>
        </is>
      </c>
      <c r="C910" s="2" t="inlineStr">
        <is>
          <t>15/06/2026</t>
        </is>
      </c>
      <c r="D910" s="2" t="inlineStr">
        <is>
          <t>15/06/2026</t>
        </is>
      </c>
      <c r="E910" s="2" t="inlineStr">
        <is>
          <t>Débito em Conta</t>
        </is>
      </c>
      <c r="F910" s="2" t="inlineStr">
        <is>
          <t>MANUTENCAO DE TITULOS</t>
        </is>
      </c>
      <c r="G910" s="2" t="inlineStr">
        <is>
          <t>clau</t>
        </is>
      </c>
      <c r="H910" s="2" t="inlineStr">
        <is>
          <t>02.03.03.06 : MANUTENCAO DE TITULOS</t>
        </is>
      </c>
      <c r="I910" s="2" t="n"/>
      <c r="J910" s="3" t="n">
        <v>-2.12</v>
      </c>
      <c r="K910" s="2">
        <f>IF(H910="02.09 : Outras Saídas", IF(OR(ISNUMBER(SEARCH("CHEQUE COMPE SICREDI", F910)), ISNUMBER(SEARCH("aniversario", F910)), ISNUMBER(SEARCH("churrasco", F910)), ISNUMBER(SEARCH("bolo", F910)), ISNUMBER(SEARCH("SUPERMERCADO", F910))), "6.1 Despesas Administrativas (Pessoal)", IF(OR(ISNUMBER(SEARCH("DLKNET", F910)), ISNUMBER(SEARCH("TESTE", F910))), "6.1 Despesas Administrativas (Gerais)", IFERROR(VLOOKUP(H910, De_Para!A:B, 2, FALSE), "NÃO MAPEADO"))), IFERROR(VLOOKUP(H910, De_Para!A:B, 2, FALSE), "NÃO MAPEADO"))</f>
        <v/>
      </c>
    </row>
    <row r="911">
      <c r="A911" s="2" t="inlineStr">
        <is>
          <t>68776</t>
        </is>
      </c>
      <c r="B911" s="2" t="inlineStr">
        <is>
          <t>Sicredi SNI</t>
        </is>
      </c>
      <c r="C911" s="2" t="inlineStr">
        <is>
          <t>15/06/2026</t>
        </is>
      </c>
      <c r="D911" s="2" t="inlineStr">
        <is>
          <t>15/06/2026</t>
        </is>
      </c>
      <c r="E911" s="2" t="inlineStr">
        <is>
          <t>PIX</t>
        </is>
      </c>
      <c r="F911" s="2" t="inlineStr">
        <is>
          <t>Boleto "62497" do cliente "PRISCILA SILVA MANTOAN"</t>
        </is>
      </c>
      <c r="G911" s="2" t="inlineStr">
        <is>
          <t>system</t>
        </is>
      </c>
      <c r="H911" s="2" t="inlineStr">
        <is>
          <t>02.03.02.01 : Cobrança Bancaria</t>
        </is>
      </c>
      <c r="I911" s="2" t="n"/>
      <c r="J911" s="3" t="n">
        <v>-0.49</v>
      </c>
      <c r="K911" s="2">
        <f>IF(H911="02.09 : Outras Saídas", IF(OR(ISNUMBER(SEARCH("CHEQUE COMPE SICREDI", F911)), ISNUMBER(SEARCH("aniversario", F911)), ISNUMBER(SEARCH("churrasco", F911)), ISNUMBER(SEARCH("bolo", F911)), ISNUMBER(SEARCH("SUPERMERCADO", F911))), "6.1 Despesas Administrativas (Pessoal)", IF(OR(ISNUMBER(SEARCH("DLKNET", F911)), ISNUMBER(SEARCH("TESTE", F911))), "6.1 Despesas Administrativas (Gerais)", IFERROR(VLOOKUP(H911, De_Para!A:B, 2, FALSE), "NÃO MAPEADO"))), IFERROR(VLOOKUP(H911, De_Para!A:B, 2, FALSE), "NÃO MAPEADO"))</f>
        <v/>
      </c>
    </row>
    <row r="912">
      <c r="A912" s="2" t="inlineStr">
        <is>
          <t>68775</t>
        </is>
      </c>
      <c r="B912" s="2" t="inlineStr">
        <is>
          <t>Sicredi SNI</t>
        </is>
      </c>
      <c r="C912" s="2" t="inlineStr">
        <is>
          <t>15/06/2026</t>
        </is>
      </c>
      <c r="D912" s="2" t="inlineStr">
        <is>
          <t>15/06/2026</t>
        </is>
      </c>
      <c r="E912" s="2" t="inlineStr">
        <is>
          <t>PIX</t>
        </is>
      </c>
      <c r="F912" s="2" t="inlineStr">
        <is>
          <t>Boleto "62497" do cliente "PRISCILA SILVA MANTOAN"</t>
        </is>
      </c>
      <c r="G912" s="2" t="inlineStr">
        <is>
          <t>system</t>
        </is>
      </c>
      <c r="H912" s="2" t="inlineStr">
        <is>
          <t>01.01.01 : Mensalidade</t>
        </is>
      </c>
      <c r="I912" s="3" t="n">
        <v>104.9</v>
      </c>
      <c r="J912" s="2" t="n"/>
      <c r="K912" s="2">
        <f>IF(H912="02.09 : Outras Saídas", IF(OR(ISNUMBER(SEARCH("CHEQUE COMPE SICREDI", F912)), ISNUMBER(SEARCH("aniversario", F912)), ISNUMBER(SEARCH("churrasco", F912)), ISNUMBER(SEARCH("bolo", F912)), ISNUMBER(SEARCH("SUPERMERCADO", F912))), "6.1 Despesas Administrativas (Pessoal)", IF(OR(ISNUMBER(SEARCH("DLKNET", F912)), ISNUMBER(SEARCH("TESTE", F912))), "6.1 Despesas Administrativas (Gerais)", IFERROR(VLOOKUP(H912, De_Para!A:B, 2, FALSE), "NÃO MAPEADO"))), IFERROR(VLOOKUP(H912, De_Para!A:B, 2, FALSE), "NÃO MAPEADO"))</f>
        <v/>
      </c>
    </row>
    <row r="913">
      <c r="A913" s="2" t="inlineStr">
        <is>
          <t>68774</t>
        </is>
      </c>
      <c r="B913" s="2" t="inlineStr">
        <is>
          <t>Sicredi SNI</t>
        </is>
      </c>
      <c r="C913" s="2" t="inlineStr">
        <is>
          <t>15/06/2026</t>
        </is>
      </c>
      <c r="D913" s="2" t="inlineStr">
        <is>
          <t>15/06/2026</t>
        </is>
      </c>
      <c r="E913" s="2" t="inlineStr">
        <is>
          <t>PIX</t>
        </is>
      </c>
      <c r="F913" s="2" t="inlineStr">
        <is>
          <t>Boleto "66349" do cliente "MARCIO PROENCA LOPES"</t>
        </is>
      </c>
      <c r="G913" s="2" t="inlineStr">
        <is>
          <t>system</t>
        </is>
      </c>
      <c r="H913" s="2" t="inlineStr">
        <is>
          <t>02.03.02.01 : Cobrança Bancaria</t>
        </is>
      </c>
      <c r="I913" s="2" t="n"/>
      <c r="J913" s="3" t="n">
        <v>-0.49</v>
      </c>
      <c r="K913" s="2">
        <f>IF(H913="02.09 : Outras Saídas", IF(OR(ISNUMBER(SEARCH("CHEQUE COMPE SICREDI", F913)), ISNUMBER(SEARCH("aniversario", F913)), ISNUMBER(SEARCH("churrasco", F913)), ISNUMBER(SEARCH("bolo", F913)), ISNUMBER(SEARCH("SUPERMERCADO", F913))), "6.1 Despesas Administrativas (Pessoal)", IF(OR(ISNUMBER(SEARCH("DLKNET", F913)), ISNUMBER(SEARCH("TESTE", F913))), "6.1 Despesas Administrativas (Gerais)", IFERROR(VLOOKUP(H913, De_Para!A:B, 2, FALSE), "NÃO MAPEADO"))), IFERROR(VLOOKUP(H913, De_Para!A:B, 2, FALSE), "NÃO MAPEADO"))</f>
        <v/>
      </c>
    </row>
    <row r="914">
      <c r="A914" s="2" t="inlineStr">
        <is>
          <t>68773</t>
        </is>
      </c>
      <c r="B914" s="2" t="inlineStr">
        <is>
          <t>Sicredi SNI</t>
        </is>
      </c>
      <c r="C914" s="2" t="inlineStr">
        <is>
          <t>15/06/2026</t>
        </is>
      </c>
      <c r="D914" s="2" t="inlineStr">
        <is>
          <t>15/06/2026</t>
        </is>
      </c>
      <c r="E914" s="2" t="inlineStr">
        <is>
          <t>PIX</t>
        </is>
      </c>
      <c r="F914" s="2" t="inlineStr">
        <is>
          <t>Boleto "66349" do cliente "MARCIO PROENCA LOPES"</t>
        </is>
      </c>
      <c r="G914" s="2" t="inlineStr">
        <is>
          <t>system</t>
        </is>
      </c>
      <c r="H914" s="2" t="inlineStr">
        <is>
          <t>01.01.01 : Mensalidade</t>
        </is>
      </c>
      <c r="I914" s="3" t="n">
        <v>80</v>
      </c>
      <c r="J914" s="2" t="n"/>
      <c r="K914" s="2">
        <f>IF(H914="02.09 : Outras Saídas", IF(OR(ISNUMBER(SEARCH("CHEQUE COMPE SICREDI", F914)), ISNUMBER(SEARCH("aniversario", F914)), ISNUMBER(SEARCH("churrasco", F914)), ISNUMBER(SEARCH("bolo", F914)), ISNUMBER(SEARCH("SUPERMERCADO", F914))), "6.1 Despesas Administrativas (Pessoal)", IF(OR(ISNUMBER(SEARCH("DLKNET", F914)), ISNUMBER(SEARCH("TESTE", F914))), "6.1 Despesas Administrativas (Gerais)", IFERROR(VLOOKUP(H914, De_Para!A:B, 2, FALSE), "NÃO MAPEADO"))), IFERROR(VLOOKUP(H914, De_Para!A:B, 2, FALSE), "NÃO MAPEADO"))</f>
        <v/>
      </c>
    </row>
    <row r="915">
      <c r="A915" s="2" t="inlineStr">
        <is>
          <t>68772</t>
        </is>
      </c>
      <c r="B915" s="2" t="inlineStr">
        <is>
          <t>Sicredi SNI</t>
        </is>
      </c>
      <c r="C915" s="2" t="inlineStr">
        <is>
          <t>15/06/2026</t>
        </is>
      </c>
      <c r="D915" s="2" t="inlineStr">
        <is>
          <t>15/06/2026</t>
        </is>
      </c>
      <c r="E915" s="2" t="inlineStr">
        <is>
          <t>PIX</t>
        </is>
      </c>
      <c r="F915" s="2" t="inlineStr">
        <is>
          <t>Boleto "64497" do cliente "DIONIZIO BANDARYK"</t>
        </is>
      </c>
      <c r="G915" s="2" t="inlineStr">
        <is>
          <t>system</t>
        </is>
      </c>
      <c r="H915" s="2" t="inlineStr">
        <is>
          <t>02.03.02.01 : Cobrança Bancaria</t>
        </is>
      </c>
      <c r="I915" s="2" t="n"/>
      <c r="J915" s="3" t="n">
        <v>-0.49</v>
      </c>
      <c r="K915" s="2">
        <f>IF(H915="02.09 : Outras Saídas", IF(OR(ISNUMBER(SEARCH("CHEQUE COMPE SICREDI", F915)), ISNUMBER(SEARCH("aniversario", F915)), ISNUMBER(SEARCH("churrasco", F915)), ISNUMBER(SEARCH("bolo", F915)), ISNUMBER(SEARCH("SUPERMERCADO", F915))), "6.1 Despesas Administrativas (Pessoal)", IF(OR(ISNUMBER(SEARCH("DLKNET", F915)), ISNUMBER(SEARCH("TESTE", F915))), "6.1 Despesas Administrativas (Gerais)", IFERROR(VLOOKUP(H915, De_Para!A:B, 2, FALSE), "NÃO MAPEADO"))), IFERROR(VLOOKUP(H915, De_Para!A:B, 2, FALSE), "NÃO MAPEADO"))</f>
        <v/>
      </c>
    </row>
    <row r="916">
      <c r="A916" s="2" t="inlineStr">
        <is>
          <t>68771</t>
        </is>
      </c>
      <c r="B916" s="2" t="inlineStr">
        <is>
          <t>Sicredi SNI</t>
        </is>
      </c>
      <c r="C916" s="2" t="inlineStr">
        <is>
          <t>15/06/2026</t>
        </is>
      </c>
      <c r="D916" s="2" t="inlineStr">
        <is>
          <t>15/06/2026</t>
        </is>
      </c>
      <c r="E916" s="2" t="inlineStr">
        <is>
          <t>PIX</t>
        </is>
      </c>
      <c r="F916" s="2" t="inlineStr">
        <is>
          <t>Boleto "64497" do cliente "DIONIZIO BANDARYK"</t>
        </is>
      </c>
      <c r="G916" s="2" t="inlineStr">
        <is>
          <t>system</t>
        </is>
      </c>
      <c r="H916" s="2" t="inlineStr">
        <is>
          <t>01.01.01 : Mensalidade</t>
        </is>
      </c>
      <c r="I916" s="3" t="n">
        <v>107.17</v>
      </c>
      <c r="J916" s="2" t="n"/>
      <c r="K916" s="2">
        <f>IF(H916="02.09 : Outras Saídas", IF(OR(ISNUMBER(SEARCH("CHEQUE COMPE SICREDI", F916)), ISNUMBER(SEARCH("aniversario", F916)), ISNUMBER(SEARCH("churrasco", F916)), ISNUMBER(SEARCH("bolo", F916)), ISNUMBER(SEARCH("SUPERMERCADO", F916))), "6.1 Despesas Administrativas (Pessoal)", IF(OR(ISNUMBER(SEARCH("DLKNET", F916)), ISNUMBER(SEARCH("TESTE", F916))), "6.1 Despesas Administrativas (Gerais)", IFERROR(VLOOKUP(H916, De_Para!A:B, 2, FALSE), "NÃO MAPEADO"))), IFERROR(VLOOKUP(H916, De_Para!A:B, 2, FALSE), "NÃO MAPEADO"))</f>
        <v/>
      </c>
    </row>
    <row r="917">
      <c r="A917" s="2" t="inlineStr">
        <is>
          <t>68770</t>
        </is>
      </c>
      <c r="B917" s="2" t="inlineStr">
        <is>
          <t>Sicredi SNI</t>
        </is>
      </c>
      <c r="C917" s="2" t="inlineStr">
        <is>
          <t>15/06/2026</t>
        </is>
      </c>
      <c r="D917" s="2" t="inlineStr">
        <is>
          <t>15/06/2026</t>
        </is>
      </c>
      <c r="E917" s="2" t="inlineStr">
        <is>
          <t>PIX</t>
        </is>
      </c>
      <c r="F917" s="2" t="inlineStr">
        <is>
          <t>Boleto "63627" do cliente "JOSINEI MOTA BRISOLA"</t>
        </is>
      </c>
      <c r="G917" s="2" t="inlineStr">
        <is>
          <t>system</t>
        </is>
      </c>
      <c r="H917" s="2" t="inlineStr">
        <is>
          <t>02.03.02.01 : Cobrança Bancaria</t>
        </is>
      </c>
      <c r="I917" s="2" t="n"/>
      <c r="J917" s="3" t="n">
        <v>-0.49</v>
      </c>
      <c r="K917" s="2">
        <f>IF(H917="02.09 : Outras Saídas", IF(OR(ISNUMBER(SEARCH("CHEQUE COMPE SICREDI", F917)), ISNUMBER(SEARCH("aniversario", F917)), ISNUMBER(SEARCH("churrasco", F917)), ISNUMBER(SEARCH("bolo", F917)), ISNUMBER(SEARCH("SUPERMERCADO", F917))), "6.1 Despesas Administrativas (Pessoal)", IF(OR(ISNUMBER(SEARCH("DLKNET", F917)), ISNUMBER(SEARCH("TESTE", F917))), "6.1 Despesas Administrativas (Gerais)", IFERROR(VLOOKUP(H917, De_Para!A:B, 2, FALSE), "NÃO MAPEADO"))), IFERROR(VLOOKUP(H917, De_Para!A:B, 2, FALSE), "NÃO MAPEADO"))</f>
        <v/>
      </c>
    </row>
    <row r="918">
      <c r="A918" s="2" t="inlineStr">
        <is>
          <t>68769</t>
        </is>
      </c>
      <c r="B918" s="2" t="inlineStr">
        <is>
          <t>Sicredi SNI</t>
        </is>
      </c>
      <c r="C918" s="2" t="inlineStr">
        <is>
          <t>15/06/2026</t>
        </is>
      </c>
      <c r="D918" s="2" t="inlineStr">
        <is>
          <t>15/06/2026</t>
        </is>
      </c>
      <c r="E918" s="2" t="inlineStr">
        <is>
          <t>PIX</t>
        </is>
      </c>
      <c r="F918" s="2" t="inlineStr">
        <is>
          <t>Boleto "63627" do cliente "JOSINEI MOTA BRISOLA"</t>
        </is>
      </c>
      <c r="G918" s="2" t="inlineStr">
        <is>
          <t>system</t>
        </is>
      </c>
      <c r="H918" s="2" t="inlineStr">
        <is>
          <t>01.01.01 : Mensalidade</t>
        </is>
      </c>
      <c r="I918" s="3" t="n">
        <v>104.9</v>
      </c>
      <c r="J918" s="2" t="n"/>
      <c r="K918" s="2">
        <f>IF(H918="02.09 : Outras Saídas", IF(OR(ISNUMBER(SEARCH("CHEQUE COMPE SICREDI", F918)), ISNUMBER(SEARCH("aniversario", F918)), ISNUMBER(SEARCH("churrasco", F918)), ISNUMBER(SEARCH("bolo", F918)), ISNUMBER(SEARCH("SUPERMERCADO", F918))), "6.1 Despesas Administrativas (Pessoal)", IF(OR(ISNUMBER(SEARCH("DLKNET", F918)), ISNUMBER(SEARCH("TESTE", F918))), "6.1 Despesas Administrativas (Gerais)", IFERROR(VLOOKUP(H918, De_Para!A:B, 2, FALSE), "NÃO MAPEADO"))), IFERROR(VLOOKUP(H918, De_Para!A:B, 2, FALSE), "NÃO MAPEADO"))</f>
        <v/>
      </c>
    </row>
    <row r="919">
      <c r="A919" s="2" t="inlineStr">
        <is>
          <t>68768</t>
        </is>
      </c>
      <c r="B919" s="2" t="inlineStr">
        <is>
          <t>Sicredi SNI</t>
        </is>
      </c>
      <c r="C919" s="2" t="inlineStr">
        <is>
          <t>15/06/2026</t>
        </is>
      </c>
      <c r="D919" s="2" t="inlineStr">
        <is>
          <t>15/06/2026</t>
        </is>
      </c>
      <c r="E919" s="2" t="inlineStr">
        <is>
          <t>PIX</t>
        </is>
      </c>
      <c r="F919" s="2" t="inlineStr">
        <is>
          <t>Boleto "67173" do cliente "HUMBERTO CONSTANTE BAGATIN"</t>
        </is>
      </c>
      <c r="G919" s="2" t="inlineStr">
        <is>
          <t>system</t>
        </is>
      </c>
      <c r="H919" s="2" t="inlineStr">
        <is>
          <t>02.03.02.01 : Cobrança Bancaria</t>
        </is>
      </c>
      <c r="I919" s="2" t="n"/>
      <c r="J919" s="3" t="n">
        <v>-0.49</v>
      </c>
      <c r="K919" s="2">
        <f>IF(H919="02.09 : Outras Saídas", IF(OR(ISNUMBER(SEARCH("CHEQUE COMPE SICREDI", F919)), ISNUMBER(SEARCH("aniversario", F919)), ISNUMBER(SEARCH("churrasco", F919)), ISNUMBER(SEARCH("bolo", F919)), ISNUMBER(SEARCH("SUPERMERCADO", F919))), "6.1 Despesas Administrativas (Pessoal)", IF(OR(ISNUMBER(SEARCH("DLKNET", F919)), ISNUMBER(SEARCH("TESTE", F919))), "6.1 Despesas Administrativas (Gerais)", IFERROR(VLOOKUP(H919, De_Para!A:B, 2, FALSE), "NÃO MAPEADO"))), IFERROR(VLOOKUP(H919, De_Para!A:B, 2, FALSE), "NÃO MAPEADO"))</f>
        <v/>
      </c>
    </row>
    <row r="920">
      <c r="A920" s="2" t="inlineStr">
        <is>
          <t>68767</t>
        </is>
      </c>
      <c r="B920" s="2" t="inlineStr">
        <is>
          <t>Sicredi SNI</t>
        </is>
      </c>
      <c r="C920" s="2" t="inlineStr">
        <is>
          <t>15/06/2026</t>
        </is>
      </c>
      <c r="D920" s="2" t="inlineStr">
        <is>
          <t>15/06/2026</t>
        </is>
      </c>
      <c r="E920" s="2" t="inlineStr">
        <is>
          <t>PIX</t>
        </is>
      </c>
      <c r="F920" s="2" t="inlineStr">
        <is>
          <t>Boleto "67173" do cliente "HUMBERTO CONSTANTE BAGATIN"</t>
        </is>
      </c>
      <c r="G920" s="2" t="inlineStr">
        <is>
          <t>system</t>
        </is>
      </c>
      <c r="H920" s="2" t="inlineStr">
        <is>
          <t>01.01.01 : Mensalidade</t>
        </is>
      </c>
      <c r="I920" s="3" t="n">
        <v>104.9</v>
      </c>
      <c r="J920" s="2" t="n"/>
      <c r="K920" s="2">
        <f>IF(H920="02.09 : Outras Saídas", IF(OR(ISNUMBER(SEARCH("CHEQUE COMPE SICREDI", F920)), ISNUMBER(SEARCH("aniversario", F920)), ISNUMBER(SEARCH("churrasco", F920)), ISNUMBER(SEARCH("bolo", F920)), ISNUMBER(SEARCH("SUPERMERCADO", F920))), "6.1 Despesas Administrativas (Pessoal)", IF(OR(ISNUMBER(SEARCH("DLKNET", F920)), ISNUMBER(SEARCH("TESTE", F920))), "6.1 Despesas Administrativas (Gerais)", IFERROR(VLOOKUP(H920, De_Para!A:B, 2, FALSE), "NÃO MAPEADO"))), IFERROR(VLOOKUP(H920, De_Para!A:B, 2, FALSE), "NÃO MAPEADO"))</f>
        <v/>
      </c>
    </row>
    <row r="921">
      <c r="A921" s="2" t="inlineStr">
        <is>
          <t>68766</t>
        </is>
      </c>
      <c r="B921" s="2" t="inlineStr">
        <is>
          <t>Sicredi SNI</t>
        </is>
      </c>
      <c r="C921" s="2" t="inlineStr">
        <is>
          <t>15/06/2026</t>
        </is>
      </c>
      <c r="D921" s="2" t="inlineStr">
        <is>
          <t>15/06/2026</t>
        </is>
      </c>
      <c r="E921" s="2" t="inlineStr">
        <is>
          <t>PIX</t>
        </is>
      </c>
      <c r="F921" s="2" t="inlineStr">
        <is>
          <t>Boleto "63464" do cliente "SILVIA ANDREA TELLES"</t>
        </is>
      </c>
      <c r="G921" s="2" t="inlineStr">
        <is>
          <t>system</t>
        </is>
      </c>
      <c r="H921" s="2" t="inlineStr">
        <is>
          <t>02.03.02.01 : Cobrança Bancaria</t>
        </is>
      </c>
      <c r="I921" s="2" t="n"/>
      <c r="J921" s="3" t="n">
        <v>-0.49</v>
      </c>
      <c r="K921" s="2">
        <f>IF(H921="02.09 : Outras Saídas", IF(OR(ISNUMBER(SEARCH("CHEQUE COMPE SICREDI", F921)), ISNUMBER(SEARCH("aniversario", F921)), ISNUMBER(SEARCH("churrasco", F921)), ISNUMBER(SEARCH("bolo", F921)), ISNUMBER(SEARCH("SUPERMERCADO", F921))), "6.1 Despesas Administrativas (Pessoal)", IF(OR(ISNUMBER(SEARCH("DLKNET", F921)), ISNUMBER(SEARCH("TESTE", F921))), "6.1 Despesas Administrativas (Gerais)", IFERROR(VLOOKUP(H921, De_Para!A:B, 2, FALSE), "NÃO MAPEADO"))), IFERROR(VLOOKUP(H921, De_Para!A:B, 2, FALSE), "NÃO MAPEADO"))</f>
        <v/>
      </c>
    </row>
    <row r="922">
      <c r="A922" s="2" t="inlineStr">
        <is>
          <t>68765</t>
        </is>
      </c>
      <c r="B922" s="2" t="inlineStr">
        <is>
          <t>Sicredi SNI</t>
        </is>
      </c>
      <c r="C922" s="2" t="inlineStr">
        <is>
          <t>15/06/2026</t>
        </is>
      </c>
      <c r="D922" s="2" t="inlineStr">
        <is>
          <t>15/06/2026</t>
        </is>
      </c>
      <c r="E922" s="2" t="inlineStr">
        <is>
          <t>PIX</t>
        </is>
      </c>
      <c r="F922" s="2" t="inlineStr">
        <is>
          <t>Boleto "63464" do cliente "SILVIA ANDREA TELLES"</t>
        </is>
      </c>
      <c r="G922" s="2" t="inlineStr">
        <is>
          <t>system</t>
        </is>
      </c>
      <c r="H922" s="2" t="inlineStr">
        <is>
          <t>01.01.01 : Mensalidade</t>
        </is>
      </c>
      <c r="I922" s="3" t="n">
        <v>107.1</v>
      </c>
      <c r="J922" s="2" t="n"/>
      <c r="K922" s="2">
        <f>IF(H922="02.09 : Outras Saídas", IF(OR(ISNUMBER(SEARCH("CHEQUE COMPE SICREDI", F922)), ISNUMBER(SEARCH("aniversario", F922)), ISNUMBER(SEARCH("churrasco", F922)), ISNUMBER(SEARCH("bolo", F922)), ISNUMBER(SEARCH("SUPERMERCADO", F922))), "6.1 Despesas Administrativas (Pessoal)", IF(OR(ISNUMBER(SEARCH("DLKNET", F922)), ISNUMBER(SEARCH("TESTE", F922))), "6.1 Despesas Administrativas (Gerais)", IFERROR(VLOOKUP(H922, De_Para!A:B, 2, FALSE), "NÃO MAPEADO"))), IFERROR(VLOOKUP(H922, De_Para!A:B, 2, FALSE), "NÃO MAPEADO"))</f>
        <v/>
      </c>
    </row>
    <row r="923">
      <c r="A923" s="2" t="inlineStr">
        <is>
          <t>68764</t>
        </is>
      </c>
      <c r="B923" s="2" t="inlineStr">
        <is>
          <t>Sicredi SNI</t>
        </is>
      </c>
      <c r="C923" s="2" t="inlineStr">
        <is>
          <t>15/06/2026</t>
        </is>
      </c>
      <c r="D923" s="2" t="inlineStr">
        <is>
          <t>15/06/2026</t>
        </is>
      </c>
      <c r="E923" s="2" t="inlineStr">
        <is>
          <t>Dinheiro</t>
        </is>
      </c>
      <c r="F923" s="2" t="inlineStr">
        <is>
          <t>Boleto "64255" do cliente "JOSE PEDRO CODOGNOTTO"</t>
        </is>
      </c>
      <c r="G923" s="2" t="inlineStr">
        <is>
          <t>system</t>
        </is>
      </c>
      <c r="H923" s="2" t="inlineStr">
        <is>
          <t>02.03.02.01 : Cobrança Bancaria</t>
        </is>
      </c>
      <c r="I923" s="2" t="n"/>
      <c r="J923" s="3" t="n">
        <v>-1.08</v>
      </c>
      <c r="K923" s="2">
        <f>IF(H923="02.09 : Outras Saídas", IF(OR(ISNUMBER(SEARCH("CHEQUE COMPE SICREDI", F923)), ISNUMBER(SEARCH("aniversario", F923)), ISNUMBER(SEARCH("churrasco", F923)), ISNUMBER(SEARCH("bolo", F923)), ISNUMBER(SEARCH("SUPERMERCADO", F923))), "6.1 Despesas Administrativas (Pessoal)", IF(OR(ISNUMBER(SEARCH("DLKNET", F923)), ISNUMBER(SEARCH("TESTE", F923))), "6.1 Despesas Administrativas (Gerais)", IFERROR(VLOOKUP(H923, De_Para!A:B, 2, FALSE), "NÃO MAPEADO"))), IFERROR(VLOOKUP(H923, De_Para!A:B, 2, FALSE), "NÃO MAPEADO"))</f>
        <v/>
      </c>
    </row>
    <row r="924">
      <c r="A924" s="2" t="inlineStr">
        <is>
          <t>68763</t>
        </is>
      </c>
      <c r="B924" s="2" t="inlineStr">
        <is>
          <t>Sicredi SNI</t>
        </is>
      </c>
      <c r="C924" s="2" t="inlineStr">
        <is>
          <t>15/06/2026</t>
        </is>
      </c>
      <c r="D924" s="2" t="inlineStr">
        <is>
          <t>15/06/2026</t>
        </is>
      </c>
      <c r="E924" s="2" t="inlineStr">
        <is>
          <t>Dinheiro</t>
        </is>
      </c>
      <c r="F924" s="2" t="inlineStr">
        <is>
          <t>Boleto "64255" do cliente "JOSE PEDRO CODOGNOTTO"</t>
        </is>
      </c>
      <c r="G924" s="2" t="inlineStr">
        <is>
          <t>system</t>
        </is>
      </c>
      <c r="H924" s="2" t="inlineStr">
        <is>
          <t>01.01.01 : Mensalidade</t>
        </is>
      </c>
      <c r="I924" s="3" t="n">
        <v>104.9</v>
      </c>
      <c r="J924" s="2" t="n"/>
      <c r="K924" s="2">
        <f>IF(H924="02.09 : Outras Saídas", IF(OR(ISNUMBER(SEARCH("CHEQUE COMPE SICREDI", F924)), ISNUMBER(SEARCH("aniversario", F924)), ISNUMBER(SEARCH("churrasco", F924)), ISNUMBER(SEARCH("bolo", F924)), ISNUMBER(SEARCH("SUPERMERCADO", F924))), "6.1 Despesas Administrativas (Pessoal)", IF(OR(ISNUMBER(SEARCH("DLKNET", F924)), ISNUMBER(SEARCH("TESTE", F924))), "6.1 Despesas Administrativas (Gerais)", IFERROR(VLOOKUP(H924, De_Para!A:B, 2, FALSE), "NÃO MAPEADO"))), IFERROR(VLOOKUP(H924, De_Para!A:B, 2, FALSE), "NÃO MAPEADO"))</f>
        <v/>
      </c>
    </row>
    <row r="925">
      <c r="A925" s="2" t="inlineStr">
        <is>
          <t>68762</t>
        </is>
      </c>
      <c r="B925" s="2" t="inlineStr">
        <is>
          <t>Sicredi SNI</t>
        </is>
      </c>
      <c r="C925" s="2" t="inlineStr">
        <is>
          <t>15/06/2026</t>
        </is>
      </c>
      <c r="D925" s="2" t="inlineStr">
        <is>
          <t>15/06/2026</t>
        </is>
      </c>
      <c r="E925" s="2" t="inlineStr">
        <is>
          <t>Dinheiro</t>
        </is>
      </c>
      <c r="F925" s="2" t="inlineStr">
        <is>
          <t>Boleto "63117" do cliente "JOSÉ DONIZETE BROCAL"</t>
        </is>
      </c>
      <c r="G925" s="2" t="inlineStr">
        <is>
          <t>system</t>
        </is>
      </c>
      <c r="H925" s="2" t="inlineStr">
        <is>
          <t>02.03.02.01 : Cobrança Bancaria</t>
        </is>
      </c>
      <c r="I925" s="2" t="n"/>
      <c r="J925" s="3" t="n">
        <v>-1.08</v>
      </c>
      <c r="K925" s="2">
        <f>IF(H925="02.09 : Outras Saídas", IF(OR(ISNUMBER(SEARCH("CHEQUE COMPE SICREDI", F925)), ISNUMBER(SEARCH("aniversario", F925)), ISNUMBER(SEARCH("churrasco", F925)), ISNUMBER(SEARCH("bolo", F925)), ISNUMBER(SEARCH("SUPERMERCADO", F925))), "6.1 Despesas Administrativas (Pessoal)", IF(OR(ISNUMBER(SEARCH("DLKNET", F925)), ISNUMBER(SEARCH("TESTE", F925))), "6.1 Despesas Administrativas (Gerais)", IFERROR(VLOOKUP(H925, De_Para!A:B, 2, FALSE), "NÃO MAPEADO"))), IFERROR(VLOOKUP(H925, De_Para!A:B, 2, FALSE), "NÃO MAPEADO"))</f>
        <v/>
      </c>
    </row>
    <row r="926">
      <c r="A926" s="2" t="inlineStr">
        <is>
          <t>68761</t>
        </is>
      </c>
      <c r="B926" s="2" t="inlineStr">
        <is>
          <t>Sicredi SNI</t>
        </is>
      </c>
      <c r="C926" s="2" t="inlineStr">
        <is>
          <t>15/06/2026</t>
        </is>
      </c>
      <c r="D926" s="2" t="inlineStr">
        <is>
          <t>15/06/2026</t>
        </is>
      </c>
      <c r="E926" s="2" t="inlineStr">
        <is>
          <t>Dinheiro</t>
        </is>
      </c>
      <c r="F926" s="2" t="inlineStr">
        <is>
          <t>Boleto "63117" do cliente "JOSÉ DONIZETE BROCAL"</t>
        </is>
      </c>
      <c r="G926" s="2" t="inlineStr">
        <is>
          <t>system</t>
        </is>
      </c>
      <c r="H926" s="2" t="inlineStr">
        <is>
          <t>01.01.01 : Mensalidade</t>
        </is>
      </c>
      <c r="I926" s="3" t="n">
        <v>107.14</v>
      </c>
      <c r="J926" s="2" t="n"/>
      <c r="K926" s="2">
        <f>IF(H926="02.09 : Outras Saídas", IF(OR(ISNUMBER(SEARCH("CHEQUE COMPE SICREDI", F926)), ISNUMBER(SEARCH("aniversario", F926)), ISNUMBER(SEARCH("churrasco", F926)), ISNUMBER(SEARCH("bolo", F926)), ISNUMBER(SEARCH("SUPERMERCADO", F926))), "6.1 Despesas Administrativas (Pessoal)", IF(OR(ISNUMBER(SEARCH("DLKNET", F926)), ISNUMBER(SEARCH("TESTE", F926))), "6.1 Despesas Administrativas (Gerais)", IFERROR(VLOOKUP(H926, De_Para!A:B, 2, FALSE), "NÃO MAPEADO"))), IFERROR(VLOOKUP(H926, De_Para!A:B, 2, FALSE), "NÃO MAPEADO"))</f>
        <v/>
      </c>
    </row>
    <row r="927">
      <c r="A927" s="2" t="inlineStr">
        <is>
          <t>68760</t>
        </is>
      </c>
      <c r="B927" s="2" t="inlineStr">
        <is>
          <t>Sicredi SNI</t>
        </is>
      </c>
      <c r="C927" s="2" t="inlineStr">
        <is>
          <t>15/06/2026</t>
        </is>
      </c>
      <c r="D927" s="2" t="inlineStr">
        <is>
          <t>15/06/2026</t>
        </is>
      </c>
      <c r="E927" s="2" t="inlineStr">
        <is>
          <t>Dinheiro</t>
        </is>
      </c>
      <c r="F927" s="2" t="inlineStr">
        <is>
          <t>Boleto "60541" do cliente "MARIA MARCELINA DUARTE"</t>
        </is>
      </c>
      <c r="G927" s="2" t="inlineStr">
        <is>
          <t>system</t>
        </is>
      </c>
      <c r="H927" s="2" t="inlineStr">
        <is>
          <t>02.03.02.01 : Cobrança Bancaria</t>
        </is>
      </c>
      <c r="I927" s="2" t="n"/>
      <c r="J927" s="3" t="n">
        <v>-1.08</v>
      </c>
      <c r="K927" s="2">
        <f>IF(H927="02.09 : Outras Saídas", IF(OR(ISNUMBER(SEARCH("CHEQUE COMPE SICREDI", F927)), ISNUMBER(SEARCH("aniversario", F927)), ISNUMBER(SEARCH("churrasco", F927)), ISNUMBER(SEARCH("bolo", F927)), ISNUMBER(SEARCH("SUPERMERCADO", F927))), "6.1 Despesas Administrativas (Pessoal)", IF(OR(ISNUMBER(SEARCH("DLKNET", F927)), ISNUMBER(SEARCH("TESTE", F927))), "6.1 Despesas Administrativas (Gerais)", IFERROR(VLOOKUP(H927, De_Para!A:B, 2, FALSE), "NÃO MAPEADO"))), IFERROR(VLOOKUP(H927, De_Para!A:B, 2, FALSE), "NÃO MAPEADO"))</f>
        <v/>
      </c>
    </row>
    <row r="928">
      <c r="A928" s="2" t="inlineStr">
        <is>
          <t>68759</t>
        </is>
      </c>
      <c r="B928" s="2" t="inlineStr">
        <is>
          <t>Sicredi SNI</t>
        </is>
      </c>
      <c r="C928" s="2" t="inlineStr">
        <is>
          <t>15/06/2026</t>
        </is>
      </c>
      <c r="D928" s="2" t="inlineStr">
        <is>
          <t>15/06/2026</t>
        </is>
      </c>
      <c r="E928" s="2" t="inlineStr">
        <is>
          <t>Dinheiro</t>
        </is>
      </c>
      <c r="F928" s="2" t="inlineStr">
        <is>
          <t>Boleto "60541" do cliente "MARIA MARCELINA DUARTE"</t>
        </is>
      </c>
      <c r="G928" s="2" t="inlineStr">
        <is>
          <t>system</t>
        </is>
      </c>
      <c r="H928" s="2" t="inlineStr">
        <is>
          <t>01.01.01 : Mensalidade</t>
        </is>
      </c>
      <c r="I928" s="3" t="n">
        <v>105</v>
      </c>
      <c r="J928" s="2" t="n"/>
      <c r="K928" s="2">
        <f>IF(H928="02.09 : Outras Saídas", IF(OR(ISNUMBER(SEARCH("CHEQUE COMPE SICREDI", F928)), ISNUMBER(SEARCH("aniversario", F928)), ISNUMBER(SEARCH("churrasco", F928)), ISNUMBER(SEARCH("bolo", F928)), ISNUMBER(SEARCH("SUPERMERCADO", F928))), "6.1 Despesas Administrativas (Pessoal)", IF(OR(ISNUMBER(SEARCH("DLKNET", F928)), ISNUMBER(SEARCH("TESTE", F928))), "6.1 Despesas Administrativas (Gerais)", IFERROR(VLOOKUP(H928, De_Para!A:B, 2, FALSE), "NÃO MAPEADO"))), IFERROR(VLOOKUP(H928, De_Para!A:B, 2, FALSE), "NÃO MAPEADO"))</f>
        <v/>
      </c>
    </row>
    <row r="929">
      <c r="A929" s="2" t="inlineStr">
        <is>
          <t>68758</t>
        </is>
      </c>
      <c r="B929" s="2" t="inlineStr">
        <is>
          <t>Sicredi SNI</t>
        </is>
      </c>
      <c r="C929" s="2" t="inlineStr">
        <is>
          <t>15/06/2026</t>
        </is>
      </c>
      <c r="D929" s="2" t="inlineStr">
        <is>
          <t>15/06/2026</t>
        </is>
      </c>
      <c r="E929" s="2" t="inlineStr">
        <is>
          <t>Dinheiro</t>
        </is>
      </c>
      <c r="F929" s="2" t="inlineStr">
        <is>
          <t>Boleto "58016" do cliente "JOSE ROBERTO BENEDITO GERALDO"</t>
        </is>
      </c>
      <c r="G929" s="2" t="inlineStr">
        <is>
          <t>system</t>
        </is>
      </c>
      <c r="H929" s="2" t="inlineStr">
        <is>
          <t>02.03.02.01 : Cobrança Bancaria</t>
        </is>
      </c>
      <c r="I929" s="2" t="n"/>
      <c r="J929" s="3" t="n">
        <v>-1.08</v>
      </c>
      <c r="K929" s="2">
        <f>IF(H929="02.09 : Outras Saídas", IF(OR(ISNUMBER(SEARCH("CHEQUE COMPE SICREDI", F929)), ISNUMBER(SEARCH("aniversario", F929)), ISNUMBER(SEARCH("churrasco", F929)), ISNUMBER(SEARCH("bolo", F929)), ISNUMBER(SEARCH("SUPERMERCADO", F929))), "6.1 Despesas Administrativas (Pessoal)", IF(OR(ISNUMBER(SEARCH("DLKNET", F929)), ISNUMBER(SEARCH("TESTE", F929))), "6.1 Despesas Administrativas (Gerais)", IFERROR(VLOOKUP(H929, De_Para!A:B, 2, FALSE), "NÃO MAPEADO"))), IFERROR(VLOOKUP(H929, De_Para!A:B, 2, FALSE), "NÃO MAPEADO"))</f>
        <v/>
      </c>
    </row>
    <row r="930">
      <c r="A930" s="2" t="inlineStr">
        <is>
          <t>68757</t>
        </is>
      </c>
      <c r="B930" s="2" t="inlineStr">
        <is>
          <t>Sicredi SNI</t>
        </is>
      </c>
      <c r="C930" s="2" t="inlineStr">
        <is>
          <t>15/06/2026</t>
        </is>
      </c>
      <c r="D930" s="2" t="inlineStr">
        <is>
          <t>15/06/2026</t>
        </is>
      </c>
      <c r="E930" s="2" t="inlineStr">
        <is>
          <t>Dinheiro</t>
        </is>
      </c>
      <c r="F930" s="2" t="inlineStr">
        <is>
          <t>Boleto "58016" do cliente "JOSE ROBERTO BENEDITO GERALDO"</t>
        </is>
      </c>
      <c r="G930" s="2" t="inlineStr">
        <is>
          <t>system</t>
        </is>
      </c>
      <c r="H930" s="2" t="inlineStr">
        <is>
          <t>01.01.01 : Mensalidade</t>
        </is>
      </c>
      <c r="I930" s="3" t="n">
        <v>107.3</v>
      </c>
      <c r="J930" s="2" t="n"/>
      <c r="K930" s="2">
        <f>IF(H930="02.09 : Outras Saídas", IF(OR(ISNUMBER(SEARCH("CHEQUE COMPE SICREDI", F930)), ISNUMBER(SEARCH("aniversario", F930)), ISNUMBER(SEARCH("churrasco", F930)), ISNUMBER(SEARCH("bolo", F930)), ISNUMBER(SEARCH("SUPERMERCADO", F930))), "6.1 Despesas Administrativas (Pessoal)", IF(OR(ISNUMBER(SEARCH("DLKNET", F930)), ISNUMBER(SEARCH("TESTE", F930))), "6.1 Despesas Administrativas (Gerais)", IFERROR(VLOOKUP(H930, De_Para!A:B, 2, FALSE), "NÃO MAPEADO"))), IFERROR(VLOOKUP(H930, De_Para!A:B, 2, FALSE), "NÃO MAPEADO"))</f>
        <v/>
      </c>
    </row>
    <row r="931">
      <c r="A931" s="2" t="inlineStr">
        <is>
          <t>68756</t>
        </is>
      </c>
      <c r="B931" s="2" t="inlineStr">
        <is>
          <t>Sicredi SNI</t>
        </is>
      </c>
      <c r="C931" s="2" t="inlineStr">
        <is>
          <t>15/06/2026</t>
        </is>
      </c>
      <c r="D931" s="2" t="inlineStr">
        <is>
          <t>15/06/2026</t>
        </is>
      </c>
      <c r="E931" s="2" t="inlineStr">
        <is>
          <t>Dinheiro</t>
        </is>
      </c>
      <c r="F931" s="2" t="inlineStr">
        <is>
          <t>Boleto "57996" do cliente "VALDECI DONIZETE PEREIRA"</t>
        </is>
      </c>
      <c r="G931" s="2" t="inlineStr">
        <is>
          <t>system</t>
        </is>
      </c>
      <c r="H931" s="2" t="inlineStr">
        <is>
          <t>02.03.02.01 : Cobrança Bancaria</t>
        </is>
      </c>
      <c r="I931" s="2" t="n"/>
      <c r="J931" s="3" t="n">
        <v>-1.08</v>
      </c>
      <c r="K931" s="2">
        <f>IF(H931="02.09 : Outras Saídas", IF(OR(ISNUMBER(SEARCH("CHEQUE COMPE SICREDI", F931)), ISNUMBER(SEARCH("aniversario", F931)), ISNUMBER(SEARCH("churrasco", F931)), ISNUMBER(SEARCH("bolo", F931)), ISNUMBER(SEARCH("SUPERMERCADO", F931))), "6.1 Despesas Administrativas (Pessoal)", IF(OR(ISNUMBER(SEARCH("DLKNET", F931)), ISNUMBER(SEARCH("TESTE", F931))), "6.1 Despesas Administrativas (Gerais)", IFERROR(VLOOKUP(H931, De_Para!A:B, 2, FALSE), "NÃO MAPEADO"))), IFERROR(VLOOKUP(H931, De_Para!A:B, 2, FALSE), "NÃO MAPEADO"))</f>
        <v/>
      </c>
    </row>
    <row r="932">
      <c r="A932" s="2" t="inlineStr">
        <is>
          <t>68755</t>
        </is>
      </c>
      <c r="B932" s="2" t="inlineStr">
        <is>
          <t>Sicredi SNI</t>
        </is>
      </c>
      <c r="C932" s="2" t="inlineStr">
        <is>
          <t>15/06/2026</t>
        </is>
      </c>
      <c r="D932" s="2" t="inlineStr">
        <is>
          <t>15/06/2026</t>
        </is>
      </c>
      <c r="E932" s="2" t="inlineStr">
        <is>
          <t>Dinheiro</t>
        </is>
      </c>
      <c r="F932" s="2" t="inlineStr">
        <is>
          <t>Boleto "57996" do cliente "VALDECI DONIZETE PEREIRA"</t>
        </is>
      </c>
      <c r="G932" s="2" t="inlineStr">
        <is>
          <t>system</t>
        </is>
      </c>
      <c r="H932" s="2" t="inlineStr">
        <is>
          <t>01.01.01 : Mensalidade</t>
        </is>
      </c>
      <c r="I932" s="3" t="n">
        <v>100</v>
      </c>
      <c r="J932" s="2" t="n"/>
      <c r="K932" s="2">
        <f>IF(H932="02.09 : Outras Saídas", IF(OR(ISNUMBER(SEARCH("CHEQUE COMPE SICREDI", F932)), ISNUMBER(SEARCH("aniversario", F932)), ISNUMBER(SEARCH("churrasco", F932)), ISNUMBER(SEARCH("bolo", F932)), ISNUMBER(SEARCH("SUPERMERCADO", F932))), "6.1 Despesas Administrativas (Pessoal)", IF(OR(ISNUMBER(SEARCH("DLKNET", F932)), ISNUMBER(SEARCH("TESTE", F932))), "6.1 Despesas Administrativas (Gerais)", IFERROR(VLOOKUP(H932, De_Para!A:B, 2, FALSE), "NÃO MAPEADO"))), IFERROR(VLOOKUP(H932, De_Para!A:B, 2, FALSE), "NÃO MAPEADO"))</f>
        <v/>
      </c>
    </row>
    <row r="933">
      <c r="A933" s="2" t="inlineStr">
        <is>
          <t>68754</t>
        </is>
      </c>
      <c r="B933" s="2" t="inlineStr">
        <is>
          <t>Sicredi SNI</t>
        </is>
      </c>
      <c r="C933" s="2" t="inlineStr">
        <is>
          <t>14/06/2026</t>
        </is>
      </c>
      <c r="D933" s="2" t="inlineStr">
        <is>
          <t>14/06/2026</t>
        </is>
      </c>
      <c r="E933" s="2" t="inlineStr">
        <is>
          <t>PIX</t>
        </is>
      </c>
      <c r="F933" s="2" t="inlineStr">
        <is>
          <t>Boleto "58101" do cliente "VANESSA SIQUEIRA DA CUNHA"</t>
        </is>
      </c>
      <c r="G933" s="2" t="inlineStr">
        <is>
          <t>system</t>
        </is>
      </c>
      <c r="H933" s="2" t="inlineStr">
        <is>
          <t>02.03.02.01 : Cobrança Bancaria</t>
        </is>
      </c>
      <c r="I933" s="2" t="n"/>
      <c r="J933" s="3" t="n">
        <v>-0.49</v>
      </c>
      <c r="K933" s="2">
        <f>IF(H933="02.09 : Outras Saídas", IF(OR(ISNUMBER(SEARCH("CHEQUE COMPE SICREDI", F933)), ISNUMBER(SEARCH("aniversario", F933)), ISNUMBER(SEARCH("churrasco", F933)), ISNUMBER(SEARCH("bolo", F933)), ISNUMBER(SEARCH("SUPERMERCADO", F933))), "6.1 Despesas Administrativas (Pessoal)", IF(OR(ISNUMBER(SEARCH("DLKNET", F933)), ISNUMBER(SEARCH("TESTE", F933))), "6.1 Despesas Administrativas (Gerais)", IFERROR(VLOOKUP(H933, De_Para!A:B, 2, FALSE), "NÃO MAPEADO"))), IFERROR(VLOOKUP(H933, De_Para!A:B, 2, FALSE), "NÃO MAPEADO"))</f>
        <v/>
      </c>
    </row>
    <row r="934">
      <c r="A934" s="2" t="inlineStr">
        <is>
          <t>68753</t>
        </is>
      </c>
      <c r="B934" s="2" t="inlineStr">
        <is>
          <t>Sicredi SNI</t>
        </is>
      </c>
      <c r="C934" s="2" t="inlineStr">
        <is>
          <t>14/06/2026</t>
        </is>
      </c>
      <c r="D934" s="2" t="inlineStr">
        <is>
          <t>14/06/2026</t>
        </is>
      </c>
      <c r="E934" s="2" t="inlineStr">
        <is>
          <t>PIX</t>
        </is>
      </c>
      <c r="F934" s="2" t="inlineStr">
        <is>
          <t>Boleto "58101" do cliente "VANESSA SIQUEIRA DA CUNHA"</t>
        </is>
      </c>
      <c r="G934" s="2" t="inlineStr">
        <is>
          <t>system</t>
        </is>
      </c>
      <c r="H934" s="2" t="inlineStr">
        <is>
          <t>01.01.01 : Mensalidade</t>
        </is>
      </c>
      <c r="I934" s="3" t="n">
        <v>107.27</v>
      </c>
      <c r="J934" s="2" t="n"/>
      <c r="K934" s="2">
        <f>IF(H934="02.09 : Outras Saídas", IF(OR(ISNUMBER(SEARCH("CHEQUE COMPE SICREDI", F934)), ISNUMBER(SEARCH("aniversario", F934)), ISNUMBER(SEARCH("churrasco", F934)), ISNUMBER(SEARCH("bolo", F934)), ISNUMBER(SEARCH("SUPERMERCADO", F934))), "6.1 Despesas Administrativas (Pessoal)", IF(OR(ISNUMBER(SEARCH("DLKNET", F934)), ISNUMBER(SEARCH("TESTE", F934))), "6.1 Despesas Administrativas (Gerais)", IFERROR(VLOOKUP(H934, De_Para!A:B, 2, FALSE), "NÃO MAPEADO"))), IFERROR(VLOOKUP(H934, De_Para!A:B, 2, FALSE), "NÃO MAPEADO"))</f>
        <v/>
      </c>
    </row>
    <row r="935">
      <c r="A935" s="2" t="inlineStr">
        <is>
          <t>68752</t>
        </is>
      </c>
      <c r="B935" s="2" t="inlineStr">
        <is>
          <t>Sicredi SNI</t>
        </is>
      </c>
      <c r="C935" s="2" t="inlineStr">
        <is>
          <t>13/06/2026</t>
        </is>
      </c>
      <c r="D935" s="2" t="inlineStr">
        <is>
          <t>13/06/2026</t>
        </is>
      </c>
      <c r="E935" s="2" t="inlineStr">
        <is>
          <t>PIX</t>
        </is>
      </c>
      <c r="F935" s="2" t="inlineStr">
        <is>
          <t>Boleto "58167" do cliente "MARCELO RAMOS"</t>
        </is>
      </c>
      <c r="G935" s="2" t="inlineStr">
        <is>
          <t>system</t>
        </is>
      </c>
      <c r="H935" s="2" t="inlineStr">
        <is>
          <t>02.03.02.01 : Cobrança Bancaria</t>
        </is>
      </c>
      <c r="I935" s="2" t="n"/>
      <c r="J935" s="3" t="n">
        <v>-0.49</v>
      </c>
      <c r="K935" s="2">
        <f>IF(H935="02.09 : Outras Saídas", IF(OR(ISNUMBER(SEARCH("CHEQUE COMPE SICREDI", F935)), ISNUMBER(SEARCH("aniversario", F935)), ISNUMBER(SEARCH("churrasco", F935)), ISNUMBER(SEARCH("bolo", F935)), ISNUMBER(SEARCH("SUPERMERCADO", F935))), "6.1 Despesas Administrativas (Pessoal)", IF(OR(ISNUMBER(SEARCH("DLKNET", F935)), ISNUMBER(SEARCH("TESTE", F935))), "6.1 Despesas Administrativas (Gerais)", IFERROR(VLOOKUP(H935, De_Para!A:B, 2, FALSE), "NÃO MAPEADO"))), IFERROR(VLOOKUP(H935, De_Para!A:B, 2, FALSE), "NÃO MAPEADO"))</f>
        <v/>
      </c>
    </row>
    <row r="936">
      <c r="A936" s="2" t="inlineStr">
        <is>
          <t>68751</t>
        </is>
      </c>
      <c r="B936" s="2" t="inlineStr">
        <is>
          <t>Sicredi SNI</t>
        </is>
      </c>
      <c r="C936" s="2" t="inlineStr">
        <is>
          <t>13/06/2026</t>
        </is>
      </c>
      <c r="D936" s="2" t="inlineStr">
        <is>
          <t>13/06/2026</t>
        </is>
      </c>
      <c r="E936" s="2" t="inlineStr">
        <is>
          <t>PIX</t>
        </is>
      </c>
      <c r="F936" s="2" t="inlineStr">
        <is>
          <t>Boleto "58167" do cliente "MARCELO RAMOS"</t>
        </is>
      </c>
      <c r="G936" s="2" t="inlineStr">
        <is>
          <t>system</t>
        </is>
      </c>
      <c r="H936" s="2" t="inlineStr">
        <is>
          <t>01.01.01 : Mensalidade</t>
        </is>
      </c>
      <c r="I936" s="3" t="n">
        <v>107.2</v>
      </c>
      <c r="J936" s="2" t="n"/>
      <c r="K936" s="2">
        <f>IF(H936="02.09 : Outras Saídas", IF(OR(ISNUMBER(SEARCH("CHEQUE COMPE SICREDI", F936)), ISNUMBER(SEARCH("aniversario", F936)), ISNUMBER(SEARCH("churrasco", F936)), ISNUMBER(SEARCH("bolo", F936)), ISNUMBER(SEARCH("SUPERMERCADO", F936))), "6.1 Despesas Administrativas (Pessoal)", IF(OR(ISNUMBER(SEARCH("DLKNET", F936)), ISNUMBER(SEARCH("TESTE", F936))), "6.1 Despesas Administrativas (Gerais)", IFERROR(VLOOKUP(H936, De_Para!A:B, 2, FALSE), "NÃO MAPEADO"))), IFERROR(VLOOKUP(H936, De_Para!A:B, 2, FALSE), "NÃO MAPEADO"))</f>
        <v/>
      </c>
    </row>
    <row r="937">
      <c r="A937" s="2" t="inlineStr">
        <is>
          <t>68750</t>
        </is>
      </c>
      <c r="B937" s="2" t="inlineStr">
        <is>
          <t>Sicredi SNI</t>
        </is>
      </c>
      <c r="C937" s="2" t="inlineStr">
        <is>
          <t>13/06/2026</t>
        </is>
      </c>
      <c r="D937" s="2" t="inlineStr">
        <is>
          <t>13/06/2026</t>
        </is>
      </c>
      <c r="E937" s="2" t="inlineStr">
        <is>
          <t>PIX</t>
        </is>
      </c>
      <c r="F937" s="2" t="inlineStr">
        <is>
          <t>Boleto "56986" do cliente "GUILHERME PEREIRA NANTES"</t>
        </is>
      </c>
      <c r="G937" s="2" t="inlineStr">
        <is>
          <t>system</t>
        </is>
      </c>
      <c r="H937" s="2" t="inlineStr">
        <is>
          <t>02.03.02.01 : Cobrança Bancaria</t>
        </is>
      </c>
      <c r="I937" s="2" t="n"/>
      <c r="J937" s="3" t="n">
        <v>-0.49</v>
      </c>
      <c r="K937" s="2">
        <f>IF(H937="02.09 : Outras Saídas", IF(OR(ISNUMBER(SEARCH("CHEQUE COMPE SICREDI", F937)), ISNUMBER(SEARCH("aniversario", F937)), ISNUMBER(SEARCH("churrasco", F937)), ISNUMBER(SEARCH("bolo", F937)), ISNUMBER(SEARCH("SUPERMERCADO", F937))), "6.1 Despesas Administrativas (Pessoal)", IF(OR(ISNUMBER(SEARCH("DLKNET", F937)), ISNUMBER(SEARCH("TESTE", F937))), "6.1 Despesas Administrativas (Gerais)", IFERROR(VLOOKUP(H937, De_Para!A:B, 2, FALSE), "NÃO MAPEADO"))), IFERROR(VLOOKUP(H937, De_Para!A:B, 2, FALSE), "NÃO MAPEADO"))</f>
        <v/>
      </c>
    </row>
    <row r="938">
      <c r="A938" s="2" t="inlineStr">
        <is>
          <t>68749</t>
        </is>
      </c>
      <c r="B938" s="2" t="inlineStr">
        <is>
          <t>Sicredi SNI</t>
        </is>
      </c>
      <c r="C938" s="2" t="inlineStr">
        <is>
          <t>13/06/2026</t>
        </is>
      </c>
      <c r="D938" s="2" t="inlineStr">
        <is>
          <t>13/06/2026</t>
        </is>
      </c>
      <c r="E938" s="2" t="inlineStr">
        <is>
          <t>PIX</t>
        </is>
      </c>
      <c r="F938" s="2" t="inlineStr">
        <is>
          <t>Boleto "56986" do cliente "GUILHERME PEREIRA NANTES"</t>
        </is>
      </c>
      <c r="G938" s="2" t="inlineStr">
        <is>
          <t>system</t>
        </is>
      </c>
      <c r="H938" s="2" t="inlineStr">
        <is>
          <t>01.01.01 : Mensalidade</t>
        </is>
      </c>
      <c r="I938" s="3" t="n">
        <v>107.2</v>
      </c>
      <c r="J938" s="2" t="n"/>
      <c r="K938" s="2">
        <f>IF(H938="02.09 : Outras Saídas", IF(OR(ISNUMBER(SEARCH("CHEQUE COMPE SICREDI", F938)), ISNUMBER(SEARCH("aniversario", F938)), ISNUMBER(SEARCH("churrasco", F938)), ISNUMBER(SEARCH("bolo", F938)), ISNUMBER(SEARCH("SUPERMERCADO", F938))), "6.1 Despesas Administrativas (Pessoal)", IF(OR(ISNUMBER(SEARCH("DLKNET", F938)), ISNUMBER(SEARCH("TESTE", F938))), "6.1 Despesas Administrativas (Gerais)", IFERROR(VLOOKUP(H938, De_Para!A:B, 2, FALSE), "NÃO MAPEADO"))), IFERROR(VLOOKUP(H938, De_Para!A:B, 2, FALSE), "NÃO MAPEADO"))</f>
        <v/>
      </c>
    </row>
    <row r="939">
      <c r="A939" s="2" t="inlineStr">
        <is>
          <t>68748</t>
        </is>
      </c>
      <c r="B939" s="2" t="inlineStr">
        <is>
          <t>Sicredi SNI</t>
        </is>
      </c>
      <c r="C939" s="2" t="inlineStr">
        <is>
          <t>13/06/2026</t>
        </is>
      </c>
      <c r="D939" s="2" t="inlineStr">
        <is>
          <t>13/06/2026</t>
        </is>
      </c>
      <c r="E939" s="2" t="inlineStr">
        <is>
          <t>PIX</t>
        </is>
      </c>
      <c r="F939" s="2" t="inlineStr">
        <is>
          <t>Boleto "69202" do cliente "GUILHERME PEREIRA NANTES"</t>
        </is>
      </c>
      <c r="G939" s="2" t="inlineStr">
        <is>
          <t>system</t>
        </is>
      </c>
      <c r="H939" s="2" t="inlineStr">
        <is>
          <t>02.03.02.01 : Cobrança Bancaria</t>
        </is>
      </c>
      <c r="I939" s="2" t="n"/>
      <c r="J939" s="3" t="n">
        <v>-0.49</v>
      </c>
      <c r="K939" s="2">
        <f>IF(H939="02.09 : Outras Saídas", IF(OR(ISNUMBER(SEARCH("CHEQUE COMPE SICREDI", F939)), ISNUMBER(SEARCH("aniversario", F939)), ISNUMBER(SEARCH("churrasco", F939)), ISNUMBER(SEARCH("bolo", F939)), ISNUMBER(SEARCH("SUPERMERCADO", F939))), "6.1 Despesas Administrativas (Pessoal)", IF(OR(ISNUMBER(SEARCH("DLKNET", F939)), ISNUMBER(SEARCH("TESTE", F939))), "6.1 Despesas Administrativas (Gerais)", IFERROR(VLOOKUP(H939, De_Para!A:B, 2, FALSE), "NÃO MAPEADO"))), IFERROR(VLOOKUP(H939, De_Para!A:B, 2, FALSE), "NÃO MAPEADO"))</f>
        <v/>
      </c>
    </row>
    <row r="940">
      <c r="A940" s="2" t="inlineStr">
        <is>
          <t>68747</t>
        </is>
      </c>
      <c r="B940" s="2" t="inlineStr">
        <is>
          <t>Sicredi SNI</t>
        </is>
      </c>
      <c r="C940" s="2" t="inlineStr">
        <is>
          <t>13/06/2026</t>
        </is>
      </c>
      <c r="D940" s="2" t="inlineStr">
        <is>
          <t>13/06/2026</t>
        </is>
      </c>
      <c r="E940" s="2" t="inlineStr">
        <is>
          <t>PIX</t>
        </is>
      </c>
      <c r="F940" s="2" t="inlineStr">
        <is>
          <t>Boleto "69202" do cliente "GUILHERME PEREIRA NANTES"</t>
        </is>
      </c>
      <c r="G940" s="2" t="inlineStr">
        <is>
          <t>system</t>
        </is>
      </c>
      <c r="H940" s="2" t="inlineStr">
        <is>
          <t>01.60.01 : Serviço de reparo e manutenção</t>
        </is>
      </c>
      <c r="I940" s="3" t="n">
        <v>51.05</v>
      </c>
      <c r="J940" s="2" t="n"/>
      <c r="K940" s="2">
        <f>IF(H940="02.09 : Outras Saídas", IF(OR(ISNUMBER(SEARCH("CHEQUE COMPE SICREDI", F940)), ISNUMBER(SEARCH("aniversario", F940)), ISNUMBER(SEARCH("churrasco", F940)), ISNUMBER(SEARCH("bolo", F940)), ISNUMBER(SEARCH("SUPERMERCADO", F940))), "6.1 Despesas Administrativas (Pessoal)", IF(OR(ISNUMBER(SEARCH("DLKNET", F940)), ISNUMBER(SEARCH("TESTE", F940))), "6.1 Despesas Administrativas (Gerais)", IFERROR(VLOOKUP(H940, De_Para!A:B, 2, FALSE), "NÃO MAPEADO"))), IFERROR(VLOOKUP(H940, De_Para!A:B, 2, FALSE), "NÃO MAPEADO"))</f>
        <v/>
      </c>
    </row>
    <row r="941">
      <c r="A941" s="2" t="inlineStr">
        <is>
          <t>68746</t>
        </is>
      </c>
      <c r="B941" s="2" t="inlineStr">
        <is>
          <t>Sicredi SNI</t>
        </is>
      </c>
      <c r="C941" s="2" t="inlineStr">
        <is>
          <t>13/06/2026</t>
        </is>
      </c>
      <c r="D941" s="2" t="inlineStr">
        <is>
          <t>13/06/2026</t>
        </is>
      </c>
      <c r="E941" s="2" t="inlineStr">
        <is>
          <t>PIX</t>
        </is>
      </c>
      <c r="F941" s="2" t="inlineStr">
        <is>
          <t>Boleto "61919" do cliente "ALDIR APARECIDO STIVAN"</t>
        </is>
      </c>
      <c r="G941" s="2" t="inlineStr">
        <is>
          <t>system</t>
        </is>
      </c>
      <c r="H941" s="2" t="inlineStr">
        <is>
          <t>02.03.02.01 : Cobrança Bancaria</t>
        </is>
      </c>
      <c r="I941" s="2" t="n"/>
      <c r="J941" s="3" t="n">
        <v>-0.49</v>
      </c>
      <c r="K941" s="2">
        <f>IF(H941="02.09 : Outras Saídas", IF(OR(ISNUMBER(SEARCH("CHEQUE COMPE SICREDI", F941)), ISNUMBER(SEARCH("aniversario", F941)), ISNUMBER(SEARCH("churrasco", F941)), ISNUMBER(SEARCH("bolo", F941)), ISNUMBER(SEARCH("SUPERMERCADO", F941))), "6.1 Despesas Administrativas (Pessoal)", IF(OR(ISNUMBER(SEARCH("DLKNET", F941)), ISNUMBER(SEARCH("TESTE", F941))), "6.1 Despesas Administrativas (Gerais)", IFERROR(VLOOKUP(H941, De_Para!A:B, 2, FALSE), "NÃO MAPEADO"))), IFERROR(VLOOKUP(H941, De_Para!A:B, 2, FALSE), "NÃO MAPEADO"))</f>
        <v/>
      </c>
    </row>
    <row r="942">
      <c r="A942" s="2" t="inlineStr">
        <is>
          <t>68745</t>
        </is>
      </c>
      <c r="B942" s="2" t="inlineStr">
        <is>
          <t>Sicredi SNI</t>
        </is>
      </c>
      <c r="C942" s="2" t="inlineStr">
        <is>
          <t>13/06/2026</t>
        </is>
      </c>
      <c r="D942" s="2" t="inlineStr">
        <is>
          <t>13/06/2026</t>
        </is>
      </c>
      <c r="E942" s="2" t="inlineStr">
        <is>
          <t>PIX</t>
        </is>
      </c>
      <c r="F942" s="2" t="inlineStr">
        <is>
          <t>Boleto "61919" do cliente "ALDIR APARECIDO STIVAN"</t>
        </is>
      </c>
      <c r="G942" s="2" t="inlineStr">
        <is>
          <t>system</t>
        </is>
      </c>
      <c r="H942" s="2" t="inlineStr">
        <is>
          <t>01.03.01 : Mensalidade</t>
        </is>
      </c>
      <c r="I942" s="3" t="n">
        <v>105</v>
      </c>
      <c r="J942" s="2" t="n"/>
      <c r="K942" s="2">
        <f>IF(H942="02.09 : Outras Saídas", IF(OR(ISNUMBER(SEARCH("CHEQUE COMPE SICREDI", F942)), ISNUMBER(SEARCH("aniversario", F942)), ISNUMBER(SEARCH("churrasco", F942)), ISNUMBER(SEARCH("bolo", F942)), ISNUMBER(SEARCH("SUPERMERCADO", F942))), "6.1 Despesas Administrativas (Pessoal)", IF(OR(ISNUMBER(SEARCH("DLKNET", F942)), ISNUMBER(SEARCH("TESTE", F942))), "6.1 Despesas Administrativas (Gerais)", IFERROR(VLOOKUP(H942, De_Para!A:B, 2, FALSE), "NÃO MAPEADO"))), IFERROR(VLOOKUP(H942, De_Para!A:B, 2, FALSE), "NÃO MAPEADO"))</f>
        <v/>
      </c>
    </row>
    <row r="943">
      <c r="A943" s="2" t="inlineStr">
        <is>
          <t>68744</t>
        </is>
      </c>
      <c r="B943" s="2" t="inlineStr">
        <is>
          <t>Sicredi SNI</t>
        </is>
      </c>
      <c r="C943" s="2" t="inlineStr">
        <is>
          <t>13/06/2026</t>
        </is>
      </c>
      <c r="D943" s="2" t="inlineStr">
        <is>
          <t>13/06/2026</t>
        </is>
      </c>
      <c r="E943" s="2" t="inlineStr">
        <is>
          <t>PIX</t>
        </is>
      </c>
      <c r="F943" s="2" t="inlineStr">
        <is>
          <t>Boleto "67019" do cliente "HELENA CAMARGO DOS SANTOS"</t>
        </is>
      </c>
      <c r="G943" s="2" t="inlineStr">
        <is>
          <t>system</t>
        </is>
      </c>
      <c r="H943" s="2" t="inlineStr">
        <is>
          <t>02.03.02.01 : Cobrança Bancaria</t>
        </is>
      </c>
      <c r="I943" s="2" t="n"/>
      <c r="J943" s="3" t="n">
        <v>-0.49</v>
      </c>
      <c r="K943" s="2">
        <f>IF(H943="02.09 : Outras Saídas", IF(OR(ISNUMBER(SEARCH("CHEQUE COMPE SICREDI", F943)), ISNUMBER(SEARCH("aniversario", F943)), ISNUMBER(SEARCH("churrasco", F943)), ISNUMBER(SEARCH("bolo", F943)), ISNUMBER(SEARCH("SUPERMERCADO", F943))), "6.1 Despesas Administrativas (Pessoal)", IF(OR(ISNUMBER(SEARCH("DLKNET", F943)), ISNUMBER(SEARCH("TESTE", F943))), "6.1 Despesas Administrativas (Gerais)", IFERROR(VLOOKUP(H943, De_Para!A:B, 2, FALSE), "NÃO MAPEADO"))), IFERROR(VLOOKUP(H943, De_Para!A:B, 2, FALSE), "NÃO MAPEADO"))</f>
        <v/>
      </c>
    </row>
    <row r="944">
      <c r="A944" s="2" t="inlineStr">
        <is>
          <t>68743</t>
        </is>
      </c>
      <c r="B944" s="2" t="inlineStr">
        <is>
          <t>Sicredi SNI</t>
        </is>
      </c>
      <c r="C944" s="2" t="inlineStr">
        <is>
          <t>13/06/2026</t>
        </is>
      </c>
      <c r="D944" s="2" t="inlineStr">
        <is>
          <t>13/06/2026</t>
        </is>
      </c>
      <c r="E944" s="2" t="inlineStr">
        <is>
          <t>PIX</t>
        </is>
      </c>
      <c r="F944" s="2" t="inlineStr">
        <is>
          <t>Boleto "67019" do cliente "HELENA CAMARGO DOS SANTOS"</t>
        </is>
      </c>
      <c r="G944" s="2" t="inlineStr">
        <is>
          <t>system</t>
        </is>
      </c>
      <c r="H944" s="2" t="inlineStr">
        <is>
          <t>01.03.01 : Mensalidade</t>
        </is>
      </c>
      <c r="I944" s="3" t="n">
        <v>89.14</v>
      </c>
      <c r="J944" s="2" t="n"/>
      <c r="K944" s="2">
        <f>IF(H944="02.09 : Outras Saídas", IF(OR(ISNUMBER(SEARCH("CHEQUE COMPE SICREDI", F944)), ISNUMBER(SEARCH("aniversario", F944)), ISNUMBER(SEARCH("churrasco", F944)), ISNUMBER(SEARCH("bolo", F944)), ISNUMBER(SEARCH("SUPERMERCADO", F944))), "6.1 Despesas Administrativas (Pessoal)", IF(OR(ISNUMBER(SEARCH("DLKNET", F944)), ISNUMBER(SEARCH("TESTE", F944))), "6.1 Despesas Administrativas (Gerais)", IFERROR(VLOOKUP(H944, De_Para!A:B, 2, FALSE), "NÃO MAPEADO"))), IFERROR(VLOOKUP(H944, De_Para!A:B, 2, FALSE), "NÃO MAPEADO"))</f>
        <v/>
      </c>
    </row>
    <row r="945">
      <c r="A945" s="2" t="inlineStr">
        <is>
          <t>68742</t>
        </is>
      </c>
      <c r="B945" s="2" t="inlineStr">
        <is>
          <t>Sicredi SNI</t>
        </is>
      </c>
      <c r="C945" s="2" t="inlineStr">
        <is>
          <t>13/06/2026</t>
        </is>
      </c>
      <c r="D945" s="2" t="inlineStr">
        <is>
          <t>13/06/2026</t>
        </is>
      </c>
      <c r="E945" s="2" t="inlineStr">
        <is>
          <t>PIX</t>
        </is>
      </c>
      <c r="F945" s="2" t="inlineStr">
        <is>
          <t>Boleto "65479" do cliente "LILIAN TELLES DA COSTA"</t>
        </is>
      </c>
      <c r="G945" s="2" t="inlineStr">
        <is>
          <t>system</t>
        </is>
      </c>
      <c r="H945" s="2" t="inlineStr">
        <is>
          <t>02.03.02.01 : Cobrança Bancaria</t>
        </is>
      </c>
      <c r="I945" s="2" t="n"/>
      <c r="J945" s="3" t="n">
        <v>-0.49</v>
      </c>
      <c r="K945" s="2">
        <f>IF(H945="02.09 : Outras Saídas", IF(OR(ISNUMBER(SEARCH("CHEQUE COMPE SICREDI", F945)), ISNUMBER(SEARCH("aniversario", F945)), ISNUMBER(SEARCH("churrasco", F945)), ISNUMBER(SEARCH("bolo", F945)), ISNUMBER(SEARCH("SUPERMERCADO", F945))), "6.1 Despesas Administrativas (Pessoal)", IF(OR(ISNUMBER(SEARCH("DLKNET", F945)), ISNUMBER(SEARCH("TESTE", F945))), "6.1 Despesas Administrativas (Gerais)", IFERROR(VLOOKUP(H945, De_Para!A:B, 2, FALSE), "NÃO MAPEADO"))), IFERROR(VLOOKUP(H945, De_Para!A:B, 2, FALSE), "NÃO MAPEADO"))</f>
        <v/>
      </c>
    </row>
    <row r="946">
      <c r="A946" s="2" t="inlineStr">
        <is>
          <t>68741</t>
        </is>
      </c>
      <c r="B946" s="2" t="inlineStr">
        <is>
          <t>Sicredi SNI</t>
        </is>
      </c>
      <c r="C946" s="2" t="inlineStr">
        <is>
          <t>13/06/2026</t>
        </is>
      </c>
      <c r="D946" s="2" t="inlineStr">
        <is>
          <t>13/06/2026</t>
        </is>
      </c>
      <c r="E946" s="2" t="inlineStr">
        <is>
          <t>PIX</t>
        </is>
      </c>
      <c r="F946" s="2" t="inlineStr">
        <is>
          <t>Boleto "65479" do cliente "LILIAN TELLES DA COSTA"</t>
        </is>
      </c>
      <c r="G946" s="2" t="inlineStr">
        <is>
          <t>system</t>
        </is>
      </c>
      <c r="H946" s="2" t="inlineStr">
        <is>
          <t>01.01.01 : Mensalidade</t>
        </is>
      </c>
      <c r="I946" s="3" t="n">
        <v>112.31</v>
      </c>
      <c r="J946" s="2" t="n"/>
      <c r="K946" s="2">
        <f>IF(H946="02.09 : Outras Saídas", IF(OR(ISNUMBER(SEARCH("CHEQUE COMPE SICREDI", F946)), ISNUMBER(SEARCH("aniversario", F946)), ISNUMBER(SEARCH("churrasco", F946)), ISNUMBER(SEARCH("bolo", F946)), ISNUMBER(SEARCH("SUPERMERCADO", F946))), "6.1 Despesas Administrativas (Pessoal)", IF(OR(ISNUMBER(SEARCH("DLKNET", F946)), ISNUMBER(SEARCH("TESTE", F946))), "6.1 Despesas Administrativas (Gerais)", IFERROR(VLOOKUP(H946, De_Para!A:B, 2, FALSE), "NÃO MAPEADO"))), IFERROR(VLOOKUP(H946, De_Para!A:B, 2, FALSE), "NÃO MAPEADO"))</f>
        <v/>
      </c>
    </row>
    <row r="947">
      <c r="A947" s="2" t="inlineStr">
        <is>
          <t>68740</t>
        </is>
      </c>
      <c r="B947" s="2" t="inlineStr">
        <is>
          <t>Sicoob</t>
        </is>
      </c>
      <c r="C947" s="2" t="inlineStr">
        <is>
          <t>13/06/2026</t>
        </is>
      </c>
      <c r="D947" s="2" t="inlineStr">
        <is>
          <t>12/06/2026</t>
        </is>
      </c>
      <c r="E947" s="2" t="inlineStr">
        <is>
          <t>Dinheiro</t>
        </is>
      </c>
      <c r="F947" s="2" t="inlineStr">
        <is>
          <t>Boleto "57813" do cliente "DÉBORA DE CÁSSIA DA SILVA"</t>
        </is>
      </c>
      <c r="G947" s="2" t="inlineStr">
        <is>
          <t>system</t>
        </is>
      </c>
      <c r="H947" s="2" t="inlineStr">
        <is>
          <t>02.03.02.01 : Cobrança Bancaria</t>
        </is>
      </c>
      <c r="I947" s="2" t="n"/>
      <c r="J947" s="3" t="n">
        <v>-0.3</v>
      </c>
      <c r="K947" s="2">
        <f>IF(H947="02.09 : Outras Saídas", IF(OR(ISNUMBER(SEARCH("CHEQUE COMPE SICREDI", F947)), ISNUMBER(SEARCH("aniversario", F947)), ISNUMBER(SEARCH("churrasco", F947)), ISNUMBER(SEARCH("bolo", F947)), ISNUMBER(SEARCH("SUPERMERCADO", F947))), "6.1 Despesas Administrativas (Pessoal)", IF(OR(ISNUMBER(SEARCH("DLKNET", F947)), ISNUMBER(SEARCH("TESTE", F947))), "6.1 Despesas Administrativas (Gerais)", IFERROR(VLOOKUP(H947, De_Para!A:B, 2, FALSE), "NÃO MAPEADO"))), IFERROR(VLOOKUP(H947, De_Para!A:B, 2, FALSE), "NÃO MAPEADO"))</f>
        <v/>
      </c>
    </row>
    <row r="948">
      <c r="A948" s="2" t="inlineStr">
        <is>
          <t>68739</t>
        </is>
      </c>
      <c r="B948" s="2" t="inlineStr">
        <is>
          <t>Sicoob</t>
        </is>
      </c>
      <c r="C948" s="2" t="inlineStr">
        <is>
          <t>13/06/2026</t>
        </is>
      </c>
      <c r="D948" s="2" t="inlineStr">
        <is>
          <t>12/06/2026</t>
        </is>
      </c>
      <c r="E948" s="2" t="inlineStr">
        <is>
          <t>Dinheiro</t>
        </is>
      </c>
      <c r="F948" s="2" t="inlineStr">
        <is>
          <t>Boleto "57813" do cliente "DÉBORA DE CÁSSIA DA SILVA"</t>
        </is>
      </c>
      <c r="G948" s="2" t="inlineStr">
        <is>
          <t>system</t>
        </is>
      </c>
      <c r="H948" s="2" t="inlineStr">
        <is>
          <t>01.01.01 : Mensalidade</t>
        </is>
      </c>
      <c r="I948" s="3" t="n">
        <v>107.16</v>
      </c>
      <c r="J948" s="2" t="n"/>
      <c r="K948" s="2">
        <f>IF(H948="02.09 : Outras Saídas", IF(OR(ISNUMBER(SEARCH("CHEQUE COMPE SICREDI", F948)), ISNUMBER(SEARCH("aniversario", F948)), ISNUMBER(SEARCH("churrasco", F948)), ISNUMBER(SEARCH("bolo", F948)), ISNUMBER(SEARCH("SUPERMERCADO", F948))), "6.1 Despesas Administrativas (Pessoal)", IF(OR(ISNUMBER(SEARCH("DLKNET", F948)), ISNUMBER(SEARCH("TESTE", F948))), "6.1 Despesas Administrativas (Gerais)", IFERROR(VLOOKUP(H948, De_Para!A:B, 2, FALSE), "NÃO MAPEADO"))), IFERROR(VLOOKUP(H948, De_Para!A:B, 2, FALSE), "NÃO MAPEADO"))</f>
        <v/>
      </c>
    </row>
    <row r="949">
      <c r="A949" s="2" t="inlineStr">
        <is>
          <t>68738</t>
        </is>
      </c>
      <c r="B949" s="2" t="inlineStr">
        <is>
          <t>Sicredi SNI</t>
        </is>
      </c>
      <c r="C949" s="2" t="inlineStr">
        <is>
          <t>13/06/2026</t>
        </is>
      </c>
      <c r="D949" s="2" t="inlineStr">
        <is>
          <t>13/06/2026</t>
        </is>
      </c>
      <c r="E949" s="2" t="inlineStr">
        <is>
          <t>PIX</t>
        </is>
      </c>
      <c r="F949" s="2" t="inlineStr">
        <is>
          <t>Boleto "63265" do cliente "VALDINEIA APARECIDA ALVES NOGUEIRA DE SOUZA"</t>
        </is>
      </c>
      <c r="G949" s="2" t="inlineStr">
        <is>
          <t>system</t>
        </is>
      </c>
      <c r="H949" s="2" t="inlineStr">
        <is>
          <t>02.03.02.01 : Cobrança Bancaria</t>
        </is>
      </c>
      <c r="I949" s="2" t="n"/>
      <c r="J949" s="3" t="n">
        <v>-0.49</v>
      </c>
      <c r="K949" s="2">
        <f>IF(H949="02.09 : Outras Saídas", IF(OR(ISNUMBER(SEARCH("CHEQUE COMPE SICREDI", F949)), ISNUMBER(SEARCH("aniversario", F949)), ISNUMBER(SEARCH("churrasco", F949)), ISNUMBER(SEARCH("bolo", F949)), ISNUMBER(SEARCH("SUPERMERCADO", F949))), "6.1 Despesas Administrativas (Pessoal)", IF(OR(ISNUMBER(SEARCH("DLKNET", F949)), ISNUMBER(SEARCH("TESTE", F949))), "6.1 Despesas Administrativas (Gerais)", IFERROR(VLOOKUP(H949, De_Para!A:B, 2, FALSE), "NÃO MAPEADO"))), IFERROR(VLOOKUP(H949, De_Para!A:B, 2, FALSE), "NÃO MAPEADO"))</f>
        <v/>
      </c>
    </row>
    <row r="950">
      <c r="A950" s="2" t="inlineStr">
        <is>
          <t>68737</t>
        </is>
      </c>
      <c r="B950" s="2" t="inlineStr">
        <is>
          <t>Sicredi SNI</t>
        </is>
      </c>
      <c r="C950" s="2" t="inlineStr">
        <is>
          <t>13/06/2026</t>
        </is>
      </c>
      <c r="D950" s="2" t="inlineStr">
        <is>
          <t>13/06/2026</t>
        </is>
      </c>
      <c r="E950" s="2" t="inlineStr">
        <is>
          <t>PIX</t>
        </is>
      </c>
      <c r="F950" s="2" t="inlineStr">
        <is>
          <t>Boleto "63265" do cliente "VALDINEIA APARECIDA ALVES NOGUEIRA DE SOUZA"</t>
        </is>
      </c>
      <c r="G950" s="2" t="inlineStr">
        <is>
          <t>system</t>
        </is>
      </c>
      <c r="H950" s="2" t="inlineStr">
        <is>
          <t>01.01.01 : Mensalidade</t>
        </is>
      </c>
      <c r="I950" s="3" t="n">
        <v>112.17</v>
      </c>
      <c r="J950" s="2" t="n"/>
      <c r="K950" s="2">
        <f>IF(H950="02.09 : Outras Saídas", IF(OR(ISNUMBER(SEARCH("CHEQUE COMPE SICREDI", F950)), ISNUMBER(SEARCH("aniversario", F950)), ISNUMBER(SEARCH("churrasco", F950)), ISNUMBER(SEARCH("bolo", F950)), ISNUMBER(SEARCH("SUPERMERCADO", F950))), "6.1 Despesas Administrativas (Pessoal)", IF(OR(ISNUMBER(SEARCH("DLKNET", F950)), ISNUMBER(SEARCH("TESTE", F950))), "6.1 Despesas Administrativas (Gerais)", IFERROR(VLOOKUP(H950, De_Para!A:B, 2, FALSE), "NÃO MAPEADO"))), IFERROR(VLOOKUP(H950, De_Para!A:B, 2, FALSE), "NÃO MAPEADO"))</f>
        <v/>
      </c>
    </row>
    <row r="951">
      <c r="A951" s="2" t="inlineStr">
        <is>
          <t>68736</t>
        </is>
      </c>
      <c r="B951" s="2" t="inlineStr">
        <is>
          <t>Sicoob</t>
        </is>
      </c>
      <c r="C951" s="2" t="inlineStr">
        <is>
          <t>12/06/2026</t>
        </is>
      </c>
      <c r="D951" s="2" t="inlineStr">
        <is>
          <t>12/06/2026</t>
        </is>
      </c>
      <c r="E951" s="2" t="inlineStr">
        <is>
          <t>Dinheiro</t>
        </is>
      </c>
      <c r="F951" s="2" t="inlineStr">
        <is>
          <t>Boleto "62963" do cliente "ALESSANDRA APARECIDA DE OLIVEIRA"</t>
        </is>
      </c>
      <c r="G951" s="2" t="inlineStr">
        <is>
          <t>system</t>
        </is>
      </c>
      <c r="H951" s="2" t="inlineStr">
        <is>
          <t>02.03.02.01 : Cobrança Bancaria</t>
        </is>
      </c>
      <c r="I951" s="2" t="n"/>
      <c r="J951" s="3" t="n">
        <v>-0.88</v>
      </c>
      <c r="K951" s="2">
        <f>IF(H951="02.09 : Outras Saídas", IF(OR(ISNUMBER(SEARCH("CHEQUE COMPE SICREDI", F951)), ISNUMBER(SEARCH("aniversario", F951)), ISNUMBER(SEARCH("churrasco", F951)), ISNUMBER(SEARCH("bolo", F951)), ISNUMBER(SEARCH("SUPERMERCADO", F951))), "6.1 Despesas Administrativas (Pessoal)", IF(OR(ISNUMBER(SEARCH("DLKNET", F951)), ISNUMBER(SEARCH("TESTE", F951))), "6.1 Despesas Administrativas (Gerais)", IFERROR(VLOOKUP(H951, De_Para!A:B, 2, FALSE), "NÃO MAPEADO"))), IFERROR(VLOOKUP(H951, De_Para!A:B, 2, FALSE), "NÃO MAPEADO"))</f>
        <v/>
      </c>
    </row>
    <row r="952">
      <c r="A952" s="2" t="inlineStr">
        <is>
          <t>68735</t>
        </is>
      </c>
      <c r="B952" s="2" t="inlineStr">
        <is>
          <t>Sicoob</t>
        </is>
      </c>
      <c r="C952" s="2" t="inlineStr">
        <is>
          <t>12/06/2026</t>
        </is>
      </c>
      <c r="D952" s="2" t="inlineStr">
        <is>
          <t>12/06/2026</t>
        </is>
      </c>
      <c r="E952" s="2" t="inlineStr">
        <is>
          <t>Dinheiro</t>
        </is>
      </c>
      <c r="F952" s="2" t="inlineStr">
        <is>
          <t>Boleto "62963" do cliente "ALESSANDRA APARECIDA DE OLIVEIRA"</t>
        </is>
      </c>
      <c r="G952" s="2" t="inlineStr">
        <is>
          <t>system</t>
        </is>
      </c>
      <c r="H952" s="2" t="inlineStr">
        <is>
          <t>01.01.01 : Mensalidade</t>
        </is>
      </c>
      <c r="I952" s="3" t="n">
        <v>107.05</v>
      </c>
      <c r="J952" s="2" t="n"/>
      <c r="K952" s="2">
        <f>IF(H952="02.09 : Outras Saídas", IF(OR(ISNUMBER(SEARCH("CHEQUE COMPE SICREDI", F952)), ISNUMBER(SEARCH("aniversario", F952)), ISNUMBER(SEARCH("churrasco", F952)), ISNUMBER(SEARCH("bolo", F952)), ISNUMBER(SEARCH("SUPERMERCADO", F952))), "6.1 Despesas Administrativas (Pessoal)", IF(OR(ISNUMBER(SEARCH("DLKNET", F952)), ISNUMBER(SEARCH("TESTE", F952))), "6.1 Despesas Administrativas (Gerais)", IFERROR(VLOOKUP(H952, De_Para!A:B, 2, FALSE), "NÃO MAPEADO"))), IFERROR(VLOOKUP(H952, De_Para!A:B, 2, FALSE), "NÃO MAPEADO"))</f>
        <v/>
      </c>
    </row>
    <row r="953">
      <c r="A953" s="2" t="inlineStr">
        <is>
          <t>68734</t>
        </is>
      </c>
      <c r="B953" s="2" t="inlineStr">
        <is>
          <t>Sicoob</t>
        </is>
      </c>
      <c r="C953" s="2" t="inlineStr">
        <is>
          <t>12/06/2026</t>
        </is>
      </c>
      <c r="D953" s="2" t="inlineStr">
        <is>
          <t>12/06/2026</t>
        </is>
      </c>
      <c r="E953" s="2" t="inlineStr">
        <is>
          <t>Dinheiro</t>
        </is>
      </c>
      <c r="F953" s="2" t="inlineStr">
        <is>
          <t>Boleto "58376" do cliente "ANDRESSA GONÇALVES"</t>
        </is>
      </c>
      <c r="G953" s="2" t="inlineStr">
        <is>
          <t>system</t>
        </is>
      </c>
      <c r="H953" s="2" t="inlineStr">
        <is>
          <t>02.03.02.01 : Cobrança Bancaria</t>
        </is>
      </c>
      <c r="I953" s="2" t="n"/>
      <c r="J953" s="3" t="n">
        <v>-0.88</v>
      </c>
      <c r="K953" s="2">
        <f>IF(H953="02.09 : Outras Saídas", IF(OR(ISNUMBER(SEARCH("CHEQUE COMPE SICREDI", F953)), ISNUMBER(SEARCH("aniversario", F953)), ISNUMBER(SEARCH("churrasco", F953)), ISNUMBER(SEARCH("bolo", F953)), ISNUMBER(SEARCH("SUPERMERCADO", F953))), "6.1 Despesas Administrativas (Pessoal)", IF(OR(ISNUMBER(SEARCH("DLKNET", F953)), ISNUMBER(SEARCH("TESTE", F953))), "6.1 Despesas Administrativas (Gerais)", IFERROR(VLOOKUP(H953, De_Para!A:B, 2, FALSE), "NÃO MAPEADO"))), IFERROR(VLOOKUP(H953, De_Para!A:B, 2, FALSE), "NÃO MAPEADO"))</f>
        <v/>
      </c>
    </row>
    <row r="954">
      <c r="A954" s="2" t="inlineStr">
        <is>
          <t>68733</t>
        </is>
      </c>
      <c r="B954" s="2" t="inlineStr">
        <is>
          <t>Sicoob</t>
        </is>
      </c>
      <c r="C954" s="2" t="inlineStr">
        <is>
          <t>12/06/2026</t>
        </is>
      </c>
      <c r="D954" s="2" t="inlineStr">
        <is>
          <t>12/06/2026</t>
        </is>
      </c>
      <c r="E954" s="2" t="inlineStr">
        <is>
          <t>Dinheiro</t>
        </is>
      </c>
      <c r="F954" s="2" t="inlineStr">
        <is>
          <t>Boleto "58376" do cliente "ANDRESSA GONÇALVES"</t>
        </is>
      </c>
      <c r="G954" s="2" t="inlineStr">
        <is>
          <t>system</t>
        </is>
      </c>
      <c r="H954" s="2" t="inlineStr">
        <is>
          <t>01.03.01 : Mensalidade</t>
        </is>
      </c>
      <c r="I954" s="3" t="n">
        <v>105</v>
      </c>
      <c r="J954" s="2" t="n"/>
      <c r="K954" s="2">
        <f>IF(H954="02.09 : Outras Saídas", IF(OR(ISNUMBER(SEARCH("CHEQUE COMPE SICREDI", F954)), ISNUMBER(SEARCH("aniversario", F954)), ISNUMBER(SEARCH("churrasco", F954)), ISNUMBER(SEARCH("bolo", F954)), ISNUMBER(SEARCH("SUPERMERCADO", F954))), "6.1 Despesas Administrativas (Pessoal)", IF(OR(ISNUMBER(SEARCH("DLKNET", F954)), ISNUMBER(SEARCH("TESTE", F954))), "6.1 Despesas Administrativas (Gerais)", IFERROR(VLOOKUP(H954, De_Para!A:B, 2, FALSE), "NÃO MAPEADO"))), IFERROR(VLOOKUP(H954, De_Para!A:B, 2, FALSE), "NÃO MAPEADO"))</f>
        <v/>
      </c>
    </row>
    <row r="955">
      <c r="A955" s="2" t="inlineStr">
        <is>
          <t>68732</t>
        </is>
      </c>
      <c r="B955" s="2" t="inlineStr">
        <is>
          <t>Sicoob</t>
        </is>
      </c>
      <c r="C955" s="2" t="inlineStr">
        <is>
          <t>12/06/2026</t>
        </is>
      </c>
      <c r="D955" s="2" t="inlineStr">
        <is>
          <t>12/06/2026</t>
        </is>
      </c>
      <c r="E955" s="2" t="inlineStr">
        <is>
          <t>Dinheiro</t>
        </is>
      </c>
      <c r="F955" s="2" t="inlineStr">
        <is>
          <t>Boleto "57791" do cliente "RENATA CAMILA DE MIRANDA"</t>
        </is>
      </c>
      <c r="G955" s="2" t="inlineStr">
        <is>
          <t>system</t>
        </is>
      </c>
      <c r="H955" s="2" t="inlineStr">
        <is>
          <t>02.03.02.01 : Cobrança Bancaria</t>
        </is>
      </c>
      <c r="I955" s="2" t="n"/>
      <c r="J955" s="3" t="n">
        <v>-0.88</v>
      </c>
      <c r="K955" s="2">
        <f>IF(H955="02.09 : Outras Saídas", IF(OR(ISNUMBER(SEARCH("CHEQUE COMPE SICREDI", F955)), ISNUMBER(SEARCH("aniversario", F955)), ISNUMBER(SEARCH("churrasco", F955)), ISNUMBER(SEARCH("bolo", F955)), ISNUMBER(SEARCH("SUPERMERCADO", F955))), "6.1 Despesas Administrativas (Pessoal)", IF(OR(ISNUMBER(SEARCH("DLKNET", F955)), ISNUMBER(SEARCH("TESTE", F955))), "6.1 Despesas Administrativas (Gerais)", IFERROR(VLOOKUP(H955, De_Para!A:B, 2, FALSE), "NÃO MAPEADO"))), IFERROR(VLOOKUP(H955, De_Para!A:B, 2, FALSE), "NÃO MAPEADO"))</f>
        <v/>
      </c>
    </row>
    <row r="956">
      <c r="A956" s="2" t="inlineStr">
        <is>
          <t>68731</t>
        </is>
      </c>
      <c r="B956" s="2" t="inlineStr">
        <is>
          <t>Sicoob</t>
        </is>
      </c>
      <c r="C956" s="2" t="inlineStr">
        <is>
          <t>12/06/2026</t>
        </is>
      </c>
      <c r="D956" s="2" t="inlineStr">
        <is>
          <t>12/06/2026</t>
        </is>
      </c>
      <c r="E956" s="2" t="inlineStr">
        <is>
          <t>Dinheiro</t>
        </is>
      </c>
      <c r="F956" s="2" t="inlineStr">
        <is>
          <t>Boleto "57791" do cliente "RENATA CAMILA DE MIRANDA"</t>
        </is>
      </c>
      <c r="G956" s="2" t="inlineStr">
        <is>
          <t>system</t>
        </is>
      </c>
      <c r="H956" s="2" t="inlineStr">
        <is>
          <t>01.01.01 : Mensalidade</t>
        </is>
      </c>
      <c r="I956" s="3" t="n">
        <v>107.16</v>
      </c>
      <c r="J956" s="2" t="n"/>
      <c r="K956" s="2">
        <f>IF(H956="02.09 : Outras Saídas", IF(OR(ISNUMBER(SEARCH("CHEQUE COMPE SICREDI", F956)), ISNUMBER(SEARCH("aniversario", F956)), ISNUMBER(SEARCH("churrasco", F956)), ISNUMBER(SEARCH("bolo", F956)), ISNUMBER(SEARCH("SUPERMERCADO", F956))), "6.1 Despesas Administrativas (Pessoal)", IF(OR(ISNUMBER(SEARCH("DLKNET", F956)), ISNUMBER(SEARCH("TESTE", F956))), "6.1 Despesas Administrativas (Gerais)", IFERROR(VLOOKUP(H956, De_Para!A:B, 2, FALSE), "NÃO MAPEADO"))), IFERROR(VLOOKUP(H956, De_Para!A:B, 2, FALSE), "NÃO MAPEADO"))</f>
        <v/>
      </c>
    </row>
    <row r="957">
      <c r="A957" s="2" t="inlineStr">
        <is>
          <t>68730</t>
        </is>
      </c>
      <c r="B957" s="2" t="inlineStr">
        <is>
          <t>Sicoob</t>
        </is>
      </c>
      <c r="C957" s="2" t="inlineStr">
        <is>
          <t>12/06/2026</t>
        </is>
      </c>
      <c r="D957" s="2" t="inlineStr">
        <is>
          <t>12/06/2026</t>
        </is>
      </c>
      <c r="E957" s="2" t="inlineStr">
        <is>
          <t>Dinheiro</t>
        </is>
      </c>
      <c r="F957" s="2" t="inlineStr">
        <is>
          <t>Boleto "59785" do cliente "JOSE RAIMUNDO"</t>
        </is>
      </c>
      <c r="G957" s="2" t="inlineStr">
        <is>
          <t>system</t>
        </is>
      </c>
      <c r="H957" s="2" t="inlineStr">
        <is>
          <t>02.03.02.01 : Cobrança Bancaria</t>
        </is>
      </c>
      <c r="I957" s="2" t="n"/>
      <c r="J957" s="3" t="n">
        <v>-0.88</v>
      </c>
      <c r="K957" s="2">
        <f>IF(H957="02.09 : Outras Saídas", IF(OR(ISNUMBER(SEARCH("CHEQUE COMPE SICREDI", F957)), ISNUMBER(SEARCH("aniversario", F957)), ISNUMBER(SEARCH("churrasco", F957)), ISNUMBER(SEARCH("bolo", F957)), ISNUMBER(SEARCH("SUPERMERCADO", F957))), "6.1 Despesas Administrativas (Pessoal)", IF(OR(ISNUMBER(SEARCH("DLKNET", F957)), ISNUMBER(SEARCH("TESTE", F957))), "6.1 Despesas Administrativas (Gerais)", IFERROR(VLOOKUP(H957, De_Para!A:B, 2, FALSE), "NÃO MAPEADO"))), IFERROR(VLOOKUP(H957, De_Para!A:B, 2, FALSE), "NÃO MAPEADO"))</f>
        <v/>
      </c>
    </row>
    <row r="958">
      <c r="A958" s="2" t="inlineStr">
        <is>
          <t>68729</t>
        </is>
      </c>
      <c r="B958" s="2" t="inlineStr">
        <is>
          <t>Sicoob</t>
        </is>
      </c>
      <c r="C958" s="2" t="inlineStr">
        <is>
          <t>12/06/2026</t>
        </is>
      </c>
      <c r="D958" s="2" t="inlineStr">
        <is>
          <t>12/06/2026</t>
        </is>
      </c>
      <c r="E958" s="2" t="inlineStr">
        <is>
          <t>Dinheiro</t>
        </is>
      </c>
      <c r="F958" s="2" t="inlineStr">
        <is>
          <t>Boleto "59785" do cliente "JOSE RAIMUNDO"</t>
        </is>
      </c>
      <c r="G958" s="2" t="inlineStr">
        <is>
          <t>system</t>
        </is>
      </c>
      <c r="H958" s="2" t="inlineStr">
        <is>
          <t>01.01.01 : Mensalidade</t>
        </is>
      </c>
      <c r="I958" s="3" t="n">
        <v>107.72</v>
      </c>
      <c r="J958" s="2" t="n"/>
      <c r="K958" s="2">
        <f>IF(H958="02.09 : Outras Saídas", IF(OR(ISNUMBER(SEARCH("CHEQUE COMPE SICREDI", F958)), ISNUMBER(SEARCH("aniversario", F958)), ISNUMBER(SEARCH("churrasco", F958)), ISNUMBER(SEARCH("bolo", F958)), ISNUMBER(SEARCH("SUPERMERCADO", F958))), "6.1 Despesas Administrativas (Pessoal)", IF(OR(ISNUMBER(SEARCH("DLKNET", F958)), ISNUMBER(SEARCH("TESTE", F958))), "6.1 Despesas Administrativas (Gerais)", IFERROR(VLOOKUP(H958, De_Para!A:B, 2, FALSE), "NÃO MAPEADO"))), IFERROR(VLOOKUP(H958, De_Para!A:B, 2, FALSE), "NÃO MAPEADO"))</f>
        <v/>
      </c>
    </row>
    <row r="959">
      <c r="A959" s="2" t="inlineStr">
        <is>
          <t>68728</t>
        </is>
      </c>
      <c r="B959" s="2" t="inlineStr">
        <is>
          <t>Sicoob</t>
        </is>
      </c>
      <c r="C959" s="2" t="inlineStr">
        <is>
          <t>12/06/2026</t>
        </is>
      </c>
      <c r="D959" s="2" t="inlineStr">
        <is>
          <t>12/06/2026</t>
        </is>
      </c>
      <c r="E959" s="2" t="inlineStr">
        <is>
          <t>Dinheiro</t>
        </is>
      </c>
      <c r="F959" s="2" t="inlineStr">
        <is>
          <t>Boleto "65352" do cliente "GEREMIAS DA ANUNCIAÇÃO SILVA"</t>
        </is>
      </c>
      <c r="G959" s="2" t="inlineStr">
        <is>
          <t>system</t>
        </is>
      </c>
      <c r="H959" s="2" t="inlineStr">
        <is>
          <t>02.03.02.01 : Cobrança Bancaria</t>
        </is>
      </c>
      <c r="I959" s="2" t="n"/>
      <c r="J959" s="3" t="n">
        <v>-0.88</v>
      </c>
      <c r="K959" s="2">
        <f>IF(H959="02.09 : Outras Saídas", IF(OR(ISNUMBER(SEARCH("CHEQUE COMPE SICREDI", F959)), ISNUMBER(SEARCH("aniversario", F959)), ISNUMBER(SEARCH("churrasco", F959)), ISNUMBER(SEARCH("bolo", F959)), ISNUMBER(SEARCH("SUPERMERCADO", F959))), "6.1 Despesas Administrativas (Pessoal)", IF(OR(ISNUMBER(SEARCH("DLKNET", F959)), ISNUMBER(SEARCH("TESTE", F959))), "6.1 Despesas Administrativas (Gerais)", IFERROR(VLOOKUP(H959, De_Para!A:B, 2, FALSE), "NÃO MAPEADO"))), IFERROR(VLOOKUP(H959, De_Para!A:B, 2, FALSE), "NÃO MAPEADO"))</f>
        <v/>
      </c>
    </row>
    <row r="960">
      <c r="A960" s="2" t="inlineStr">
        <is>
          <t>68727</t>
        </is>
      </c>
      <c r="B960" s="2" t="inlineStr">
        <is>
          <t>Sicoob</t>
        </is>
      </c>
      <c r="C960" s="2" t="inlineStr">
        <is>
          <t>12/06/2026</t>
        </is>
      </c>
      <c r="D960" s="2" t="inlineStr">
        <is>
          <t>12/06/2026</t>
        </is>
      </c>
      <c r="E960" s="2" t="inlineStr">
        <is>
          <t>Dinheiro</t>
        </is>
      </c>
      <c r="F960" s="2" t="inlineStr">
        <is>
          <t>Boleto "65352" do cliente "GEREMIAS DA ANUNCIAÇÃO SILVA"</t>
        </is>
      </c>
      <c r="G960" s="2" t="inlineStr">
        <is>
          <t>system</t>
        </is>
      </c>
      <c r="H960" s="2" t="inlineStr">
        <is>
          <t>01.01.01 : Mensalidade</t>
        </is>
      </c>
      <c r="I960" s="3" t="n">
        <v>104.9</v>
      </c>
      <c r="J960" s="2" t="n"/>
      <c r="K960" s="2">
        <f>IF(H960="02.09 : Outras Saídas", IF(OR(ISNUMBER(SEARCH("CHEQUE COMPE SICREDI", F960)), ISNUMBER(SEARCH("aniversario", F960)), ISNUMBER(SEARCH("churrasco", F960)), ISNUMBER(SEARCH("bolo", F960)), ISNUMBER(SEARCH("SUPERMERCADO", F960))), "6.1 Despesas Administrativas (Pessoal)", IF(OR(ISNUMBER(SEARCH("DLKNET", F960)), ISNUMBER(SEARCH("TESTE", F960))), "6.1 Despesas Administrativas (Gerais)", IFERROR(VLOOKUP(H960, De_Para!A:B, 2, FALSE), "NÃO MAPEADO"))), IFERROR(VLOOKUP(H960, De_Para!A:B, 2, FALSE), "NÃO MAPEADO"))</f>
        <v/>
      </c>
    </row>
    <row r="961">
      <c r="A961" s="2" t="inlineStr">
        <is>
          <t>68726</t>
        </is>
      </c>
      <c r="B961" s="2" t="inlineStr">
        <is>
          <t>Sicredi SNI</t>
        </is>
      </c>
      <c r="C961" s="2" t="inlineStr">
        <is>
          <t>12/06/2026</t>
        </is>
      </c>
      <c r="D961" s="2" t="inlineStr">
        <is>
          <t>12/06/2026</t>
        </is>
      </c>
      <c r="E961" s="2" t="inlineStr">
        <is>
          <t>PIX</t>
        </is>
      </c>
      <c r="F961" s="2" t="inlineStr">
        <is>
          <t>Boleto "64307" do cliente "CONCEIÇÃO APARECIDA FERRARI"</t>
        </is>
      </c>
      <c r="G961" s="2" t="inlineStr">
        <is>
          <t>system</t>
        </is>
      </c>
      <c r="H961" s="2" t="inlineStr">
        <is>
          <t>02.03.02.01 : Cobrança Bancaria</t>
        </is>
      </c>
      <c r="I961" s="2" t="n"/>
      <c r="J961" s="3" t="n">
        <v>-0.49</v>
      </c>
      <c r="K961" s="2">
        <f>IF(H961="02.09 : Outras Saídas", IF(OR(ISNUMBER(SEARCH("CHEQUE COMPE SICREDI", F961)), ISNUMBER(SEARCH("aniversario", F961)), ISNUMBER(SEARCH("churrasco", F961)), ISNUMBER(SEARCH("bolo", F961)), ISNUMBER(SEARCH("SUPERMERCADO", F961))), "6.1 Despesas Administrativas (Pessoal)", IF(OR(ISNUMBER(SEARCH("DLKNET", F961)), ISNUMBER(SEARCH("TESTE", F961))), "6.1 Despesas Administrativas (Gerais)", IFERROR(VLOOKUP(H961, De_Para!A:B, 2, FALSE), "NÃO MAPEADO"))), IFERROR(VLOOKUP(H961, De_Para!A:B, 2, FALSE), "NÃO MAPEADO"))</f>
        <v/>
      </c>
    </row>
    <row r="962">
      <c r="A962" s="2" t="inlineStr">
        <is>
          <t>68725</t>
        </is>
      </c>
      <c r="B962" s="2" t="inlineStr">
        <is>
          <t>Sicredi SNI</t>
        </is>
      </c>
      <c r="C962" s="2" t="inlineStr">
        <is>
          <t>12/06/2026</t>
        </is>
      </c>
      <c r="D962" s="2" t="inlineStr">
        <is>
          <t>12/06/2026</t>
        </is>
      </c>
      <c r="E962" s="2" t="inlineStr">
        <is>
          <t>PIX</t>
        </is>
      </c>
      <c r="F962" s="2" t="inlineStr">
        <is>
          <t>Boleto "64307" do cliente "CONCEIÇÃO APARECIDA FERRARI"</t>
        </is>
      </c>
      <c r="G962" s="2" t="inlineStr">
        <is>
          <t>system</t>
        </is>
      </c>
      <c r="H962" s="2" t="inlineStr">
        <is>
          <t>01.01.01 : Mensalidade</t>
        </is>
      </c>
      <c r="I962" s="3" t="n">
        <v>112.27</v>
      </c>
      <c r="J962" s="2" t="n"/>
      <c r="K962" s="2">
        <f>IF(H962="02.09 : Outras Saídas", IF(OR(ISNUMBER(SEARCH("CHEQUE COMPE SICREDI", F962)), ISNUMBER(SEARCH("aniversario", F962)), ISNUMBER(SEARCH("churrasco", F962)), ISNUMBER(SEARCH("bolo", F962)), ISNUMBER(SEARCH("SUPERMERCADO", F962))), "6.1 Despesas Administrativas (Pessoal)", IF(OR(ISNUMBER(SEARCH("DLKNET", F962)), ISNUMBER(SEARCH("TESTE", F962))), "6.1 Despesas Administrativas (Gerais)", IFERROR(VLOOKUP(H962, De_Para!A:B, 2, FALSE), "NÃO MAPEADO"))), IFERROR(VLOOKUP(H962, De_Para!A:B, 2, FALSE), "NÃO MAPEADO"))</f>
        <v/>
      </c>
    </row>
    <row r="963">
      <c r="A963" s="2" t="inlineStr">
        <is>
          <t>68724</t>
        </is>
      </c>
      <c r="B963" s="2" t="inlineStr">
        <is>
          <t>Sicredi SNI</t>
        </is>
      </c>
      <c r="C963" s="2" t="inlineStr">
        <is>
          <t>12/06/2026</t>
        </is>
      </c>
      <c r="D963" s="2" t="inlineStr">
        <is>
          <t>12/06/2026</t>
        </is>
      </c>
      <c r="E963" s="2" t="inlineStr">
        <is>
          <t>Dinheiro</t>
        </is>
      </c>
      <c r="F963" s="2" t="inlineStr">
        <is>
          <t>Boleto "58749" do cliente "ADEMIR LOPES VALLE"</t>
        </is>
      </c>
      <c r="G963" s="2" t="inlineStr">
        <is>
          <t>system</t>
        </is>
      </c>
      <c r="H963" s="2" t="inlineStr">
        <is>
          <t>02.03.02.01 : Cobrança Bancaria</t>
        </is>
      </c>
      <c r="I963" s="2" t="n"/>
      <c r="J963" s="3" t="n">
        <v>-1.08</v>
      </c>
      <c r="K963" s="2">
        <f>IF(H963="02.09 : Outras Saídas", IF(OR(ISNUMBER(SEARCH("CHEQUE COMPE SICREDI", F963)), ISNUMBER(SEARCH("aniversario", F963)), ISNUMBER(SEARCH("churrasco", F963)), ISNUMBER(SEARCH("bolo", F963)), ISNUMBER(SEARCH("SUPERMERCADO", F963))), "6.1 Despesas Administrativas (Pessoal)", IF(OR(ISNUMBER(SEARCH("DLKNET", F963)), ISNUMBER(SEARCH("TESTE", F963))), "6.1 Despesas Administrativas (Gerais)", IFERROR(VLOOKUP(H963, De_Para!A:B, 2, FALSE), "NÃO MAPEADO"))), IFERROR(VLOOKUP(H963, De_Para!A:B, 2, FALSE), "NÃO MAPEADO"))</f>
        <v/>
      </c>
    </row>
    <row r="964">
      <c r="A964" s="2" t="inlineStr">
        <is>
          <t>68723</t>
        </is>
      </c>
      <c r="B964" s="2" t="inlineStr">
        <is>
          <t>Sicredi SNI</t>
        </is>
      </c>
      <c r="C964" s="2" t="inlineStr">
        <is>
          <t>12/06/2026</t>
        </is>
      </c>
      <c r="D964" s="2" t="inlineStr">
        <is>
          <t>12/06/2026</t>
        </is>
      </c>
      <c r="E964" s="2" t="inlineStr">
        <is>
          <t>Dinheiro</t>
        </is>
      </c>
      <c r="F964" s="2" t="inlineStr">
        <is>
          <t>Boleto "58749" do cliente "ADEMIR LOPES VALLE"</t>
        </is>
      </c>
      <c r="G964" s="2" t="inlineStr">
        <is>
          <t>system</t>
        </is>
      </c>
      <c r="H964" s="2" t="inlineStr">
        <is>
          <t>01.01.01 : Mensalidade</t>
        </is>
      </c>
      <c r="I964" s="3" t="n">
        <v>107.18</v>
      </c>
      <c r="J964" s="2" t="n"/>
      <c r="K964" s="2">
        <f>IF(H964="02.09 : Outras Saídas", IF(OR(ISNUMBER(SEARCH("CHEQUE COMPE SICREDI", F964)), ISNUMBER(SEARCH("aniversario", F964)), ISNUMBER(SEARCH("churrasco", F964)), ISNUMBER(SEARCH("bolo", F964)), ISNUMBER(SEARCH("SUPERMERCADO", F964))), "6.1 Despesas Administrativas (Pessoal)", IF(OR(ISNUMBER(SEARCH("DLKNET", F964)), ISNUMBER(SEARCH("TESTE", F964))), "6.1 Despesas Administrativas (Gerais)", IFERROR(VLOOKUP(H964, De_Para!A:B, 2, FALSE), "NÃO MAPEADO"))), IFERROR(VLOOKUP(H964, De_Para!A:B, 2, FALSE), "NÃO MAPEADO"))</f>
        <v/>
      </c>
    </row>
    <row r="965">
      <c r="A965" s="2" t="inlineStr">
        <is>
          <t>68722</t>
        </is>
      </c>
      <c r="B965" s="2" t="inlineStr">
        <is>
          <t>Sicoob</t>
        </is>
      </c>
      <c r="C965" s="2" t="inlineStr">
        <is>
          <t>12/06/2026</t>
        </is>
      </c>
      <c r="D965" s="2" t="inlineStr">
        <is>
          <t>12/06/2026</t>
        </is>
      </c>
      <c r="E965" s="2" t="inlineStr">
        <is>
          <t>Dinheiro</t>
        </is>
      </c>
      <c r="F965" s="2" t="inlineStr">
        <is>
          <t>Boleto "54388" do cliente "NEIDE GONÇALVES OJEDA"</t>
        </is>
      </c>
      <c r="G965" s="2" t="inlineStr">
        <is>
          <t>system</t>
        </is>
      </c>
      <c r="H965" s="2" t="inlineStr">
        <is>
          <t>02.03.02.01 : Cobrança Bancaria</t>
        </is>
      </c>
      <c r="I965" s="2" t="n"/>
      <c r="J965" s="3" t="n">
        <v>-0.88</v>
      </c>
      <c r="K965" s="2">
        <f>IF(H965="02.09 : Outras Saídas", IF(OR(ISNUMBER(SEARCH("CHEQUE COMPE SICREDI", F965)), ISNUMBER(SEARCH("aniversario", F965)), ISNUMBER(SEARCH("churrasco", F965)), ISNUMBER(SEARCH("bolo", F965)), ISNUMBER(SEARCH("SUPERMERCADO", F965))), "6.1 Despesas Administrativas (Pessoal)", IF(OR(ISNUMBER(SEARCH("DLKNET", F965)), ISNUMBER(SEARCH("TESTE", F965))), "6.1 Despesas Administrativas (Gerais)", IFERROR(VLOOKUP(H965, De_Para!A:B, 2, FALSE), "NÃO MAPEADO"))), IFERROR(VLOOKUP(H965, De_Para!A:B, 2, FALSE), "NÃO MAPEADO"))</f>
        <v/>
      </c>
    </row>
    <row r="966">
      <c r="A966" s="2" t="inlineStr">
        <is>
          <t>68721</t>
        </is>
      </c>
      <c r="B966" s="2" t="inlineStr">
        <is>
          <t>Sicoob</t>
        </is>
      </c>
      <c r="C966" s="2" t="inlineStr">
        <is>
          <t>12/06/2026</t>
        </is>
      </c>
      <c r="D966" s="2" t="inlineStr">
        <is>
          <t>12/06/2026</t>
        </is>
      </c>
      <c r="E966" s="2" t="inlineStr">
        <is>
          <t>Dinheiro</t>
        </is>
      </c>
      <c r="F966" s="2" t="inlineStr">
        <is>
          <t>Boleto "54388" do cliente "NEIDE GONÇALVES OJEDA"</t>
        </is>
      </c>
      <c r="G966" s="2" t="inlineStr">
        <is>
          <t>system</t>
        </is>
      </c>
      <c r="H966" s="2" t="inlineStr">
        <is>
          <t>01.03.01 : Mensalidade</t>
        </is>
      </c>
      <c r="I966" s="3" t="n">
        <v>105</v>
      </c>
      <c r="J966" s="2" t="n"/>
      <c r="K966" s="2">
        <f>IF(H966="02.09 : Outras Saídas", IF(OR(ISNUMBER(SEARCH("CHEQUE COMPE SICREDI", F966)), ISNUMBER(SEARCH("aniversario", F966)), ISNUMBER(SEARCH("churrasco", F966)), ISNUMBER(SEARCH("bolo", F966)), ISNUMBER(SEARCH("SUPERMERCADO", F966))), "6.1 Despesas Administrativas (Pessoal)", IF(OR(ISNUMBER(SEARCH("DLKNET", F966)), ISNUMBER(SEARCH("TESTE", F966))), "6.1 Despesas Administrativas (Gerais)", IFERROR(VLOOKUP(H966, De_Para!A:B, 2, FALSE), "NÃO MAPEADO"))), IFERROR(VLOOKUP(H966, De_Para!A:B, 2, FALSE), "NÃO MAPEADO"))</f>
        <v/>
      </c>
    </row>
    <row r="967">
      <c r="A967" s="2" t="inlineStr">
        <is>
          <t>68720</t>
        </is>
      </c>
      <c r="B967" s="2" t="inlineStr">
        <is>
          <t>Sicoob</t>
        </is>
      </c>
      <c r="C967" s="2" t="inlineStr">
        <is>
          <t>12/06/2026</t>
        </is>
      </c>
      <c r="D967" s="2" t="inlineStr">
        <is>
          <t>12/06/2026</t>
        </is>
      </c>
      <c r="E967" s="2" t="inlineStr">
        <is>
          <t>Dinheiro</t>
        </is>
      </c>
      <c r="F967" s="2" t="inlineStr">
        <is>
          <t>Boleto "55233" do cliente "CARLOS EDUARDO MATIAS DIAS"</t>
        </is>
      </c>
      <c r="G967" s="2" t="inlineStr">
        <is>
          <t>system</t>
        </is>
      </c>
      <c r="H967" s="2" t="inlineStr">
        <is>
          <t>02.03.02.01 : Cobrança Bancaria</t>
        </is>
      </c>
      <c r="I967" s="2" t="n"/>
      <c r="J967" s="3" t="n">
        <v>-0.88</v>
      </c>
      <c r="K967" s="2">
        <f>IF(H967="02.09 : Outras Saídas", IF(OR(ISNUMBER(SEARCH("CHEQUE COMPE SICREDI", F967)), ISNUMBER(SEARCH("aniversario", F967)), ISNUMBER(SEARCH("churrasco", F967)), ISNUMBER(SEARCH("bolo", F967)), ISNUMBER(SEARCH("SUPERMERCADO", F967))), "6.1 Despesas Administrativas (Pessoal)", IF(OR(ISNUMBER(SEARCH("DLKNET", F967)), ISNUMBER(SEARCH("TESTE", F967))), "6.1 Despesas Administrativas (Gerais)", IFERROR(VLOOKUP(H967, De_Para!A:B, 2, FALSE), "NÃO MAPEADO"))), IFERROR(VLOOKUP(H967, De_Para!A:B, 2, FALSE), "NÃO MAPEADO"))</f>
        <v/>
      </c>
    </row>
    <row r="968">
      <c r="A968" s="2" t="inlineStr">
        <is>
          <t>68719</t>
        </is>
      </c>
      <c r="B968" s="2" t="inlineStr">
        <is>
          <t>Sicoob</t>
        </is>
      </c>
      <c r="C968" s="2" t="inlineStr">
        <is>
          <t>12/06/2026</t>
        </is>
      </c>
      <c r="D968" s="2" t="inlineStr">
        <is>
          <t>12/06/2026</t>
        </is>
      </c>
      <c r="E968" s="2" t="inlineStr">
        <is>
          <t>Dinheiro</t>
        </is>
      </c>
      <c r="F968" s="2" t="inlineStr">
        <is>
          <t>Boleto "55233" do cliente "CARLOS EDUARDO MATIAS DIAS"</t>
        </is>
      </c>
      <c r="G968" s="2" t="inlineStr">
        <is>
          <t>system</t>
        </is>
      </c>
      <c r="H968" s="2" t="inlineStr">
        <is>
          <t>01.01.01 : Mensalidade</t>
        </is>
      </c>
      <c r="I968" s="3" t="n">
        <v>81.89</v>
      </c>
      <c r="J968" s="2" t="n"/>
      <c r="K968" s="2">
        <f>IF(H968="02.09 : Outras Saídas", IF(OR(ISNUMBER(SEARCH("CHEQUE COMPE SICREDI", F968)), ISNUMBER(SEARCH("aniversario", F968)), ISNUMBER(SEARCH("churrasco", F968)), ISNUMBER(SEARCH("bolo", F968)), ISNUMBER(SEARCH("SUPERMERCADO", F968))), "6.1 Despesas Administrativas (Pessoal)", IF(OR(ISNUMBER(SEARCH("DLKNET", F968)), ISNUMBER(SEARCH("TESTE", F968))), "6.1 Despesas Administrativas (Gerais)", IFERROR(VLOOKUP(H968, De_Para!A:B, 2, FALSE), "NÃO MAPEADO"))), IFERROR(VLOOKUP(H968, De_Para!A:B, 2, FALSE), "NÃO MAPEADO"))</f>
        <v/>
      </c>
    </row>
    <row r="969">
      <c r="A969" s="2" t="inlineStr">
        <is>
          <t>68718</t>
        </is>
      </c>
      <c r="B969" s="2" t="inlineStr">
        <is>
          <t>Sicredi SNI</t>
        </is>
      </c>
      <c r="C969" s="2" t="inlineStr">
        <is>
          <t>12/06/2026</t>
        </is>
      </c>
      <c r="D969" s="2" t="inlineStr">
        <is>
          <t>12/06/2026</t>
        </is>
      </c>
      <c r="E969" s="2" t="inlineStr">
        <is>
          <t>PIX</t>
        </is>
      </c>
      <c r="F969" s="2" t="inlineStr">
        <is>
          <t>Boleto "57063" do cliente "IVAN DONIZETTI DE MIRANDA"</t>
        </is>
      </c>
      <c r="G969" s="2" t="inlineStr">
        <is>
          <t>system</t>
        </is>
      </c>
      <c r="H969" s="2" t="inlineStr">
        <is>
          <t>02.03.02.01 : Cobrança Bancaria</t>
        </is>
      </c>
      <c r="I969" s="2" t="n"/>
      <c r="J969" s="3" t="n">
        <v>-0.49</v>
      </c>
      <c r="K969" s="2">
        <f>IF(H969="02.09 : Outras Saídas", IF(OR(ISNUMBER(SEARCH("CHEQUE COMPE SICREDI", F969)), ISNUMBER(SEARCH("aniversario", F969)), ISNUMBER(SEARCH("churrasco", F969)), ISNUMBER(SEARCH("bolo", F969)), ISNUMBER(SEARCH("SUPERMERCADO", F969))), "6.1 Despesas Administrativas (Pessoal)", IF(OR(ISNUMBER(SEARCH("DLKNET", F969)), ISNUMBER(SEARCH("TESTE", F969))), "6.1 Despesas Administrativas (Gerais)", IFERROR(VLOOKUP(H969, De_Para!A:B, 2, FALSE), "NÃO MAPEADO"))), IFERROR(VLOOKUP(H969, De_Para!A:B, 2, FALSE), "NÃO MAPEADO"))</f>
        <v/>
      </c>
    </row>
    <row r="970">
      <c r="A970" s="2" t="inlineStr">
        <is>
          <t>68717</t>
        </is>
      </c>
      <c r="B970" s="2" t="inlineStr">
        <is>
          <t>Sicredi SNI</t>
        </is>
      </c>
      <c r="C970" s="2" t="inlineStr">
        <is>
          <t>12/06/2026</t>
        </is>
      </c>
      <c r="D970" s="2" t="inlineStr">
        <is>
          <t>12/06/2026</t>
        </is>
      </c>
      <c r="E970" s="2" t="inlineStr">
        <is>
          <t>PIX</t>
        </is>
      </c>
      <c r="F970" s="2" t="inlineStr">
        <is>
          <t>Boleto "57063" do cliente "IVAN DONIZETTI DE MIRANDA"</t>
        </is>
      </c>
      <c r="G970" s="2" t="inlineStr">
        <is>
          <t>system</t>
        </is>
      </c>
      <c r="H970" s="2" t="inlineStr">
        <is>
          <t>01.01.01 : Mensalidade</t>
        </is>
      </c>
      <c r="I970" s="3" t="n">
        <v>107.17</v>
      </c>
      <c r="J970" s="2" t="n"/>
      <c r="K970" s="2">
        <f>IF(H970="02.09 : Outras Saídas", IF(OR(ISNUMBER(SEARCH("CHEQUE COMPE SICREDI", F970)), ISNUMBER(SEARCH("aniversario", F970)), ISNUMBER(SEARCH("churrasco", F970)), ISNUMBER(SEARCH("bolo", F970)), ISNUMBER(SEARCH("SUPERMERCADO", F970))), "6.1 Despesas Administrativas (Pessoal)", IF(OR(ISNUMBER(SEARCH("DLKNET", F970)), ISNUMBER(SEARCH("TESTE", F970))), "6.1 Despesas Administrativas (Gerais)", IFERROR(VLOOKUP(H970, De_Para!A:B, 2, FALSE), "NÃO MAPEADO"))), IFERROR(VLOOKUP(H970, De_Para!A:B, 2, FALSE), "NÃO MAPEADO"))</f>
        <v/>
      </c>
    </row>
    <row r="971">
      <c r="A971" s="2" t="inlineStr">
        <is>
          <t>68716</t>
        </is>
      </c>
      <c r="B971" s="2" t="inlineStr">
        <is>
          <t>Sicredi SNI</t>
        </is>
      </c>
      <c r="C971" s="2" t="inlineStr">
        <is>
          <t>12/06/2026</t>
        </is>
      </c>
      <c r="D971" s="2" t="inlineStr">
        <is>
          <t>12/06/2026</t>
        </is>
      </c>
      <c r="E971" s="2" t="inlineStr">
        <is>
          <t>PIX</t>
        </is>
      </c>
      <c r="F971" s="2" t="inlineStr">
        <is>
          <t>Boleto "66813" do cliente "ANDRE ROSA DE LIMA"</t>
        </is>
      </c>
      <c r="G971" s="2" t="inlineStr">
        <is>
          <t>system</t>
        </is>
      </c>
      <c r="H971" s="2" t="inlineStr">
        <is>
          <t>02.03.02.01 : Cobrança Bancaria</t>
        </is>
      </c>
      <c r="I971" s="2" t="n"/>
      <c r="J971" s="3" t="n">
        <v>-0.49</v>
      </c>
      <c r="K971" s="2">
        <f>IF(H971="02.09 : Outras Saídas", IF(OR(ISNUMBER(SEARCH("CHEQUE COMPE SICREDI", F971)), ISNUMBER(SEARCH("aniversario", F971)), ISNUMBER(SEARCH("churrasco", F971)), ISNUMBER(SEARCH("bolo", F971)), ISNUMBER(SEARCH("SUPERMERCADO", F971))), "6.1 Despesas Administrativas (Pessoal)", IF(OR(ISNUMBER(SEARCH("DLKNET", F971)), ISNUMBER(SEARCH("TESTE", F971))), "6.1 Despesas Administrativas (Gerais)", IFERROR(VLOOKUP(H971, De_Para!A:B, 2, FALSE), "NÃO MAPEADO"))), IFERROR(VLOOKUP(H971, De_Para!A:B, 2, FALSE), "NÃO MAPEADO"))</f>
        <v/>
      </c>
    </row>
    <row r="972">
      <c r="A972" s="2" t="inlineStr">
        <is>
          <t>68715</t>
        </is>
      </c>
      <c r="B972" s="2" t="inlineStr">
        <is>
          <t>Sicredi SNI</t>
        </is>
      </c>
      <c r="C972" s="2" t="inlineStr">
        <is>
          <t>12/06/2026</t>
        </is>
      </c>
      <c r="D972" s="2" t="inlineStr">
        <is>
          <t>12/06/2026</t>
        </is>
      </c>
      <c r="E972" s="2" t="inlineStr">
        <is>
          <t>PIX</t>
        </is>
      </c>
      <c r="F972" s="2" t="inlineStr">
        <is>
          <t>Boleto "66813" do cliente "ANDRE ROSA DE LIMA"</t>
        </is>
      </c>
      <c r="G972" s="2" t="inlineStr">
        <is>
          <t>system</t>
        </is>
      </c>
      <c r="H972" s="2" t="inlineStr">
        <is>
          <t>01.03.01 : Mensalidade</t>
        </is>
      </c>
      <c r="I972" s="3" t="n">
        <v>105</v>
      </c>
      <c r="J972" s="2" t="n"/>
      <c r="K972" s="2">
        <f>IF(H972="02.09 : Outras Saídas", IF(OR(ISNUMBER(SEARCH("CHEQUE COMPE SICREDI", F972)), ISNUMBER(SEARCH("aniversario", F972)), ISNUMBER(SEARCH("churrasco", F972)), ISNUMBER(SEARCH("bolo", F972)), ISNUMBER(SEARCH("SUPERMERCADO", F972))), "6.1 Despesas Administrativas (Pessoal)", IF(OR(ISNUMBER(SEARCH("DLKNET", F972)), ISNUMBER(SEARCH("TESTE", F972))), "6.1 Despesas Administrativas (Gerais)", IFERROR(VLOOKUP(H972, De_Para!A:B, 2, FALSE), "NÃO MAPEADO"))), IFERROR(VLOOKUP(H972, De_Para!A:B, 2, FALSE), "NÃO MAPEADO"))</f>
        <v/>
      </c>
    </row>
    <row r="973">
      <c r="A973" s="2" t="inlineStr">
        <is>
          <t>68714</t>
        </is>
      </c>
      <c r="B973" s="2" t="inlineStr">
        <is>
          <t>Sicoob</t>
        </is>
      </c>
      <c r="C973" s="2" t="inlineStr">
        <is>
          <t>12/06/2026</t>
        </is>
      </c>
      <c r="D973" s="2" t="inlineStr">
        <is>
          <t>12/06/2026</t>
        </is>
      </c>
      <c r="E973" s="2" t="inlineStr">
        <is>
          <t>Dinheiro</t>
        </is>
      </c>
      <c r="F973" s="2" t="inlineStr">
        <is>
          <t>Boleto "66421" do cliente "LEANDRO APARECIDO DO PRADO"</t>
        </is>
      </c>
      <c r="G973" s="2" t="inlineStr">
        <is>
          <t>system</t>
        </is>
      </c>
      <c r="H973" s="2" t="inlineStr">
        <is>
          <t>02.03.02.01 : Cobrança Bancaria</t>
        </is>
      </c>
      <c r="I973" s="2" t="n"/>
      <c r="J973" s="3" t="n">
        <v>-0.88</v>
      </c>
      <c r="K973" s="2">
        <f>IF(H973="02.09 : Outras Saídas", IF(OR(ISNUMBER(SEARCH("CHEQUE COMPE SICREDI", F973)), ISNUMBER(SEARCH("aniversario", F973)), ISNUMBER(SEARCH("churrasco", F973)), ISNUMBER(SEARCH("bolo", F973)), ISNUMBER(SEARCH("SUPERMERCADO", F973))), "6.1 Despesas Administrativas (Pessoal)", IF(OR(ISNUMBER(SEARCH("DLKNET", F973)), ISNUMBER(SEARCH("TESTE", F973))), "6.1 Despesas Administrativas (Gerais)", IFERROR(VLOOKUP(H973, De_Para!A:B, 2, FALSE), "NÃO MAPEADO"))), IFERROR(VLOOKUP(H973, De_Para!A:B, 2, FALSE), "NÃO MAPEADO"))</f>
        <v/>
      </c>
    </row>
    <row r="974">
      <c r="A974" s="2" t="inlineStr">
        <is>
          <t>68713</t>
        </is>
      </c>
      <c r="B974" s="2" t="inlineStr">
        <is>
          <t>Sicoob</t>
        </is>
      </c>
      <c r="C974" s="2" t="inlineStr">
        <is>
          <t>12/06/2026</t>
        </is>
      </c>
      <c r="D974" s="2" t="inlineStr">
        <is>
          <t>12/06/2026</t>
        </is>
      </c>
      <c r="E974" s="2" t="inlineStr">
        <is>
          <t>Dinheiro</t>
        </is>
      </c>
      <c r="F974" s="2" t="inlineStr">
        <is>
          <t>Boleto "66421" do cliente "LEANDRO APARECIDO DO PRADO"</t>
        </is>
      </c>
      <c r="G974" s="2" t="inlineStr">
        <is>
          <t>system</t>
        </is>
      </c>
      <c r="H974" s="2" t="inlineStr">
        <is>
          <t>01.01.01 : Mensalidade</t>
        </is>
      </c>
      <c r="I974" s="3" t="n">
        <v>104.9</v>
      </c>
      <c r="J974" s="2" t="n"/>
      <c r="K974" s="2">
        <f>IF(H974="02.09 : Outras Saídas", IF(OR(ISNUMBER(SEARCH("CHEQUE COMPE SICREDI", F974)), ISNUMBER(SEARCH("aniversario", F974)), ISNUMBER(SEARCH("churrasco", F974)), ISNUMBER(SEARCH("bolo", F974)), ISNUMBER(SEARCH("SUPERMERCADO", F974))), "6.1 Despesas Administrativas (Pessoal)", IF(OR(ISNUMBER(SEARCH("DLKNET", F974)), ISNUMBER(SEARCH("TESTE", F974))), "6.1 Despesas Administrativas (Gerais)", IFERROR(VLOOKUP(H974, De_Para!A:B, 2, FALSE), "NÃO MAPEADO"))), IFERROR(VLOOKUP(H974, De_Para!A:B, 2, FALSE), "NÃO MAPEADO"))</f>
        <v/>
      </c>
    </row>
    <row r="975">
      <c r="A975" s="2" t="inlineStr">
        <is>
          <t>68712</t>
        </is>
      </c>
      <c r="B975" s="2" t="inlineStr">
        <is>
          <t>Sicoob</t>
        </is>
      </c>
      <c r="C975" s="2" t="inlineStr">
        <is>
          <t>12/06/2026</t>
        </is>
      </c>
      <c r="D975" s="2" t="inlineStr">
        <is>
          <t>12/06/2026</t>
        </is>
      </c>
      <c r="E975" s="2" t="inlineStr">
        <is>
          <t>Dinheiro</t>
        </is>
      </c>
      <c r="F975" s="2" t="inlineStr">
        <is>
          <t>Boleto "65624" do cliente "JOSIANE APARECIDA GUIMARAES"</t>
        </is>
      </c>
      <c r="G975" s="2" t="inlineStr">
        <is>
          <t>system</t>
        </is>
      </c>
      <c r="H975" s="2" t="inlineStr">
        <is>
          <t>02.03.02.01 : Cobrança Bancaria</t>
        </is>
      </c>
      <c r="I975" s="2" t="n"/>
      <c r="J975" s="3" t="n">
        <v>-0.88</v>
      </c>
      <c r="K975" s="2">
        <f>IF(H975="02.09 : Outras Saídas", IF(OR(ISNUMBER(SEARCH("CHEQUE COMPE SICREDI", F975)), ISNUMBER(SEARCH("aniversario", F975)), ISNUMBER(SEARCH("churrasco", F975)), ISNUMBER(SEARCH("bolo", F975)), ISNUMBER(SEARCH("SUPERMERCADO", F975))), "6.1 Despesas Administrativas (Pessoal)", IF(OR(ISNUMBER(SEARCH("DLKNET", F975)), ISNUMBER(SEARCH("TESTE", F975))), "6.1 Despesas Administrativas (Gerais)", IFERROR(VLOOKUP(H975, De_Para!A:B, 2, FALSE), "NÃO MAPEADO"))), IFERROR(VLOOKUP(H975, De_Para!A:B, 2, FALSE), "NÃO MAPEADO"))</f>
        <v/>
      </c>
    </row>
    <row r="976">
      <c r="A976" s="2" t="inlineStr">
        <is>
          <t>68711</t>
        </is>
      </c>
      <c r="B976" s="2" t="inlineStr">
        <is>
          <t>Sicoob</t>
        </is>
      </c>
      <c r="C976" s="2" t="inlineStr">
        <is>
          <t>12/06/2026</t>
        </is>
      </c>
      <c r="D976" s="2" t="inlineStr">
        <is>
          <t>12/06/2026</t>
        </is>
      </c>
      <c r="E976" s="2" t="inlineStr">
        <is>
          <t>Dinheiro</t>
        </is>
      </c>
      <c r="F976" s="2" t="inlineStr">
        <is>
          <t>Boleto "65624" do cliente "JOSIANE APARECIDA GUIMARAES"</t>
        </is>
      </c>
      <c r="G976" s="2" t="inlineStr">
        <is>
          <t>system</t>
        </is>
      </c>
      <c r="H976" s="2" t="inlineStr">
        <is>
          <t>01.01.01 : Mensalidade</t>
        </is>
      </c>
      <c r="I976" s="3" t="n">
        <v>107.37</v>
      </c>
      <c r="J976" s="2" t="n"/>
      <c r="K976" s="2">
        <f>IF(H976="02.09 : Outras Saídas", IF(OR(ISNUMBER(SEARCH("CHEQUE COMPE SICREDI", F976)), ISNUMBER(SEARCH("aniversario", F976)), ISNUMBER(SEARCH("churrasco", F976)), ISNUMBER(SEARCH("bolo", F976)), ISNUMBER(SEARCH("SUPERMERCADO", F976))), "6.1 Despesas Administrativas (Pessoal)", IF(OR(ISNUMBER(SEARCH("DLKNET", F976)), ISNUMBER(SEARCH("TESTE", F976))), "6.1 Despesas Administrativas (Gerais)", IFERROR(VLOOKUP(H976, De_Para!A:B, 2, FALSE), "NÃO MAPEADO"))), IFERROR(VLOOKUP(H976, De_Para!A:B, 2, FALSE), "NÃO MAPEADO"))</f>
        <v/>
      </c>
    </row>
    <row r="977">
      <c r="A977" s="2" t="inlineStr">
        <is>
          <t>68710</t>
        </is>
      </c>
      <c r="B977" s="2" t="inlineStr">
        <is>
          <t>Sicoob</t>
        </is>
      </c>
      <c r="C977" s="2" t="inlineStr">
        <is>
          <t>12/06/2026</t>
        </is>
      </c>
      <c r="D977" s="2" t="inlineStr">
        <is>
          <t>12/06/2026</t>
        </is>
      </c>
      <c r="E977" s="2" t="inlineStr">
        <is>
          <t>Dinheiro</t>
        </is>
      </c>
      <c r="F977" s="2" t="inlineStr">
        <is>
          <t>Boleto "65425" do cliente "GILSON JOSE DA SILVA"</t>
        </is>
      </c>
      <c r="G977" s="2" t="inlineStr">
        <is>
          <t>system</t>
        </is>
      </c>
      <c r="H977" s="2" t="inlineStr">
        <is>
          <t>02.03.02.01 : Cobrança Bancaria</t>
        </is>
      </c>
      <c r="I977" s="2" t="n"/>
      <c r="J977" s="3" t="n">
        <v>-0.88</v>
      </c>
      <c r="K977" s="2">
        <f>IF(H977="02.09 : Outras Saídas", IF(OR(ISNUMBER(SEARCH("CHEQUE COMPE SICREDI", F977)), ISNUMBER(SEARCH("aniversario", F977)), ISNUMBER(SEARCH("churrasco", F977)), ISNUMBER(SEARCH("bolo", F977)), ISNUMBER(SEARCH("SUPERMERCADO", F977))), "6.1 Despesas Administrativas (Pessoal)", IF(OR(ISNUMBER(SEARCH("DLKNET", F977)), ISNUMBER(SEARCH("TESTE", F977))), "6.1 Despesas Administrativas (Gerais)", IFERROR(VLOOKUP(H977, De_Para!A:B, 2, FALSE), "NÃO MAPEADO"))), IFERROR(VLOOKUP(H977, De_Para!A:B, 2, FALSE), "NÃO MAPEADO"))</f>
        <v/>
      </c>
    </row>
    <row r="978">
      <c r="A978" s="2" t="inlineStr">
        <is>
          <t>68709</t>
        </is>
      </c>
      <c r="B978" s="2" t="inlineStr">
        <is>
          <t>Sicoob</t>
        </is>
      </c>
      <c r="C978" s="2" t="inlineStr">
        <is>
          <t>12/06/2026</t>
        </is>
      </c>
      <c r="D978" s="2" t="inlineStr">
        <is>
          <t>12/06/2026</t>
        </is>
      </c>
      <c r="E978" s="2" t="inlineStr">
        <is>
          <t>Dinheiro</t>
        </is>
      </c>
      <c r="F978" s="2" t="inlineStr">
        <is>
          <t>Boleto "65425" do cliente "GILSON JOSE DA SILVA"</t>
        </is>
      </c>
      <c r="G978" s="2" t="inlineStr">
        <is>
          <t>system</t>
        </is>
      </c>
      <c r="H978" s="2" t="inlineStr">
        <is>
          <t>01.01.01 : Mensalidade</t>
        </is>
      </c>
      <c r="I978" s="3" t="n">
        <v>107.37</v>
      </c>
      <c r="J978" s="2" t="n"/>
      <c r="K978" s="2">
        <f>IF(H978="02.09 : Outras Saídas", IF(OR(ISNUMBER(SEARCH("CHEQUE COMPE SICREDI", F978)), ISNUMBER(SEARCH("aniversario", F978)), ISNUMBER(SEARCH("churrasco", F978)), ISNUMBER(SEARCH("bolo", F978)), ISNUMBER(SEARCH("SUPERMERCADO", F978))), "6.1 Despesas Administrativas (Pessoal)", IF(OR(ISNUMBER(SEARCH("DLKNET", F978)), ISNUMBER(SEARCH("TESTE", F978))), "6.1 Despesas Administrativas (Gerais)", IFERROR(VLOOKUP(H978, De_Para!A:B, 2, FALSE), "NÃO MAPEADO"))), IFERROR(VLOOKUP(H978, De_Para!A:B, 2, FALSE), "NÃO MAPEADO"))</f>
        <v/>
      </c>
    </row>
    <row r="979">
      <c r="A979" s="2" t="inlineStr">
        <is>
          <t>68708</t>
        </is>
      </c>
      <c r="B979" s="2" t="inlineStr">
        <is>
          <t>Sicoob</t>
        </is>
      </c>
      <c r="C979" s="2" t="inlineStr">
        <is>
          <t>12/06/2026</t>
        </is>
      </c>
      <c r="D979" s="2" t="inlineStr">
        <is>
          <t>12/06/2026</t>
        </is>
      </c>
      <c r="E979" s="2" t="inlineStr">
        <is>
          <t>Dinheiro</t>
        </is>
      </c>
      <c r="F979" s="2" t="inlineStr">
        <is>
          <t>Boleto "65075" do cliente "KELLY DE LIMA SILVA"</t>
        </is>
      </c>
      <c r="G979" s="2" t="inlineStr">
        <is>
          <t>system</t>
        </is>
      </c>
      <c r="H979" s="2" t="inlineStr">
        <is>
          <t>02.03.02.01 : Cobrança Bancaria</t>
        </is>
      </c>
      <c r="I979" s="2" t="n"/>
      <c r="J979" s="3" t="n">
        <v>-0.88</v>
      </c>
      <c r="K979" s="2">
        <f>IF(H979="02.09 : Outras Saídas", IF(OR(ISNUMBER(SEARCH("CHEQUE COMPE SICREDI", F979)), ISNUMBER(SEARCH("aniversario", F979)), ISNUMBER(SEARCH("churrasco", F979)), ISNUMBER(SEARCH("bolo", F979)), ISNUMBER(SEARCH("SUPERMERCADO", F979))), "6.1 Despesas Administrativas (Pessoal)", IF(OR(ISNUMBER(SEARCH("DLKNET", F979)), ISNUMBER(SEARCH("TESTE", F979))), "6.1 Despesas Administrativas (Gerais)", IFERROR(VLOOKUP(H979, De_Para!A:B, 2, FALSE), "NÃO MAPEADO"))), IFERROR(VLOOKUP(H979, De_Para!A:B, 2, FALSE), "NÃO MAPEADO"))</f>
        <v/>
      </c>
    </row>
    <row r="980">
      <c r="A980" s="2" t="inlineStr">
        <is>
          <t>68707</t>
        </is>
      </c>
      <c r="B980" s="2" t="inlineStr">
        <is>
          <t>Sicoob</t>
        </is>
      </c>
      <c r="C980" s="2" t="inlineStr">
        <is>
          <t>12/06/2026</t>
        </is>
      </c>
      <c r="D980" s="2" t="inlineStr">
        <is>
          <t>12/06/2026</t>
        </is>
      </c>
      <c r="E980" s="2" t="inlineStr">
        <is>
          <t>Dinheiro</t>
        </is>
      </c>
      <c r="F980" s="2" t="inlineStr">
        <is>
          <t>Boleto "65075" do cliente "KELLY DE LIMA SILVA"</t>
        </is>
      </c>
      <c r="G980" s="2" t="inlineStr">
        <is>
          <t>system</t>
        </is>
      </c>
      <c r="H980" s="2" t="inlineStr">
        <is>
          <t>01.01.01 : Mensalidade</t>
        </is>
      </c>
      <c r="I980" s="3" t="n">
        <v>107.05</v>
      </c>
      <c r="J980" s="2" t="n"/>
      <c r="K980" s="2">
        <f>IF(H980="02.09 : Outras Saídas", IF(OR(ISNUMBER(SEARCH("CHEQUE COMPE SICREDI", F980)), ISNUMBER(SEARCH("aniversario", F980)), ISNUMBER(SEARCH("churrasco", F980)), ISNUMBER(SEARCH("bolo", F980)), ISNUMBER(SEARCH("SUPERMERCADO", F980))), "6.1 Despesas Administrativas (Pessoal)", IF(OR(ISNUMBER(SEARCH("DLKNET", F980)), ISNUMBER(SEARCH("TESTE", F980))), "6.1 Despesas Administrativas (Gerais)", IFERROR(VLOOKUP(H980, De_Para!A:B, 2, FALSE), "NÃO MAPEADO"))), IFERROR(VLOOKUP(H980, De_Para!A:B, 2, FALSE), "NÃO MAPEADO"))</f>
        <v/>
      </c>
    </row>
    <row r="981">
      <c r="A981" s="2" t="inlineStr">
        <is>
          <t>68706</t>
        </is>
      </c>
      <c r="B981" s="2" t="inlineStr">
        <is>
          <t>Sicoob</t>
        </is>
      </c>
      <c r="C981" s="2" t="inlineStr">
        <is>
          <t>12/06/2026</t>
        </is>
      </c>
      <c r="D981" s="2" t="inlineStr">
        <is>
          <t>12/06/2026</t>
        </is>
      </c>
      <c r="E981" s="2" t="inlineStr">
        <is>
          <t>Dinheiro</t>
        </is>
      </c>
      <c r="F981" s="2" t="inlineStr">
        <is>
          <t>Boleto "63276" do cliente "ROSANA APARECIDA RIBEIRO"</t>
        </is>
      </c>
      <c r="G981" s="2" t="inlineStr">
        <is>
          <t>system</t>
        </is>
      </c>
      <c r="H981" s="2" t="inlineStr">
        <is>
          <t>02.03.02.01 : Cobrança Bancaria</t>
        </is>
      </c>
      <c r="I981" s="2" t="n"/>
      <c r="J981" s="3" t="n">
        <v>-0.88</v>
      </c>
      <c r="K981" s="2">
        <f>IF(H981="02.09 : Outras Saídas", IF(OR(ISNUMBER(SEARCH("CHEQUE COMPE SICREDI", F981)), ISNUMBER(SEARCH("aniversario", F981)), ISNUMBER(SEARCH("churrasco", F981)), ISNUMBER(SEARCH("bolo", F981)), ISNUMBER(SEARCH("SUPERMERCADO", F981))), "6.1 Despesas Administrativas (Pessoal)", IF(OR(ISNUMBER(SEARCH("DLKNET", F981)), ISNUMBER(SEARCH("TESTE", F981))), "6.1 Despesas Administrativas (Gerais)", IFERROR(VLOOKUP(H981, De_Para!A:B, 2, FALSE), "NÃO MAPEADO"))), IFERROR(VLOOKUP(H981, De_Para!A:B, 2, FALSE), "NÃO MAPEADO"))</f>
        <v/>
      </c>
    </row>
    <row r="982">
      <c r="A982" s="2" t="inlineStr">
        <is>
          <t>68705</t>
        </is>
      </c>
      <c r="B982" s="2" t="inlineStr">
        <is>
          <t>Sicoob</t>
        </is>
      </c>
      <c r="C982" s="2" t="inlineStr">
        <is>
          <t>12/06/2026</t>
        </is>
      </c>
      <c r="D982" s="2" t="inlineStr">
        <is>
          <t>12/06/2026</t>
        </is>
      </c>
      <c r="E982" s="2" t="inlineStr">
        <is>
          <t>Dinheiro</t>
        </is>
      </c>
      <c r="F982" s="2" t="inlineStr">
        <is>
          <t>Boleto "63276" do cliente "ROSANA APARECIDA RIBEIRO"</t>
        </is>
      </c>
      <c r="G982" s="2" t="inlineStr">
        <is>
          <t>system</t>
        </is>
      </c>
      <c r="H982" s="2" t="inlineStr">
        <is>
          <t>01.01.01 : Mensalidade</t>
        </is>
      </c>
      <c r="I982" s="3" t="n">
        <v>107.05</v>
      </c>
      <c r="J982" s="2" t="n"/>
      <c r="K982" s="2">
        <f>IF(H982="02.09 : Outras Saídas", IF(OR(ISNUMBER(SEARCH("CHEQUE COMPE SICREDI", F982)), ISNUMBER(SEARCH("aniversario", F982)), ISNUMBER(SEARCH("churrasco", F982)), ISNUMBER(SEARCH("bolo", F982)), ISNUMBER(SEARCH("SUPERMERCADO", F982))), "6.1 Despesas Administrativas (Pessoal)", IF(OR(ISNUMBER(SEARCH("DLKNET", F982)), ISNUMBER(SEARCH("TESTE", F982))), "6.1 Despesas Administrativas (Gerais)", IFERROR(VLOOKUP(H982, De_Para!A:B, 2, FALSE), "NÃO MAPEADO"))), IFERROR(VLOOKUP(H982, De_Para!A:B, 2, FALSE), "NÃO MAPEADO"))</f>
        <v/>
      </c>
    </row>
    <row r="983">
      <c r="A983" s="2" t="inlineStr">
        <is>
          <t>68704</t>
        </is>
      </c>
      <c r="B983" s="2" t="inlineStr">
        <is>
          <t>Sicoob</t>
        </is>
      </c>
      <c r="C983" s="2" t="inlineStr">
        <is>
          <t>12/06/2026</t>
        </is>
      </c>
      <c r="D983" s="2" t="inlineStr">
        <is>
          <t>12/06/2026</t>
        </is>
      </c>
      <c r="E983" s="2" t="inlineStr">
        <is>
          <t>Dinheiro</t>
        </is>
      </c>
      <c r="F983" s="2" t="inlineStr">
        <is>
          <t>Boleto "60034" do cliente "GILMAR DAMRATT"</t>
        </is>
      </c>
      <c r="G983" s="2" t="inlineStr">
        <is>
          <t>system</t>
        </is>
      </c>
      <c r="H983" s="2" t="inlineStr">
        <is>
          <t>02.03.02.01 : Cobrança Bancaria</t>
        </is>
      </c>
      <c r="I983" s="2" t="n"/>
      <c r="J983" s="3" t="n">
        <v>-0.88</v>
      </c>
      <c r="K983" s="2">
        <f>IF(H983="02.09 : Outras Saídas", IF(OR(ISNUMBER(SEARCH("CHEQUE COMPE SICREDI", F983)), ISNUMBER(SEARCH("aniversario", F983)), ISNUMBER(SEARCH("churrasco", F983)), ISNUMBER(SEARCH("bolo", F983)), ISNUMBER(SEARCH("SUPERMERCADO", F983))), "6.1 Despesas Administrativas (Pessoal)", IF(OR(ISNUMBER(SEARCH("DLKNET", F983)), ISNUMBER(SEARCH("TESTE", F983))), "6.1 Despesas Administrativas (Gerais)", IFERROR(VLOOKUP(H983, De_Para!A:B, 2, FALSE), "NÃO MAPEADO"))), IFERROR(VLOOKUP(H983, De_Para!A:B, 2, FALSE), "NÃO MAPEADO"))</f>
        <v/>
      </c>
    </row>
    <row r="984">
      <c r="A984" s="2" t="inlineStr">
        <is>
          <t>68703</t>
        </is>
      </c>
      <c r="B984" s="2" t="inlineStr">
        <is>
          <t>Sicoob</t>
        </is>
      </c>
      <c r="C984" s="2" t="inlineStr">
        <is>
          <t>12/06/2026</t>
        </is>
      </c>
      <c r="D984" s="2" t="inlineStr">
        <is>
          <t>12/06/2026</t>
        </is>
      </c>
      <c r="E984" s="2" t="inlineStr">
        <is>
          <t>Dinheiro</t>
        </is>
      </c>
      <c r="F984" s="2" t="inlineStr">
        <is>
          <t>Boleto "60034" do cliente "GILMAR DAMRATT"</t>
        </is>
      </c>
      <c r="G984" s="2" t="inlineStr">
        <is>
          <t>system</t>
        </is>
      </c>
      <c r="H984" s="2" t="inlineStr">
        <is>
          <t>01.01.01 : Mensalidade</t>
        </is>
      </c>
      <c r="I984" s="3" t="n">
        <v>107.16</v>
      </c>
      <c r="J984" s="2" t="n"/>
      <c r="K984" s="2">
        <f>IF(H984="02.09 : Outras Saídas", IF(OR(ISNUMBER(SEARCH("CHEQUE COMPE SICREDI", F984)), ISNUMBER(SEARCH("aniversario", F984)), ISNUMBER(SEARCH("churrasco", F984)), ISNUMBER(SEARCH("bolo", F984)), ISNUMBER(SEARCH("SUPERMERCADO", F984))), "6.1 Despesas Administrativas (Pessoal)", IF(OR(ISNUMBER(SEARCH("DLKNET", F984)), ISNUMBER(SEARCH("TESTE", F984))), "6.1 Despesas Administrativas (Gerais)", IFERROR(VLOOKUP(H984, De_Para!A:B, 2, FALSE), "NÃO MAPEADO"))), IFERROR(VLOOKUP(H984, De_Para!A:B, 2, FALSE), "NÃO MAPEADO"))</f>
        <v/>
      </c>
    </row>
    <row r="985">
      <c r="A985" s="2" t="inlineStr">
        <is>
          <t>68702</t>
        </is>
      </c>
      <c r="B985" s="2" t="inlineStr">
        <is>
          <t>Sicoob</t>
        </is>
      </c>
      <c r="C985" s="2" t="inlineStr">
        <is>
          <t>12/06/2026</t>
        </is>
      </c>
      <c r="D985" s="2" t="inlineStr">
        <is>
          <t>12/06/2026</t>
        </is>
      </c>
      <c r="E985" s="2" t="inlineStr">
        <is>
          <t>Dinheiro</t>
        </is>
      </c>
      <c r="F985" s="2" t="inlineStr">
        <is>
          <t>Boleto "57183" do cliente "MÁRCIO RODRIGUES BRIZOLA"</t>
        </is>
      </c>
      <c r="G985" s="2" t="inlineStr">
        <is>
          <t>system</t>
        </is>
      </c>
      <c r="H985" s="2" t="inlineStr">
        <is>
          <t>02.03.02.01 : Cobrança Bancaria</t>
        </is>
      </c>
      <c r="I985" s="2" t="n"/>
      <c r="J985" s="3" t="n">
        <v>-0.88</v>
      </c>
      <c r="K985" s="2">
        <f>IF(H985="02.09 : Outras Saídas", IF(OR(ISNUMBER(SEARCH("CHEQUE COMPE SICREDI", F985)), ISNUMBER(SEARCH("aniversario", F985)), ISNUMBER(SEARCH("churrasco", F985)), ISNUMBER(SEARCH("bolo", F985)), ISNUMBER(SEARCH("SUPERMERCADO", F985))), "6.1 Despesas Administrativas (Pessoal)", IF(OR(ISNUMBER(SEARCH("DLKNET", F985)), ISNUMBER(SEARCH("TESTE", F985))), "6.1 Despesas Administrativas (Gerais)", IFERROR(VLOOKUP(H985, De_Para!A:B, 2, FALSE), "NÃO MAPEADO"))), IFERROR(VLOOKUP(H985, De_Para!A:B, 2, FALSE), "NÃO MAPEADO"))</f>
        <v/>
      </c>
    </row>
    <row r="986">
      <c r="A986" s="2" t="inlineStr">
        <is>
          <t>68701</t>
        </is>
      </c>
      <c r="B986" s="2" t="inlineStr">
        <is>
          <t>Sicoob</t>
        </is>
      </c>
      <c r="C986" s="2" t="inlineStr">
        <is>
          <t>12/06/2026</t>
        </is>
      </c>
      <c r="D986" s="2" t="inlineStr">
        <is>
          <t>12/06/2026</t>
        </is>
      </c>
      <c r="E986" s="2" t="inlineStr">
        <is>
          <t>Dinheiro</t>
        </is>
      </c>
      <c r="F986" s="2" t="inlineStr">
        <is>
          <t>Boleto "57183" do cliente "MÁRCIO RODRIGUES BRIZOLA"</t>
        </is>
      </c>
      <c r="G986" s="2" t="inlineStr">
        <is>
          <t>system</t>
        </is>
      </c>
      <c r="H986" s="2" t="inlineStr">
        <is>
          <t>01.01.01 : Mensalidade</t>
        </is>
      </c>
      <c r="I986" s="3" t="n">
        <v>102.06</v>
      </c>
      <c r="J986" s="2" t="n"/>
      <c r="K986" s="2">
        <f>IF(H986="02.09 : Outras Saídas", IF(OR(ISNUMBER(SEARCH("CHEQUE COMPE SICREDI", F986)), ISNUMBER(SEARCH("aniversario", F986)), ISNUMBER(SEARCH("churrasco", F986)), ISNUMBER(SEARCH("bolo", F986)), ISNUMBER(SEARCH("SUPERMERCADO", F986))), "6.1 Despesas Administrativas (Pessoal)", IF(OR(ISNUMBER(SEARCH("DLKNET", F986)), ISNUMBER(SEARCH("TESTE", F986))), "6.1 Despesas Administrativas (Gerais)", IFERROR(VLOOKUP(H986, De_Para!A:B, 2, FALSE), "NÃO MAPEADO"))), IFERROR(VLOOKUP(H986, De_Para!A:B, 2, FALSE), "NÃO MAPEADO"))</f>
        <v/>
      </c>
    </row>
    <row r="987">
      <c r="A987" s="2" t="inlineStr">
        <is>
          <t>68700</t>
        </is>
      </c>
      <c r="B987" s="2" t="inlineStr">
        <is>
          <t>Sicoob</t>
        </is>
      </c>
      <c r="C987" s="2" t="inlineStr">
        <is>
          <t>12/06/2026</t>
        </is>
      </c>
      <c r="D987" s="2" t="inlineStr">
        <is>
          <t>12/06/2026</t>
        </is>
      </c>
      <c r="E987" s="2" t="inlineStr">
        <is>
          <t>Dinheiro</t>
        </is>
      </c>
      <c r="F987" s="2" t="inlineStr">
        <is>
          <t>Boleto "59247" do cliente "SIMONE BARROS MESQUITA"</t>
        </is>
      </c>
      <c r="G987" s="2" t="inlineStr">
        <is>
          <t>system</t>
        </is>
      </c>
      <c r="H987" s="2" t="inlineStr">
        <is>
          <t>02.03.02.01 : Cobrança Bancaria</t>
        </is>
      </c>
      <c r="I987" s="2" t="n"/>
      <c r="J987" s="3" t="n">
        <v>-0.88</v>
      </c>
      <c r="K987" s="2">
        <f>IF(H987="02.09 : Outras Saídas", IF(OR(ISNUMBER(SEARCH("CHEQUE COMPE SICREDI", F987)), ISNUMBER(SEARCH("aniversario", F987)), ISNUMBER(SEARCH("churrasco", F987)), ISNUMBER(SEARCH("bolo", F987)), ISNUMBER(SEARCH("SUPERMERCADO", F987))), "6.1 Despesas Administrativas (Pessoal)", IF(OR(ISNUMBER(SEARCH("DLKNET", F987)), ISNUMBER(SEARCH("TESTE", F987))), "6.1 Despesas Administrativas (Gerais)", IFERROR(VLOOKUP(H987, De_Para!A:B, 2, FALSE), "NÃO MAPEADO"))), IFERROR(VLOOKUP(H987, De_Para!A:B, 2, FALSE), "NÃO MAPEADO"))</f>
        <v/>
      </c>
    </row>
    <row r="988">
      <c r="A988" s="2" t="inlineStr">
        <is>
          <t>68699</t>
        </is>
      </c>
      <c r="B988" s="2" t="inlineStr">
        <is>
          <t>Sicoob</t>
        </is>
      </c>
      <c r="C988" s="2" t="inlineStr">
        <is>
          <t>12/06/2026</t>
        </is>
      </c>
      <c r="D988" s="2" t="inlineStr">
        <is>
          <t>12/06/2026</t>
        </is>
      </c>
      <c r="E988" s="2" t="inlineStr">
        <is>
          <t>Dinheiro</t>
        </is>
      </c>
      <c r="F988" s="2" t="inlineStr">
        <is>
          <t>Boleto "59247" do cliente "SIMONE BARROS MESQUITA"</t>
        </is>
      </c>
      <c r="G988" s="2" t="inlineStr">
        <is>
          <t>system</t>
        </is>
      </c>
      <c r="H988" s="2" t="inlineStr">
        <is>
          <t>01.01.01 : Mensalidade</t>
        </is>
      </c>
      <c r="I988" s="3" t="n">
        <v>100</v>
      </c>
      <c r="J988" s="2" t="n"/>
      <c r="K988" s="2">
        <f>IF(H988="02.09 : Outras Saídas", IF(OR(ISNUMBER(SEARCH("CHEQUE COMPE SICREDI", F988)), ISNUMBER(SEARCH("aniversario", F988)), ISNUMBER(SEARCH("churrasco", F988)), ISNUMBER(SEARCH("bolo", F988)), ISNUMBER(SEARCH("SUPERMERCADO", F988))), "6.1 Despesas Administrativas (Pessoal)", IF(OR(ISNUMBER(SEARCH("DLKNET", F988)), ISNUMBER(SEARCH("TESTE", F988))), "6.1 Despesas Administrativas (Gerais)", IFERROR(VLOOKUP(H988, De_Para!A:B, 2, FALSE), "NÃO MAPEADO"))), IFERROR(VLOOKUP(H988, De_Para!A:B, 2, FALSE), "NÃO MAPEADO"))</f>
        <v/>
      </c>
    </row>
    <row r="989">
      <c r="A989" s="2" t="inlineStr">
        <is>
          <t>68698</t>
        </is>
      </c>
      <c r="B989" s="2" t="inlineStr">
        <is>
          <t>Sicoob</t>
        </is>
      </c>
      <c r="C989" s="2" t="inlineStr">
        <is>
          <t>12/06/2026</t>
        </is>
      </c>
      <c r="D989" s="2" t="inlineStr">
        <is>
          <t>12/06/2026</t>
        </is>
      </c>
      <c r="E989" s="2" t="inlineStr">
        <is>
          <t>Dinheiro</t>
        </is>
      </c>
      <c r="F989" s="2" t="inlineStr">
        <is>
          <t>Boleto "57985" do cliente "LUCAS EDUARDO FERRAZ"</t>
        </is>
      </c>
      <c r="G989" s="2" t="inlineStr">
        <is>
          <t>system</t>
        </is>
      </c>
      <c r="H989" s="2" t="inlineStr">
        <is>
          <t>02.03.02.01 : Cobrança Bancaria</t>
        </is>
      </c>
      <c r="I989" s="2" t="n"/>
      <c r="J989" s="3" t="n">
        <v>-0.88</v>
      </c>
      <c r="K989" s="2">
        <f>IF(H989="02.09 : Outras Saídas", IF(OR(ISNUMBER(SEARCH("CHEQUE COMPE SICREDI", F989)), ISNUMBER(SEARCH("aniversario", F989)), ISNUMBER(SEARCH("churrasco", F989)), ISNUMBER(SEARCH("bolo", F989)), ISNUMBER(SEARCH("SUPERMERCADO", F989))), "6.1 Despesas Administrativas (Pessoal)", IF(OR(ISNUMBER(SEARCH("DLKNET", F989)), ISNUMBER(SEARCH("TESTE", F989))), "6.1 Despesas Administrativas (Gerais)", IFERROR(VLOOKUP(H989, De_Para!A:B, 2, FALSE), "NÃO MAPEADO"))), IFERROR(VLOOKUP(H989, De_Para!A:B, 2, FALSE), "NÃO MAPEADO"))</f>
        <v/>
      </c>
    </row>
    <row r="990">
      <c r="A990" s="2" t="inlineStr">
        <is>
          <t>68697</t>
        </is>
      </c>
      <c r="B990" s="2" t="inlineStr">
        <is>
          <t>Sicoob</t>
        </is>
      </c>
      <c r="C990" s="2" t="inlineStr">
        <is>
          <t>12/06/2026</t>
        </is>
      </c>
      <c r="D990" s="2" t="inlineStr">
        <is>
          <t>12/06/2026</t>
        </is>
      </c>
      <c r="E990" s="2" t="inlineStr">
        <is>
          <t>Dinheiro</t>
        </is>
      </c>
      <c r="F990" s="2" t="inlineStr">
        <is>
          <t>Boleto "57985" do cliente "LUCAS EDUARDO FERRAZ"</t>
        </is>
      </c>
      <c r="G990" s="2" t="inlineStr">
        <is>
          <t>system</t>
        </is>
      </c>
      <c r="H990" s="2" t="inlineStr">
        <is>
          <t>01.01.01 : Mensalidade</t>
        </is>
      </c>
      <c r="I990" s="3" t="n">
        <v>81.65000000000001</v>
      </c>
      <c r="J990" s="2" t="n"/>
      <c r="K990" s="2">
        <f>IF(H990="02.09 : Outras Saídas", IF(OR(ISNUMBER(SEARCH("CHEQUE COMPE SICREDI", F990)), ISNUMBER(SEARCH("aniversario", F990)), ISNUMBER(SEARCH("churrasco", F990)), ISNUMBER(SEARCH("bolo", F990)), ISNUMBER(SEARCH("SUPERMERCADO", F990))), "6.1 Despesas Administrativas (Pessoal)", IF(OR(ISNUMBER(SEARCH("DLKNET", F990)), ISNUMBER(SEARCH("TESTE", F990))), "6.1 Despesas Administrativas (Gerais)", IFERROR(VLOOKUP(H990, De_Para!A:B, 2, FALSE), "NÃO MAPEADO"))), IFERROR(VLOOKUP(H990, De_Para!A:B, 2, FALSE), "NÃO MAPEADO"))</f>
        <v/>
      </c>
    </row>
    <row r="991">
      <c r="A991" s="2" t="inlineStr">
        <is>
          <t>68696</t>
        </is>
      </c>
      <c r="B991" s="2" t="inlineStr">
        <is>
          <t>Sicoob</t>
        </is>
      </c>
      <c r="C991" s="2" t="inlineStr">
        <is>
          <t>12/06/2026</t>
        </is>
      </c>
      <c r="D991" s="2" t="inlineStr">
        <is>
          <t>12/06/2026</t>
        </is>
      </c>
      <c r="E991" s="2" t="inlineStr">
        <is>
          <t>Dinheiro</t>
        </is>
      </c>
      <c r="F991" s="2" t="inlineStr">
        <is>
          <t>Boleto "57227" do cliente "EDINA SOLCIA DARASE"</t>
        </is>
      </c>
      <c r="G991" s="2" t="inlineStr">
        <is>
          <t>system</t>
        </is>
      </c>
      <c r="H991" s="2" t="inlineStr">
        <is>
          <t>02.03.02.01 : Cobrança Bancaria</t>
        </is>
      </c>
      <c r="I991" s="2" t="n"/>
      <c r="J991" s="3" t="n">
        <v>-0.88</v>
      </c>
      <c r="K991" s="2">
        <f>IF(H991="02.09 : Outras Saídas", IF(OR(ISNUMBER(SEARCH("CHEQUE COMPE SICREDI", F991)), ISNUMBER(SEARCH("aniversario", F991)), ISNUMBER(SEARCH("churrasco", F991)), ISNUMBER(SEARCH("bolo", F991)), ISNUMBER(SEARCH("SUPERMERCADO", F991))), "6.1 Despesas Administrativas (Pessoal)", IF(OR(ISNUMBER(SEARCH("DLKNET", F991)), ISNUMBER(SEARCH("TESTE", F991))), "6.1 Despesas Administrativas (Gerais)", IFERROR(VLOOKUP(H991, De_Para!A:B, 2, FALSE), "NÃO MAPEADO"))), IFERROR(VLOOKUP(H991, De_Para!A:B, 2, FALSE), "NÃO MAPEADO"))</f>
        <v/>
      </c>
    </row>
    <row r="992">
      <c r="A992" s="2" t="inlineStr">
        <is>
          <t>68695</t>
        </is>
      </c>
      <c r="B992" s="2" t="inlineStr">
        <is>
          <t>Sicoob</t>
        </is>
      </c>
      <c r="C992" s="2" t="inlineStr">
        <is>
          <t>12/06/2026</t>
        </is>
      </c>
      <c r="D992" s="2" t="inlineStr">
        <is>
          <t>12/06/2026</t>
        </is>
      </c>
      <c r="E992" s="2" t="inlineStr">
        <is>
          <t>Dinheiro</t>
        </is>
      </c>
      <c r="F992" s="2" t="inlineStr">
        <is>
          <t>Boleto "57227" do cliente "EDINA SOLCIA DARASE"</t>
        </is>
      </c>
      <c r="G992" s="2" t="inlineStr">
        <is>
          <t>system</t>
        </is>
      </c>
      <c r="H992" s="2" t="inlineStr">
        <is>
          <t>01.01.01 : Mensalidade</t>
        </is>
      </c>
      <c r="I992" s="3" t="n">
        <v>107.16</v>
      </c>
      <c r="J992" s="2" t="n"/>
      <c r="K992" s="2">
        <f>IF(H992="02.09 : Outras Saídas", IF(OR(ISNUMBER(SEARCH("CHEQUE COMPE SICREDI", F992)), ISNUMBER(SEARCH("aniversario", F992)), ISNUMBER(SEARCH("churrasco", F992)), ISNUMBER(SEARCH("bolo", F992)), ISNUMBER(SEARCH("SUPERMERCADO", F992))), "6.1 Despesas Administrativas (Pessoal)", IF(OR(ISNUMBER(SEARCH("DLKNET", F992)), ISNUMBER(SEARCH("TESTE", F992))), "6.1 Despesas Administrativas (Gerais)", IFERROR(VLOOKUP(H992, De_Para!A:B, 2, FALSE), "NÃO MAPEADO"))), IFERROR(VLOOKUP(H992, De_Para!A:B, 2, FALSE), "NÃO MAPEADO"))</f>
        <v/>
      </c>
    </row>
    <row r="993">
      <c r="A993" s="2" t="inlineStr">
        <is>
          <t>68694</t>
        </is>
      </c>
      <c r="B993" s="2" t="inlineStr">
        <is>
          <t>Sicredi SNI</t>
        </is>
      </c>
      <c r="C993" s="2" t="inlineStr">
        <is>
          <t>12/06/2026</t>
        </is>
      </c>
      <c r="D993" s="2" t="inlineStr">
        <is>
          <t>12/06/2026</t>
        </is>
      </c>
      <c r="E993" s="2" t="inlineStr">
        <is>
          <t>PIX</t>
        </is>
      </c>
      <c r="F993" s="2" t="inlineStr">
        <is>
          <t>Boleto "63321" do cliente "REGIANE CRISTINA DE GODOI"</t>
        </is>
      </c>
      <c r="G993" s="2" t="inlineStr">
        <is>
          <t>system</t>
        </is>
      </c>
      <c r="H993" s="2" t="inlineStr">
        <is>
          <t>02.03.02.01 : Cobrança Bancaria</t>
        </is>
      </c>
      <c r="I993" s="2" t="n"/>
      <c r="J993" s="3" t="n">
        <v>-0.49</v>
      </c>
      <c r="K993" s="2">
        <f>IF(H993="02.09 : Outras Saídas", IF(OR(ISNUMBER(SEARCH("CHEQUE COMPE SICREDI", F993)), ISNUMBER(SEARCH("aniversario", F993)), ISNUMBER(SEARCH("churrasco", F993)), ISNUMBER(SEARCH("bolo", F993)), ISNUMBER(SEARCH("SUPERMERCADO", F993))), "6.1 Despesas Administrativas (Pessoal)", IF(OR(ISNUMBER(SEARCH("DLKNET", F993)), ISNUMBER(SEARCH("TESTE", F993))), "6.1 Despesas Administrativas (Gerais)", IFERROR(VLOOKUP(H993, De_Para!A:B, 2, FALSE), "NÃO MAPEADO"))), IFERROR(VLOOKUP(H993, De_Para!A:B, 2, FALSE), "NÃO MAPEADO"))</f>
        <v/>
      </c>
    </row>
    <row r="994">
      <c r="A994" s="2" t="inlineStr">
        <is>
          <t>68693</t>
        </is>
      </c>
      <c r="B994" s="2" t="inlineStr">
        <is>
          <t>Sicredi SNI</t>
        </is>
      </c>
      <c r="C994" s="2" t="inlineStr">
        <is>
          <t>12/06/2026</t>
        </is>
      </c>
      <c r="D994" s="2" t="inlineStr">
        <is>
          <t>12/06/2026</t>
        </is>
      </c>
      <c r="E994" s="2" t="inlineStr">
        <is>
          <t>PIX</t>
        </is>
      </c>
      <c r="F994" s="2" t="inlineStr">
        <is>
          <t>Boleto "63321" do cliente "REGIANE CRISTINA DE GODOI"</t>
        </is>
      </c>
      <c r="G994" s="2" t="inlineStr">
        <is>
          <t>system</t>
        </is>
      </c>
      <c r="H994" s="2" t="inlineStr">
        <is>
          <t>01.01.01 : Mensalidade</t>
        </is>
      </c>
      <c r="I994" s="3" t="n">
        <v>104.9</v>
      </c>
      <c r="J994" s="2" t="n"/>
      <c r="K994" s="2">
        <f>IF(H994="02.09 : Outras Saídas", IF(OR(ISNUMBER(SEARCH("CHEQUE COMPE SICREDI", F994)), ISNUMBER(SEARCH("aniversario", F994)), ISNUMBER(SEARCH("churrasco", F994)), ISNUMBER(SEARCH("bolo", F994)), ISNUMBER(SEARCH("SUPERMERCADO", F994))), "6.1 Despesas Administrativas (Pessoal)", IF(OR(ISNUMBER(SEARCH("DLKNET", F994)), ISNUMBER(SEARCH("TESTE", F994))), "6.1 Despesas Administrativas (Gerais)", IFERROR(VLOOKUP(H994, De_Para!A:B, 2, FALSE), "NÃO MAPEADO"))), IFERROR(VLOOKUP(H994, De_Para!A:B, 2, FALSE), "NÃO MAPEADO"))</f>
        <v/>
      </c>
    </row>
    <row r="995">
      <c r="A995" s="2" t="inlineStr">
        <is>
          <t>68692</t>
        </is>
      </c>
      <c r="B995" s="2" t="inlineStr">
        <is>
          <t>Sicredi SNI</t>
        </is>
      </c>
      <c r="C995" s="2" t="inlineStr">
        <is>
          <t>12/06/2026</t>
        </is>
      </c>
      <c r="D995" s="2" t="inlineStr">
        <is>
          <t>12/06/2026</t>
        </is>
      </c>
      <c r="E995" s="2" t="inlineStr">
        <is>
          <t>Dinheiro</t>
        </is>
      </c>
      <c r="F995" s="2" t="inlineStr">
        <is>
          <t>Boleto "62902" do cliente "LURDES SEBASTIANA DE GODOI"</t>
        </is>
      </c>
      <c r="G995" s="2" t="inlineStr">
        <is>
          <t>system</t>
        </is>
      </c>
      <c r="H995" s="2" t="inlineStr">
        <is>
          <t>02.03.02.01 : Cobrança Bancaria</t>
        </is>
      </c>
      <c r="I995" s="2" t="n"/>
      <c r="J995" s="3" t="n">
        <v>-1.08</v>
      </c>
      <c r="K995" s="2">
        <f>IF(H995="02.09 : Outras Saídas", IF(OR(ISNUMBER(SEARCH("CHEQUE COMPE SICREDI", F995)), ISNUMBER(SEARCH("aniversario", F995)), ISNUMBER(SEARCH("churrasco", F995)), ISNUMBER(SEARCH("bolo", F995)), ISNUMBER(SEARCH("SUPERMERCADO", F995))), "6.1 Despesas Administrativas (Pessoal)", IF(OR(ISNUMBER(SEARCH("DLKNET", F995)), ISNUMBER(SEARCH("TESTE", F995))), "6.1 Despesas Administrativas (Gerais)", IFERROR(VLOOKUP(H995, De_Para!A:B, 2, FALSE), "NÃO MAPEADO"))), IFERROR(VLOOKUP(H995, De_Para!A:B, 2, FALSE), "NÃO MAPEADO"))</f>
        <v/>
      </c>
    </row>
    <row r="996">
      <c r="A996" s="2" t="inlineStr">
        <is>
          <t>68691</t>
        </is>
      </c>
      <c r="B996" s="2" t="inlineStr">
        <is>
          <t>Sicredi SNI</t>
        </is>
      </c>
      <c r="C996" s="2" t="inlineStr">
        <is>
          <t>12/06/2026</t>
        </is>
      </c>
      <c r="D996" s="2" t="inlineStr">
        <is>
          <t>12/06/2026</t>
        </is>
      </c>
      <c r="E996" s="2" t="inlineStr">
        <is>
          <t>Dinheiro</t>
        </is>
      </c>
      <c r="F996" s="2" t="inlineStr">
        <is>
          <t>Boleto "62902" do cliente "LURDES SEBASTIANA DE GODOI"</t>
        </is>
      </c>
      <c r="G996" s="2" t="inlineStr">
        <is>
          <t>system</t>
        </is>
      </c>
      <c r="H996" s="2" t="inlineStr">
        <is>
          <t>01.01.01 : Mensalidade</t>
        </is>
      </c>
      <c r="I996" s="3" t="n">
        <v>101.94</v>
      </c>
      <c r="J996" s="2" t="n"/>
      <c r="K996" s="2">
        <f>IF(H996="02.09 : Outras Saídas", IF(OR(ISNUMBER(SEARCH("CHEQUE COMPE SICREDI", F996)), ISNUMBER(SEARCH("aniversario", F996)), ISNUMBER(SEARCH("churrasco", F996)), ISNUMBER(SEARCH("bolo", F996)), ISNUMBER(SEARCH("SUPERMERCADO", F996))), "6.1 Despesas Administrativas (Pessoal)", IF(OR(ISNUMBER(SEARCH("DLKNET", F996)), ISNUMBER(SEARCH("TESTE", F996))), "6.1 Despesas Administrativas (Gerais)", IFERROR(VLOOKUP(H996, De_Para!A:B, 2, FALSE), "NÃO MAPEADO"))), IFERROR(VLOOKUP(H996, De_Para!A:B, 2, FALSE), "NÃO MAPEADO"))</f>
        <v/>
      </c>
    </row>
    <row r="997">
      <c r="A997" s="2" t="inlineStr">
        <is>
          <t>68690</t>
        </is>
      </c>
      <c r="B997" s="2" t="inlineStr">
        <is>
          <t>Sicredi SNI</t>
        </is>
      </c>
      <c r="C997" s="2" t="inlineStr">
        <is>
          <t>12/06/2026</t>
        </is>
      </c>
      <c r="D997" s="2" t="inlineStr">
        <is>
          <t>12/06/2026</t>
        </is>
      </c>
      <c r="E997" s="2" t="inlineStr">
        <is>
          <t>Dinheiro</t>
        </is>
      </c>
      <c r="F997" s="2" t="inlineStr">
        <is>
          <t>Boleto "58027" do cliente "PEDRO ROCHINSKI"</t>
        </is>
      </c>
      <c r="G997" s="2" t="inlineStr">
        <is>
          <t>system</t>
        </is>
      </c>
      <c r="H997" s="2" t="inlineStr">
        <is>
          <t>02.03.02.01 : Cobrança Bancaria</t>
        </is>
      </c>
      <c r="I997" s="2" t="n"/>
      <c r="J997" s="3" t="n">
        <v>-1.08</v>
      </c>
      <c r="K997" s="2">
        <f>IF(H997="02.09 : Outras Saídas", IF(OR(ISNUMBER(SEARCH("CHEQUE COMPE SICREDI", F997)), ISNUMBER(SEARCH("aniversario", F997)), ISNUMBER(SEARCH("churrasco", F997)), ISNUMBER(SEARCH("bolo", F997)), ISNUMBER(SEARCH("SUPERMERCADO", F997))), "6.1 Despesas Administrativas (Pessoal)", IF(OR(ISNUMBER(SEARCH("DLKNET", F997)), ISNUMBER(SEARCH("TESTE", F997))), "6.1 Despesas Administrativas (Gerais)", IFERROR(VLOOKUP(H997, De_Para!A:B, 2, FALSE), "NÃO MAPEADO"))), IFERROR(VLOOKUP(H997, De_Para!A:B, 2, FALSE), "NÃO MAPEADO"))</f>
        <v/>
      </c>
    </row>
    <row r="998">
      <c r="A998" s="2" t="inlineStr">
        <is>
          <t>68689</t>
        </is>
      </c>
      <c r="B998" s="2" t="inlineStr">
        <is>
          <t>Sicredi SNI</t>
        </is>
      </c>
      <c r="C998" s="2" t="inlineStr">
        <is>
          <t>12/06/2026</t>
        </is>
      </c>
      <c r="D998" s="2" t="inlineStr">
        <is>
          <t>12/06/2026</t>
        </is>
      </c>
      <c r="E998" s="2" t="inlineStr">
        <is>
          <t>Dinheiro</t>
        </is>
      </c>
      <c r="F998" s="2" t="inlineStr">
        <is>
          <t>Boleto "58027" do cliente "PEDRO ROCHINSKI"</t>
        </is>
      </c>
      <c r="G998" s="2" t="inlineStr">
        <is>
          <t>system</t>
        </is>
      </c>
      <c r="H998" s="2" t="inlineStr">
        <is>
          <t>01.01.01 : Mensalidade</t>
        </is>
      </c>
      <c r="I998" s="3" t="n">
        <v>112.28</v>
      </c>
      <c r="J998" s="2" t="n"/>
      <c r="K998" s="2">
        <f>IF(H998="02.09 : Outras Saídas", IF(OR(ISNUMBER(SEARCH("CHEQUE COMPE SICREDI", F998)), ISNUMBER(SEARCH("aniversario", F998)), ISNUMBER(SEARCH("churrasco", F998)), ISNUMBER(SEARCH("bolo", F998)), ISNUMBER(SEARCH("SUPERMERCADO", F998))), "6.1 Despesas Administrativas (Pessoal)", IF(OR(ISNUMBER(SEARCH("DLKNET", F998)), ISNUMBER(SEARCH("TESTE", F998))), "6.1 Despesas Administrativas (Gerais)", IFERROR(VLOOKUP(H998, De_Para!A:B, 2, FALSE), "NÃO MAPEADO"))), IFERROR(VLOOKUP(H998, De_Para!A:B, 2, FALSE), "NÃO MAPEADO"))</f>
        <v/>
      </c>
    </row>
    <row r="999">
      <c r="A999" s="2" t="inlineStr">
        <is>
          <t>68688</t>
        </is>
      </c>
      <c r="B999" s="2" t="inlineStr">
        <is>
          <t>Sicredi SNI</t>
        </is>
      </c>
      <c r="C999" s="2" t="inlineStr">
        <is>
          <t>12/06/2026</t>
        </is>
      </c>
      <c r="D999" s="2" t="inlineStr">
        <is>
          <t>12/06/2026</t>
        </is>
      </c>
      <c r="E999" s="2" t="inlineStr">
        <is>
          <t>Dinheiro</t>
        </is>
      </c>
      <c r="F999" s="2" t="inlineStr">
        <is>
          <t>Boleto "56810" do cliente "VERIDIANE DE AZEVEDO RIVELIM"</t>
        </is>
      </c>
      <c r="G999" s="2" t="inlineStr">
        <is>
          <t>system</t>
        </is>
      </c>
      <c r="H999" s="2" t="inlineStr">
        <is>
          <t>02.03.02.01 : Cobrança Bancaria</t>
        </is>
      </c>
      <c r="I999" s="2" t="n"/>
      <c r="J999" s="3" t="n">
        <v>-1.08</v>
      </c>
      <c r="K999" s="2">
        <f>IF(H999="02.09 : Outras Saídas", IF(OR(ISNUMBER(SEARCH("CHEQUE COMPE SICREDI", F999)), ISNUMBER(SEARCH("aniversario", F999)), ISNUMBER(SEARCH("churrasco", F999)), ISNUMBER(SEARCH("bolo", F999)), ISNUMBER(SEARCH("SUPERMERCADO", F999))), "6.1 Despesas Administrativas (Pessoal)", IF(OR(ISNUMBER(SEARCH("DLKNET", F999)), ISNUMBER(SEARCH("TESTE", F999))), "6.1 Despesas Administrativas (Gerais)", IFERROR(VLOOKUP(H999, De_Para!A:B, 2, FALSE), "NÃO MAPEADO"))), IFERROR(VLOOKUP(H999, De_Para!A:B, 2, FALSE), "NÃO MAPEADO"))</f>
        <v/>
      </c>
    </row>
    <row r="1000">
      <c r="A1000" s="2" t="inlineStr">
        <is>
          <t>68687</t>
        </is>
      </c>
      <c r="B1000" s="2" t="inlineStr">
        <is>
          <t>Sicredi SNI</t>
        </is>
      </c>
      <c r="C1000" s="2" t="inlineStr">
        <is>
          <t>12/06/2026</t>
        </is>
      </c>
      <c r="D1000" s="2" t="inlineStr">
        <is>
          <t>12/06/2026</t>
        </is>
      </c>
      <c r="E1000" s="2" t="inlineStr">
        <is>
          <t>Dinheiro</t>
        </is>
      </c>
      <c r="F1000" s="2" t="inlineStr">
        <is>
          <t>Boleto "56810" do cliente "VERIDIANE DE AZEVEDO RIVELIM"</t>
        </is>
      </c>
      <c r="G1000" s="2" t="inlineStr">
        <is>
          <t>system</t>
        </is>
      </c>
      <c r="H1000" s="2" t="inlineStr">
        <is>
          <t>01.01.01 : Mensalidade</t>
        </is>
      </c>
      <c r="I1000" s="3" t="n">
        <v>107.18</v>
      </c>
      <c r="J1000" s="2" t="n"/>
      <c r="K1000" s="2">
        <f>IF(H1000="02.09 : Outras Saídas", IF(OR(ISNUMBER(SEARCH("CHEQUE COMPE SICREDI", F1000)), ISNUMBER(SEARCH("aniversario", F1000)), ISNUMBER(SEARCH("churrasco", F1000)), ISNUMBER(SEARCH("bolo", F1000)), ISNUMBER(SEARCH("SUPERMERCADO", F1000))), "6.1 Despesas Administrativas (Pessoal)", IF(OR(ISNUMBER(SEARCH("DLKNET", F1000)), ISNUMBER(SEARCH("TESTE", F1000))), "6.1 Despesas Administrativas (Gerais)", IFERROR(VLOOKUP(H1000, De_Para!A:B, 2, FALSE), "NÃO MAPEADO"))), IFERROR(VLOOKUP(H1000, De_Para!A:B, 2, FALSE), "NÃO MAPEADO"))</f>
        <v/>
      </c>
    </row>
    <row r="1001">
      <c r="A1001" s="2" t="inlineStr">
        <is>
          <t>68686</t>
        </is>
      </c>
      <c r="B1001" s="2" t="inlineStr">
        <is>
          <t>Sicoob</t>
        </is>
      </c>
      <c r="C1001" s="2" t="inlineStr">
        <is>
          <t>12/06/2026</t>
        </is>
      </c>
      <c r="D1001" s="2" t="inlineStr">
        <is>
          <t>12/06/2026</t>
        </is>
      </c>
      <c r="E1001" s="2" t="inlineStr">
        <is>
          <t>Dinheiro</t>
        </is>
      </c>
      <c r="F1001" s="2" t="inlineStr">
        <is>
          <t>Boleto "60997" do cliente "FABIANO CERQUEIRA DE PAULA"</t>
        </is>
      </c>
      <c r="G1001" s="2" t="inlineStr">
        <is>
          <t>system</t>
        </is>
      </c>
      <c r="H1001" s="2" t="inlineStr">
        <is>
          <t>02.03.02.01 : Cobrança Bancaria</t>
        </is>
      </c>
      <c r="I1001" s="2" t="n"/>
      <c r="J1001" s="3" t="n">
        <v>-0.88</v>
      </c>
      <c r="K1001" s="2">
        <f>IF(H1001="02.09 : Outras Saídas", IF(OR(ISNUMBER(SEARCH("CHEQUE COMPE SICREDI", F1001)), ISNUMBER(SEARCH("aniversario", F1001)), ISNUMBER(SEARCH("churrasco", F1001)), ISNUMBER(SEARCH("bolo", F1001)), ISNUMBER(SEARCH("SUPERMERCADO", F1001))), "6.1 Despesas Administrativas (Pessoal)", IF(OR(ISNUMBER(SEARCH("DLKNET", F1001)), ISNUMBER(SEARCH("TESTE", F1001))), "6.1 Despesas Administrativas (Gerais)", IFERROR(VLOOKUP(H1001, De_Para!A:B, 2, FALSE), "NÃO MAPEADO"))), IFERROR(VLOOKUP(H1001, De_Para!A:B, 2, FALSE), "NÃO MAPEADO"))</f>
        <v/>
      </c>
    </row>
    <row r="1002">
      <c r="A1002" s="2" t="inlineStr">
        <is>
          <t>68685</t>
        </is>
      </c>
      <c r="B1002" s="2" t="inlineStr">
        <is>
          <t>Sicoob</t>
        </is>
      </c>
      <c r="C1002" s="2" t="inlineStr">
        <is>
          <t>12/06/2026</t>
        </is>
      </c>
      <c r="D1002" s="2" t="inlineStr">
        <is>
          <t>12/06/2026</t>
        </is>
      </c>
      <c r="E1002" s="2" t="inlineStr">
        <is>
          <t>Dinheiro</t>
        </is>
      </c>
      <c r="F1002" s="2" t="inlineStr">
        <is>
          <t>Boleto "60997" do cliente "FABIANO CERQUEIRA DE PAULA"</t>
        </is>
      </c>
      <c r="G1002" s="2" t="inlineStr">
        <is>
          <t>system</t>
        </is>
      </c>
      <c r="H1002" s="2" t="inlineStr">
        <is>
          <t>01.01.01 : Mensalidade</t>
        </is>
      </c>
      <c r="I1002" s="3" t="n">
        <v>112.27</v>
      </c>
      <c r="J1002" s="2" t="n"/>
      <c r="K1002" s="2">
        <f>IF(H1002="02.09 : Outras Saídas", IF(OR(ISNUMBER(SEARCH("CHEQUE COMPE SICREDI", F1002)), ISNUMBER(SEARCH("aniversario", F1002)), ISNUMBER(SEARCH("churrasco", F1002)), ISNUMBER(SEARCH("bolo", F1002)), ISNUMBER(SEARCH("SUPERMERCADO", F1002))), "6.1 Despesas Administrativas (Pessoal)", IF(OR(ISNUMBER(SEARCH("DLKNET", F1002)), ISNUMBER(SEARCH("TESTE", F1002))), "6.1 Despesas Administrativas (Gerais)", IFERROR(VLOOKUP(H1002, De_Para!A:B, 2, FALSE), "NÃO MAPEADO"))), IFERROR(VLOOKUP(H1002, De_Para!A:B, 2, FALSE), "NÃO MAPEADO"))</f>
        <v/>
      </c>
    </row>
    <row r="1003">
      <c r="A1003" s="2" t="inlineStr">
        <is>
          <t>68684</t>
        </is>
      </c>
      <c r="B1003" s="2" t="inlineStr">
        <is>
          <t>Sicoob</t>
        </is>
      </c>
      <c r="C1003" s="2" t="inlineStr">
        <is>
          <t>12/06/2026</t>
        </is>
      </c>
      <c r="D1003" s="2" t="inlineStr">
        <is>
          <t>12/06/2026</t>
        </is>
      </c>
      <c r="E1003" s="2" t="inlineStr">
        <is>
          <t>Dinheiro</t>
        </is>
      </c>
      <c r="F1003" s="2" t="inlineStr">
        <is>
          <t>Boleto "57835" do cliente "ALEXANDRE OLIVEIRA SANCHES"</t>
        </is>
      </c>
      <c r="G1003" s="2" t="inlineStr">
        <is>
          <t>system</t>
        </is>
      </c>
      <c r="H1003" s="2" t="inlineStr">
        <is>
          <t>02.03.02.01 : Cobrança Bancaria</t>
        </is>
      </c>
      <c r="I1003" s="2" t="n"/>
      <c r="J1003" s="3" t="n">
        <v>-0.88</v>
      </c>
      <c r="K1003" s="2">
        <f>IF(H1003="02.09 : Outras Saídas", IF(OR(ISNUMBER(SEARCH("CHEQUE COMPE SICREDI", F1003)), ISNUMBER(SEARCH("aniversario", F1003)), ISNUMBER(SEARCH("churrasco", F1003)), ISNUMBER(SEARCH("bolo", F1003)), ISNUMBER(SEARCH("SUPERMERCADO", F1003))), "6.1 Despesas Administrativas (Pessoal)", IF(OR(ISNUMBER(SEARCH("DLKNET", F1003)), ISNUMBER(SEARCH("TESTE", F1003))), "6.1 Despesas Administrativas (Gerais)", IFERROR(VLOOKUP(H1003, De_Para!A:B, 2, FALSE), "NÃO MAPEADO"))), IFERROR(VLOOKUP(H1003, De_Para!A:B, 2, FALSE), "NÃO MAPEADO"))</f>
        <v/>
      </c>
    </row>
    <row r="1004">
      <c r="A1004" s="2" t="inlineStr">
        <is>
          <t>68683</t>
        </is>
      </c>
      <c r="B1004" s="2" t="inlineStr">
        <is>
          <t>Sicoob</t>
        </is>
      </c>
      <c r="C1004" s="2" t="inlineStr">
        <is>
          <t>12/06/2026</t>
        </is>
      </c>
      <c r="D1004" s="2" t="inlineStr">
        <is>
          <t>12/06/2026</t>
        </is>
      </c>
      <c r="E1004" s="2" t="inlineStr">
        <is>
          <t>Dinheiro</t>
        </is>
      </c>
      <c r="F1004" s="2" t="inlineStr">
        <is>
          <t>Boleto "57835" do cliente "ALEXANDRE OLIVEIRA SANCHES"</t>
        </is>
      </c>
      <c r="G1004" s="2" t="inlineStr">
        <is>
          <t>system</t>
        </is>
      </c>
      <c r="H1004" s="2" t="inlineStr">
        <is>
          <t>01.01.01 : Mensalidade</t>
        </is>
      </c>
      <c r="I1004" s="3" t="n">
        <v>81.65000000000001</v>
      </c>
      <c r="J1004" s="2" t="n"/>
      <c r="K1004" s="2">
        <f>IF(H1004="02.09 : Outras Saídas", IF(OR(ISNUMBER(SEARCH("CHEQUE COMPE SICREDI", F1004)), ISNUMBER(SEARCH("aniversario", F1004)), ISNUMBER(SEARCH("churrasco", F1004)), ISNUMBER(SEARCH("bolo", F1004)), ISNUMBER(SEARCH("SUPERMERCADO", F1004))), "6.1 Despesas Administrativas (Pessoal)", IF(OR(ISNUMBER(SEARCH("DLKNET", F1004)), ISNUMBER(SEARCH("TESTE", F1004))), "6.1 Despesas Administrativas (Gerais)", IFERROR(VLOOKUP(H1004, De_Para!A:B, 2, FALSE), "NÃO MAPEADO"))), IFERROR(VLOOKUP(H1004, De_Para!A:B, 2, FALSE), "NÃO MAPEADO"))</f>
        <v/>
      </c>
    </row>
    <row r="1005">
      <c r="A1005" s="2" t="inlineStr">
        <is>
          <t>68682</t>
        </is>
      </c>
      <c r="B1005" s="2" t="inlineStr">
        <is>
          <t>Sicoob</t>
        </is>
      </c>
      <c r="C1005" s="2" t="inlineStr">
        <is>
          <t>12/06/2026</t>
        </is>
      </c>
      <c r="D1005" s="2" t="inlineStr">
        <is>
          <t>12/06/2026</t>
        </is>
      </c>
      <c r="E1005" s="2" t="inlineStr">
        <is>
          <t>Dinheiro</t>
        </is>
      </c>
      <c r="F1005" s="2" t="inlineStr">
        <is>
          <t>Boleto "69229" do cliente "LEONILDA MARIA LEAL"</t>
        </is>
      </c>
      <c r="G1005" s="2" t="inlineStr">
        <is>
          <t>system</t>
        </is>
      </c>
      <c r="H1005" s="2" t="inlineStr">
        <is>
          <t>02.03.02.01 : Cobrança Bancaria</t>
        </is>
      </c>
      <c r="I1005" s="2" t="n"/>
      <c r="J1005" s="3" t="n">
        <v>-0.88</v>
      </c>
      <c r="K1005" s="2">
        <f>IF(H1005="02.09 : Outras Saídas", IF(OR(ISNUMBER(SEARCH("CHEQUE COMPE SICREDI", F1005)), ISNUMBER(SEARCH("aniversario", F1005)), ISNUMBER(SEARCH("churrasco", F1005)), ISNUMBER(SEARCH("bolo", F1005)), ISNUMBER(SEARCH("SUPERMERCADO", F1005))), "6.1 Despesas Administrativas (Pessoal)", IF(OR(ISNUMBER(SEARCH("DLKNET", F1005)), ISNUMBER(SEARCH("TESTE", F1005))), "6.1 Despesas Administrativas (Gerais)", IFERROR(VLOOKUP(H1005, De_Para!A:B, 2, FALSE), "NÃO MAPEADO"))), IFERROR(VLOOKUP(H1005, De_Para!A:B, 2, FALSE), "NÃO MAPEADO"))</f>
        <v/>
      </c>
    </row>
    <row r="1006">
      <c r="A1006" s="2" t="inlineStr">
        <is>
          <t>68681</t>
        </is>
      </c>
      <c r="B1006" s="2" t="inlineStr">
        <is>
          <t>Sicoob</t>
        </is>
      </c>
      <c r="C1006" s="2" t="inlineStr">
        <is>
          <t>12/06/2026</t>
        </is>
      </c>
      <c r="D1006" s="2" t="inlineStr">
        <is>
          <t>12/06/2026</t>
        </is>
      </c>
      <c r="E1006" s="2" t="inlineStr">
        <is>
          <t>Dinheiro</t>
        </is>
      </c>
      <c r="F1006" s="2" t="inlineStr">
        <is>
          <t>Boleto "69229" do cliente "LEONILDA MARIA LEAL"</t>
        </is>
      </c>
      <c r="G1006" s="2" t="inlineStr">
        <is>
          <t>system</t>
        </is>
      </c>
      <c r="H1006" s="2" t="inlineStr">
        <is>
          <t>01.01.01 : Mensalidade</t>
        </is>
      </c>
      <c r="I1006" s="3" t="n">
        <v>78.51000000000001</v>
      </c>
      <c r="J1006" s="2" t="n"/>
      <c r="K1006" s="2">
        <f>IF(H1006="02.09 : Outras Saídas", IF(OR(ISNUMBER(SEARCH("CHEQUE COMPE SICREDI", F1006)), ISNUMBER(SEARCH("aniversario", F1006)), ISNUMBER(SEARCH("churrasco", F1006)), ISNUMBER(SEARCH("bolo", F1006)), ISNUMBER(SEARCH("SUPERMERCADO", F1006))), "6.1 Despesas Administrativas (Pessoal)", IF(OR(ISNUMBER(SEARCH("DLKNET", F1006)), ISNUMBER(SEARCH("TESTE", F1006))), "6.1 Despesas Administrativas (Gerais)", IFERROR(VLOOKUP(H1006, De_Para!A:B, 2, FALSE), "NÃO MAPEADO"))), IFERROR(VLOOKUP(H1006, De_Para!A:B, 2, FALSE), "NÃO MAPEADO"))</f>
        <v/>
      </c>
    </row>
    <row r="1007">
      <c r="A1007" s="2" t="inlineStr">
        <is>
          <t>68680</t>
        </is>
      </c>
      <c r="B1007" s="2" t="inlineStr">
        <is>
          <t>Sicoob</t>
        </is>
      </c>
      <c r="C1007" s="2" t="inlineStr">
        <is>
          <t>12/06/2026</t>
        </is>
      </c>
      <c r="D1007" s="2" t="inlineStr">
        <is>
          <t>12/06/2026</t>
        </is>
      </c>
      <c r="E1007" s="2" t="inlineStr">
        <is>
          <t>Dinheiro</t>
        </is>
      </c>
      <c r="F1007" s="2" t="inlineStr">
        <is>
          <t>Boleto "66896" do cliente "FABIANO CERQUEIRA DE PAULA"</t>
        </is>
      </c>
      <c r="G1007" s="2" t="inlineStr">
        <is>
          <t>system</t>
        </is>
      </c>
      <c r="H1007" s="2" t="inlineStr">
        <is>
          <t>02.03.02.01 : Cobrança Bancaria</t>
        </is>
      </c>
      <c r="I1007" s="2" t="n"/>
      <c r="J1007" s="3" t="n">
        <v>-0.88</v>
      </c>
      <c r="K1007" s="2">
        <f>IF(H1007="02.09 : Outras Saídas", IF(OR(ISNUMBER(SEARCH("CHEQUE COMPE SICREDI", F1007)), ISNUMBER(SEARCH("aniversario", F1007)), ISNUMBER(SEARCH("churrasco", F1007)), ISNUMBER(SEARCH("bolo", F1007)), ISNUMBER(SEARCH("SUPERMERCADO", F1007))), "6.1 Despesas Administrativas (Pessoal)", IF(OR(ISNUMBER(SEARCH("DLKNET", F1007)), ISNUMBER(SEARCH("TESTE", F1007))), "6.1 Despesas Administrativas (Gerais)", IFERROR(VLOOKUP(H1007, De_Para!A:B, 2, FALSE), "NÃO MAPEADO"))), IFERROR(VLOOKUP(H1007, De_Para!A:B, 2, FALSE), "NÃO MAPEADO"))</f>
        <v/>
      </c>
    </row>
    <row r="1008">
      <c r="A1008" s="2" t="inlineStr">
        <is>
          <t>68679</t>
        </is>
      </c>
      <c r="B1008" s="2" t="inlineStr">
        <is>
          <t>Sicoob</t>
        </is>
      </c>
      <c r="C1008" s="2" t="inlineStr">
        <is>
          <t>12/06/2026</t>
        </is>
      </c>
      <c r="D1008" s="2" t="inlineStr">
        <is>
          <t>12/06/2026</t>
        </is>
      </c>
      <c r="E1008" s="2" t="inlineStr">
        <is>
          <t>Dinheiro</t>
        </is>
      </c>
      <c r="F1008" s="2" t="inlineStr">
        <is>
          <t>Boleto "66896" do cliente "FABIANO CERQUEIRA DE PAULA"</t>
        </is>
      </c>
      <c r="G1008" s="2" t="inlineStr">
        <is>
          <t>system</t>
        </is>
      </c>
      <c r="H1008" s="2" t="inlineStr">
        <is>
          <t>01.01.01 : Mensalidade</t>
        </is>
      </c>
      <c r="I1008" s="3" t="n">
        <v>112.27</v>
      </c>
      <c r="J1008" s="2" t="n"/>
      <c r="K1008" s="2">
        <f>IF(H1008="02.09 : Outras Saídas", IF(OR(ISNUMBER(SEARCH("CHEQUE COMPE SICREDI", F1008)), ISNUMBER(SEARCH("aniversario", F1008)), ISNUMBER(SEARCH("churrasco", F1008)), ISNUMBER(SEARCH("bolo", F1008)), ISNUMBER(SEARCH("SUPERMERCADO", F1008))), "6.1 Despesas Administrativas (Pessoal)", IF(OR(ISNUMBER(SEARCH("DLKNET", F1008)), ISNUMBER(SEARCH("TESTE", F1008))), "6.1 Despesas Administrativas (Gerais)", IFERROR(VLOOKUP(H1008, De_Para!A:B, 2, FALSE), "NÃO MAPEADO"))), IFERROR(VLOOKUP(H1008, De_Para!A:B, 2, FALSE), "NÃO MAPEADO"))</f>
        <v/>
      </c>
    </row>
    <row r="1009">
      <c r="A1009" s="2" t="inlineStr">
        <is>
          <t>68678</t>
        </is>
      </c>
      <c r="B1009" s="2" t="inlineStr">
        <is>
          <t>Sicoob</t>
        </is>
      </c>
      <c r="C1009" s="2" t="inlineStr">
        <is>
          <t>12/06/2026</t>
        </is>
      </c>
      <c r="D1009" s="2" t="inlineStr">
        <is>
          <t>12/06/2026</t>
        </is>
      </c>
      <c r="E1009" s="2" t="inlineStr">
        <is>
          <t>Dinheiro</t>
        </is>
      </c>
      <c r="F1009" s="2" t="inlineStr">
        <is>
          <t>Boleto "65028" do cliente "VILSON DE LIMA"</t>
        </is>
      </c>
      <c r="G1009" s="2" t="inlineStr">
        <is>
          <t>system</t>
        </is>
      </c>
      <c r="H1009" s="2" t="inlineStr">
        <is>
          <t>02.03.02.01 : Cobrança Bancaria</t>
        </is>
      </c>
      <c r="I1009" s="2" t="n"/>
      <c r="J1009" s="3" t="n">
        <v>-0.88</v>
      </c>
      <c r="K1009" s="2">
        <f>IF(H1009="02.09 : Outras Saídas", IF(OR(ISNUMBER(SEARCH("CHEQUE COMPE SICREDI", F1009)), ISNUMBER(SEARCH("aniversario", F1009)), ISNUMBER(SEARCH("churrasco", F1009)), ISNUMBER(SEARCH("bolo", F1009)), ISNUMBER(SEARCH("SUPERMERCADO", F1009))), "6.1 Despesas Administrativas (Pessoal)", IF(OR(ISNUMBER(SEARCH("DLKNET", F1009)), ISNUMBER(SEARCH("TESTE", F1009))), "6.1 Despesas Administrativas (Gerais)", IFERROR(VLOOKUP(H1009, De_Para!A:B, 2, FALSE), "NÃO MAPEADO"))), IFERROR(VLOOKUP(H1009, De_Para!A:B, 2, FALSE), "NÃO MAPEADO"))</f>
        <v/>
      </c>
    </row>
    <row r="1010">
      <c r="A1010" s="2" t="inlineStr">
        <is>
          <t>68677</t>
        </is>
      </c>
      <c r="B1010" s="2" t="inlineStr">
        <is>
          <t>Sicoob</t>
        </is>
      </c>
      <c r="C1010" s="2" t="inlineStr">
        <is>
          <t>12/06/2026</t>
        </is>
      </c>
      <c r="D1010" s="2" t="inlineStr">
        <is>
          <t>12/06/2026</t>
        </is>
      </c>
      <c r="E1010" s="2" t="inlineStr">
        <is>
          <t>Dinheiro</t>
        </is>
      </c>
      <c r="F1010" s="2" t="inlineStr">
        <is>
          <t>Boleto "65028" do cliente "VILSON DE LIMA"</t>
        </is>
      </c>
      <c r="G1010" s="2" t="inlineStr">
        <is>
          <t>system</t>
        </is>
      </c>
      <c r="H1010" s="2" t="inlineStr">
        <is>
          <t>01.01.01 : Mensalidade</t>
        </is>
      </c>
      <c r="I1010" s="3" t="n">
        <v>104.9</v>
      </c>
      <c r="J1010" s="2" t="n"/>
      <c r="K1010" s="2">
        <f>IF(H1010="02.09 : Outras Saídas", IF(OR(ISNUMBER(SEARCH("CHEQUE COMPE SICREDI", F1010)), ISNUMBER(SEARCH("aniversario", F1010)), ISNUMBER(SEARCH("churrasco", F1010)), ISNUMBER(SEARCH("bolo", F1010)), ISNUMBER(SEARCH("SUPERMERCADO", F1010))), "6.1 Despesas Administrativas (Pessoal)", IF(OR(ISNUMBER(SEARCH("DLKNET", F1010)), ISNUMBER(SEARCH("TESTE", F1010))), "6.1 Despesas Administrativas (Gerais)", IFERROR(VLOOKUP(H1010, De_Para!A:B, 2, FALSE), "NÃO MAPEADO"))), IFERROR(VLOOKUP(H1010, De_Para!A:B, 2, FALSE), "NÃO MAPEADO"))</f>
        <v/>
      </c>
    </row>
    <row r="1011">
      <c r="A1011" s="2" t="inlineStr">
        <is>
          <t>68676</t>
        </is>
      </c>
      <c r="B1011" s="2" t="inlineStr">
        <is>
          <t>Sicredi SNI</t>
        </is>
      </c>
      <c r="C1011" s="2" t="inlineStr">
        <is>
          <t>12/06/2026</t>
        </is>
      </c>
      <c r="D1011" s="2" t="inlineStr">
        <is>
          <t>12/06/2026</t>
        </is>
      </c>
      <c r="E1011" s="2" t="inlineStr">
        <is>
          <t>PIX</t>
        </is>
      </c>
      <c r="F1011" s="2" t="inlineStr">
        <is>
          <t>Boleto "55309" do cliente "FRANCISCO JOSÉ DUARTE"</t>
        </is>
      </c>
      <c r="G1011" s="2" t="inlineStr">
        <is>
          <t>system</t>
        </is>
      </c>
      <c r="H1011" s="2" t="inlineStr">
        <is>
          <t>02.03.02.01 : Cobrança Bancaria</t>
        </is>
      </c>
      <c r="I1011" s="2" t="n"/>
      <c r="J1011" s="3" t="n">
        <v>-0.49</v>
      </c>
      <c r="K1011" s="2">
        <f>IF(H1011="02.09 : Outras Saídas", IF(OR(ISNUMBER(SEARCH("CHEQUE COMPE SICREDI", F1011)), ISNUMBER(SEARCH("aniversario", F1011)), ISNUMBER(SEARCH("churrasco", F1011)), ISNUMBER(SEARCH("bolo", F1011)), ISNUMBER(SEARCH("SUPERMERCADO", F1011))), "6.1 Despesas Administrativas (Pessoal)", IF(OR(ISNUMBER(SEARCH("DLKNET", F1011)), ISNUMBER(SEARCH("TESTE", F1011))), "6.1 Despesas Administrativas (Gerais)", IFERROR(VLOOKUP(H1011, De_Para!A:B, 2, FALSE), "NÃO MAPEADO"))), IFERROR(VLOOKUP(H1011, De_Para!A:B, 2, FALSE), "NÃO MAPEADO"))</f>
        <v/>
      </c>
    </row>
    <row r="1012">
      <c r="A1012" s="2" t="inlineStr">
        <is>
          <t>68675</t>
        </is>
      </c>
      <c r="B1012" s="2" t="inlineStr">
        <is>
          <t>Sicredi SNI</t>
        </is>
      </c>
      <c r="C1012" s="2" t="inlineStr">
        <is>
          <t>12/06/2026</t>
        </is>
      </c>
      <c r="D1012" s="2" t="inlineStr">
        <is>
          <t>12/06/2026</t>
        </is>
      </c>
      <c r="E1012" s="2" t="inlineStr">
        <is>
          <t>PIX</t>
        </is>
      </c>
      <c r="F1012" s="2" t="inlineStr">
        <is>
          <t>Boleto "55309" do cliente "FRANCISCO JOSÉ DUARTE"</t>
        </is>
      </c>
      <c r="G1012" s="2" t="inlineStr">
        <is>
          <t>system</t>
        </is>
      </c>
      <c r="H1012" s="2" t="inlineStr">
        <is>
          <t>01.01.01 : Mensalidade</t>
        </is>
      </c>
      <c r="I1012" s="3" t="n">
        <v>107.49</v>
      </c>
      <c r="J1012" s="2" t="n"/>
      <c r="K1012" s="2">
        <f>IF(H1012="02.09 : Outras Saídas", IF(OR(ISNUMBER(SEARCH("CHEQUE COMPE SICREDI", F1012)), ISNUMBER(SEARCH("aniversario", F1012)), ISNUMBER(SEARCH("churrasco", F1012)), ISNUMBER(SEARCH("bolo", F1012)), ISNUMBER(SEARCH("SUPERMERCADO", F1012))), "6.1 Despesas Administrativas (Pessoal)", IF(OR(ISNUMBER(SEARCH("DLKNET", F1012)), ISNUMBER(SEARCH("TESTE", F1012))), "6.1 Despesas Administrativas (Gerais)", IFERROR(VLOOKUP(H1012, De_Para!A:B, 2, FALSE), "NÃO MAPEADO"))), IFERROR(VLOOKUP(H1012, De_Para!A:B, 2, FALSE), "NÃO MAPEADO"))</f>
        <v/>
      </c>
    </row>
    <row r="1013">
      <c r="A1013" s="2" t="inlineStr">
        <is>
          <t>68674</t>
        </is>
      </c>
      <c r="B1013" s="2" t="inlineStr">
        <is>
          <t>Sicredi SNI</t>
        </is>
      </c>
      <c r="C1013" s="2" t="inlineStr">
        <is>
          <t>12/06/2026</t>
        </is>
      </c>
      <c r="D1013" s="2" t="inlineStr">
        <is>
          <t>12/06/2026</t>
        </is>
      </c>
      <c r="E1013" s="2" t="inlineStr">
        <is>
          <t>PIX</t>
        </is>
      </c>
      <c r="F1013" s="2" t="inlineStr">
        <is>
          <t>Boleto "60275" do cliente "IARA REGINA FERREIRA DA SILVA"</t>
        </is>
      </c>
      <c r="G1013" s="2" t="inlineStr">
        <is>
          <t>system</t>
        </is>
      </c>
      <c r="H1013" s="2" t="inlineStr">
        <is>
          <t>02.03.02.01 : Cobrança Bancaria</t>
        </is>
      </c>
      <c r="I1013" s="2" t="n"/>
      <c r="J1013" s="3" t="n">
        <v>-0.49</v>
      </c>
      <c r="K1013" s="2">
        <f>IF(H1013="02.09 : Outras Saídas", IF(OR(ISNUMBER(SEARCH("CHEQUE COMPE SICREDI", F1013)), ISNUMBER(SEARCH("aniversario", F1013)), ISNUMBER(SEARCH("churrasco", F1013)), ISNUMBER(SEARCH("bolo", F1013)), ISNUMBER(SEARCH("SUPERMERCADO", F1013))), "6.1 Despesas Administrativas (Pessoal)", IF(OR(ISNUMBER(SEARCH("DLKNET", F1013)), ISNUMBER(SEARCH("TESTE", F1013))), "6.1 Despesas Administrativas (Gerais)", IFERROR(VLOOKUP(H1013, De_Para!A:B, 2, FALSE), "NÃO MAPEADO"))), IFERROR(VLOOKUP(H1013, De_Para!A:B, 2, FALSE), "NÃO MAPEADO"))</f>
        <v/>
      </c>
    </row>
    <row r="1014">
      <c r="A1014" s="2" t="inlineStr">
        <is>
          <t>68673</t>
        </is>
      </c>
      <c r="B1014" s="2" t="inlineStr">
        <is>
          <t>Sicredi SNI</t>
        </is>
      </c>
      <c r="C1014" s="2" t="inlineStr">
        <is>
          <t>12/06/2026</t>
        </is>
      </c>
      <c r="D1014" s="2" t="inlineStr">
        <is>
          <t>12/06/2026</t>
        </is>
      </c>
      <c r="E1014" s="2" t="inlineStr">
        <is>
          <t>PIX</t>
        </is>
      </c>
      <c r="F1014" s="2" t="inlineStr">
        <is>
          <t>Boleto "60275" do cliente "IARA REGINA FERREIRA DA SILVA"</t>
        </is>
      </c>
      <c r="G1014" s="2" t="inlineStr">
        <is>
          <t>system</t>
        </is>
      </c>
      <c r="H1014" s="2" t="inlineStr">
        <is>
          <t>01.01.01 : Mensalidade</t>
        </is>
      </c>
      <c r="I1014" s="3" t="n">
        <v>105</v>
      </c>
      <c r="J1014" s="2" t="n"/>
      <c r="K1014" s="2">
        <f>IF(H1014="02.09 : Outras Saídas", IF(OR(ISNUMBER(SEARCH("CHEQUE COMPE SICREDI", F1014)), ISNUMBER(SEARCH("aniversario", F1014)), ISNUMBER(SEARCH("churrasco", F1014)), ISNUMBER(SEARCH("bolo", F1014)), ISNUMBER(SEARCH("SUPERMERCADO", F1014))), "6.1 Despesas Administrativas (Pessoal)", IF(OR(ISNUMBER(SEARCH("DLKNET", F1014)), ISNUMBER(SEARCH("TESTE", F1014))), "6.1 Despesas Administrativas (Gerais)", IFERROR(VLOOKUP(H1014, De_Para!A:B, 2, FALSE), "NÃO MAPEADO"))), IFERROR(VLOOKUP(H1014, De_Para!A:B, 2, FALSE), "NÃO MAPEADO"))</f>
        <v/>
      </c>
    </row>
    <row r="1015">
      <c r="A1015" s="2" t="inlineStr">
        <is>
          <t>68672</t>
        </is>
      </c>
      <c r="B1015" s="2" t="inlineStr">
        <is>
          <t>Sicredi SNI</t>
        </is>
      </c>
      <c r="C1015" s="2" t="inlineStr">
        <is>
          <t>12/06/2026</t>
        </is>
      </c>
      <c r="D1015" s="2" t="inlineStr">
        <is>
          <t>12/06/2026</t>
        </is>
      </c>
      <c r="E1015" s="2" t="inlineStr">
        <is>
          <t>PIX</t>
        </is>
      </c>
      <c r="F1015" s="2" t="inlineStr">
        <is>
          <t>Boleto "57735" do cliente "FABIO CESAR VELANI THIBES"</t>
        </is>
      </c>
      <c r="G1015" s="2" t="inlineStr">
        <is>
          <t>system</t>
        </is>
      </c>
      <c r="H1015" s="2" t="inlineStr">
        <is>
          <t>02.03.02.01 : Cobrança Bancaria</t>
        </is>
      </c>
      <c r="I1015" s="2" t="n"/>
      <c r="J1015" s="3" t="n">
        <v>-0.49</v>
      </c>
      <c r="K1015" s="2">
        <f>IF(H1015="02.09 : Outras Saídas", IF(OR(ISNUMBER(SEARCH("CHEQUE COMPE SICREDI", F1015)), ISNUMBER(SEARCH("aniversario", F1015)), ISNUMBER(SEARCH("churrasco", F1015)), ISNUMBER(SEARCH("bolo", F1015)), ISNUMBER(SEARCH("SUPERMERCADO", F1015))), "6.1 Despesas Administrativas (Pessoal)", IF(OR(ISNUMBER(SEARCH("DLKNET", F1015)), ISNUMBER(SEARCH("TESTE", F1015))), "6.1 Despesas Administrativas (Gerais)", IFERROR(VLOOKUP(H1015, De_Para!A:B, 2, FALSE), "NÃO MAPEADO"))), IFERROR(VLOOKUP(H1015, De_Para!A:B, 2, FALSE), "NÃO MAPEADO"))</f>
        <v/>
      </c>
    </row>
    <row r="1016">
      <c r="A1016" s="2" t="inlineStr">
        <is>
          <t>68671</t>
        </is>
      </c>
      <c r="B1016" s="2" t="inlineStr">
        <is>
          <t>Sicredi SNI</t>
        </is>
      </c>
      <c r="C1016" s="2" t="inlineStr">
        <is>
          <t>12/06/2026</t>
        </is>
      </c>
      <c r="D1016" s="2" t="inlineStr">
        <is>
          <t>12/06/2026</t>
        </is>
      </c>
      <c r="E1016" s="2" t="inlineStr">
        <is>
          <t>PIX</t>
        </is>
      </c>
      <c r="F1016" s="2" t="inlineStr">
        <is>
          <t>Boleto "57735" do cliente "FABIO CESAR VELANI THIBES"</t>
        </is>
      </c>
      <c r="G1016" s="2" t="inlineStr">
        <is>
          <t>system</t>
        </is>
      </c>
      <c r="H1016" s="2" t="inlineStr">
        <is>
          <t>01.01.01 : Mensalidade</t>
        </is>
      </c>
      <c r="I1016" s="3" t="n">
        <v>107.17</v>
      </c>
      <c r="J1016" s="2" t="n"/>
      <c r="K1016" s="2">
        <f>IF(H1016="02.09 : Outras Saídas", IF(OR(ISNUMBER(SEARCH("CHEQUE COMPE SICREDI", F1016)), ISNUMBER(SEARCH("aniversario", F1016)), ISNUMBER(SEARCH("churrasco", F1016)), ISNUMBER(SEARCH("bolo", F1016)), ISNUMBER(SEARCH("SUPERMERCADO", F1016))), "6.1 Despesas Administrativas (Pessoal)", IF(OR(ISNUMBER(SEARCH("DLKNET", F1016)), ISNUMBER(SEARCH("TESTE", F1016))), "6.1 Despesas Administrativas (Gerais)", IFERROR(VLOOKUP(H1016, De_Para!A:B, 2, FALSE), "NÃO MAPEADO"))), IFERROR(VLOOKUP(H1016, De_Para!A:B, 2, FALSE), "NÃO MAPEADO"))</f>
        <v/>
      </c>
    </row>
    <row r="1017">
      <c r="A1017" s="2" t="inlineStr">
        <is>
          <t>68670</t>
        </is>
      </c>
      <c r="B1017" s="2" t="inlineStr">
        <is>
          <t>Sicredi SNI</t>
        </is>
      </c>
      <c r="C1017" s="2" t="inlineStr">
        <is>
          <t>12/06/2026</t>
        </is>
      </c>
      <c r="D1017" s="2" t="inlineStr">
        <is>
          <t>12/06/2026</t>
        </is>
      </c>
      <c r="E1017" s="2" t="inlineStr">
        <is>
          <t>PIX</t>
        </is>
      </c>
      <c r="F1017" s="2" t="inlineStr">
        <is>
          <t>Boleto "60898" do cliente "VITORIA APARECIDA DOMINGUES"</t>
        </is>
      </c>
      <c r="G1017" s="2" t="inlineStr">
        <is>
          <t>system</t>
        </is>
      </c>
      <c r="H1017" s="2" t="inlineStr">
        <is>
          <t>02.03.02.01 : Cobrança Bancaria</t>
        </is>
      </c>
      <c r="I1017" s="2" t="n"/>
      <c r="J1017" s="3" t="n">
        <v>-0.49</v>
      </c>
      <c r="K1017" s="2">
        <f>IF(H1017="02.09 : Outras Saídas", IF(OR(ISNUMBER(SEARCH("CHEQUE COMPE SICREDI", F1017)), ISNUMBER(SEARCH("aniversario", F1017)), ISNUMBER(SEARCH("churrasco", F1017)), ISNUMBER(SEARCH("bolo", F1017)), ISNUMBER(SEARCH("SUPERMERCADO", F1017))), "6.1 Despesas Administrativas (Pessoal)", IF(OR(ISNUMBER(SEARCH("DLKNET", F1017)), ISNUMBER(SEARCH("TESTE", F1017))), "6.1 Despesas Administrativas (Gerais)", IFERROR(VLOOKUP(H1017, De_Para!A:B, 2, FALSE), "NÃO MAPEADO"))), IFERROR(VLOOKUP(H1017, De_Para!A:B, 2, FALSE), "NÃO MAPEADO"))</f>
        <v/>
      </c>
    </row>
    <row r="1018">
      <c r="A1018" s="2" t="inlineStr">
        <is>
          <t>68669</t>
        </is>
      </c>
      <c r="B1018" s="2" t="inlineStr">
        <is>
          <t>Sicredi SNI</t>
        </is>
      </c>
      <c r="C1018" s="2" t="inlineStr">
        <is>
          <t>12/06/2026</t>
        </is>
      </c>
      <c r="D1018" s="2" t="inlineStr">
        <is>
          <t>12/06/2026</t>
        </is>
      </c>
      <c r="E1018" s="2" t="inlineStr">
        <is>
          <t>PIX</t>
        </is>
      </c>
      <c r="F1018" s="2" t="inlineStr">
        <is>
          <t>Boleto "60898" do cliente "VITORIA APARECIDA DOMINGUES"</t>
        </is>
      </c>
      <c r="G1018" s="2" t="inlineStr">
        <is>
          <t>system</t>
        </is>
      </c>
      <c r="H1018" s="2" t="inlineStr">
        <is>
          <t>01.03.01 : Mensalidade</t>
        </is>
      </c>
      <c r="I1018" s="3" t="n">
        <v>105</v>
      </c>
      <c r="J1018" s="2" t="n"/>
      <c r="K1018" s="2">
        <f>IF(H1018="02.09 : Outras Saídas", IF(OR(ISNUMBER(SEARCH("CHEQUE COMPE SICREDI", F1018)), ISNUMBER(SEARCH("aniversario", F1018)), ISNUMBER(SEARCH("churrasco", F1018)), ISNUMBER(SEARCH("bolo", F1018)), ISNUMBER(SEARCH("SUPERMERCADO", F1018))), "6.1 Despesas Administrativas (Pessoal)", IF(OR(ISNUMBER(SEARCH("DLKNET", F1018)), ISNUMBER(SEARCH("TESTE", F1018))), "6.1 Despesas Administrativas (Gerais)", IFERROR(VLOOKUP(H1018, De_Para!A:B, 2, FALSE), "NÃO MAPEADO"))), IFERROR(VLOOKUP(H1018, De_Para!A:B, 2, FALSE), "NÃO MAPEADO"))</f>
        <v/>
      </c>
    </row>
    <row r="1019">
      <c r="A1019" s="2" t="inlineStr">
        <is>
          <t>68668</t>
        </is>
      </c>
      <c r="B1019" s="2" t="inlineStr">
        <is>
          <t>Sicredi SNI</t>
        </is>
      </c>
      <c r="C1019" s="2" t="inlineStr">
        <is>
          <t>12/06/2026</t>
        </is>
      </c>
      <c r="D1019" s="2" t="inlineStr">
        <is>
          <t>11/06/2026</t>
        </is>
      </c>
      <c r="E1019" s="2" t="inlineStr">
        <is>
          <t>Dinheiro</t>
        </is>
      </c>
      <c r="F1019" s="2" t="inlineStr">
        <is>
          <t>Boleto "56997" do cliente "PAULO DE FREITAS"</t>
        </is>
      </c>
      <c r="G1019" s="2" t="inlineStr">
        <is>
          <t>system</t>
        </is>
      </c>
      <c r="H1019" s="2" t="inlineStr">
        <is>
          <t>02.03.02.01 : Cobrança Bancaria</t>
        </is>
      </c>
      <c r="I1019" s="2" t="n"/>
      <c r="J1019" s="3" t="n">
        <v>-1.08</v>
      </c>
      <c r="K1019" s="2">
        <f>IF(H1019="02.09 : Outras Saídas", IF(OR(ISNUMBER(SEARCH("CHEQUE COMPE SICREDI", F1019)), ISNUMBER(SEARCH("aniversario", F1019)), ISNUMBER(SEARCH("churrasco", F1019)), ISNUMBER(SEARCH("bolo", F1019)), ISNUMBER(SEARCH("SUPERMERCADO", F1019))), "6.1 Despesas Administrativas (Pessoal)", IF(OR(ISNUMBER(SEARCH("DLKNET", F1019)), ISNUMBER(SEARCH("TESTE", F1019))), "6.1 Despesas Administrativas (Gerais)", IFERROR(VLOOKUP(H1019, De_Para!A:B, 2, FALSE), "NÃO MAPEADO"))), IFERROR(VLOOKUP(H1019, De_Para!A:B, 2, FALSE), "NÃO MAPEADO"))</f>
        <v/>
      </c>
    </row>
    <row r="1020">
      <c r="A1020" s="2" t="inlineStr">
        <is>
          <t>68667</t>
        </is>
      </c>
      <c r="B1020" s="2" t="inlineStr">
        <is>
          <t>Sicredi SNI</t>
        </is>
      </c>
      <c r="C1020" s="2" t="inlineStr">
        <is>
          <t>12/06/2026</t>
        </is>
      </c>
      <c r="D1020" s="2" t="inlineStr">
        <is>
          <t>11/06/2026</t>
        </is>
      </c>
      <c r="E1020" s="2" t="inlineStr">
        <is>
          <t>Dinheiro</t>
        </is>
      </c>
      <c r="F1020" s="2" t="inlineStr">
        <is>
          <t>Boleto "56997" do cliente "PAULO DE FREITAS"</t>
        </is>
      </c>
      <c r="G1020" s="2" t="inlineStr">
        <is>
          <t>system</t>
        </is>
      </c>
      <c r="H1020" s="2" t="inlineStr">
        <is>
          <t>01.01.01 : Mensalidade</t>
        </is>
      </c>
      <c r="I1020" s="3" t="n">
        <v>102.03</v>
      </c>
      <c r="J1020" s="2" t="n"/>
      <c r="K1020" s="2">
        <f>IF(H1020="02.09 : Outras Saídas", IF(OR(ISNUMBER(SEARCH("CHEQUE COMPE SICREDI", F1020)), ISNUMBER(SEARCH("aniversario", F1020)), ISNUMBER(SEARCH("churrasco", F1020)), ISNUMBER(SEARCH("bolo", F1020)), ISNUMBER(SEARCH("SUPERMERCADO", F1020))), "6.1 Despesas Administrativas (Pessoal)", IF(OR(ISNUMBER(SEARCH("DLKNET", F1020)), ISNUMBER(SEARCH("TESTE", F1020))), "6.1 Despesas Administrativas (Gerais)", IFERROR(VLOOKUP(H1020, De_Para!A:B, 2, FALSE), "NÃO MAPEADO"))), IFERROR(VLOOKUP(H1020, De_Para!A:B, 2, FALSE), "NÃO MAPEADO"))</f>
        <v/>
      </c>
    </row>
    <row r="1021">
      <c r="A1021" s="2" t="inlineStr">
        <is>
          <t>68666</t>
        </is>
      </c>
      <c r="B1021" s="2" t="inlineStr">
        <is>
          <t>Sicoob</t>
        </is>
      </c>
      <c r="C1021" s="2" t="inlineStr">
        <is>
          <t>12/06/2026</t>
        </is>
      </c>
      <c r="D1021" s="2" t="inlineStr">
        <is>
          <t>11/06/2026</t>
        </is>
      </c>
      <c r="E1021" s="2" t="inlineStr">
        <is>
          <t>Dinheiro</t>
        </is>
      </c>
      <c r="F1021" s="2" t="inlineStr">
        <is>
          <t>Boleto "66950" do cliente "CLEITON DE JESUS DOMINGUES"</t>
        </is>
      </c>
      <c r="G1021" s="2" t="inlineStr">
        <is>
          <t>system</t>
        </is>
      </c>
      <c r="H1021" s="2" t="inlineStr">
        <is>
          <t>02.03.02.01 : Cobrança Bancaria</t>
        </is>
      </c>
      <c r="I1021" s="2" t="n"/>
      <c r="J1021" s="3" t="n">
        <v>-0.3</v>
      </c>
      <c r="K1021" s="2">
        <f>IF(H1021="02.09 : Outras Saídas", IF(OR(ISNUMBER(SEARCH("CHEQUE COMPE SICREDI", F1021)), ISNUMBER(SEARCH("aniversario", F1021)), ISNUMBER(SEARCH("churrasco", F1021)), ISNUMBER(SEARCH("bolo", F1021)), ISNUMBER(SEARCH("SUPERMERCADO", F1021))), "6.1 Despesas Administrativas (Pessoal)", IF(OR(ISNUMBER(SEARCH("DLKNET", F1021)), ISNUMBER(SEARCH("TESTE", F1021))), "6.1 Despesas Administrativas (Gerais)", IFERROR(VLOOKUP(H1021, De_Para!A:B, 2, FALSE), "NÃO MAPEADO"))), IFERROR(VLOOKUP(H1021, De_Para!A:B, 2, FALSE), "NÃO MAPEADO"))</f>
        <v/>
      </c>
    </row>
    <row r="1022">
      <c r="A1022" s="2" t="inlineStr">
        <is>
          <t>68665</t>
        </is>
      </c>
      <c r="B1022" s="2" t="inlineStr">
        <is>
          <t>Sicoob</t>
        </is>
      </c>
      <c r="C1022" s="2" t="inlineStr">
        <is>
          <t>12/06/2026</t>
        </is>
      </c>
      <c r="D1022" s="2" t="inlineStr">
        <is>
          <t>11/06/2026</t>
        </is>
      </c>
      <c r="E1022" s="2" t="inlineStr">
        <is>
          <t>Dinheiro</t>
        </is>
      </c>
      <c r="F1022" s="2" t="inlineStr">
        <is>
          <t>Boleto "66950" do cliente "CLEITON DE JESUS DOMINGUES"</t>
        </is>
      </c>
      <c r="G1022" s="2" t="inlineStr">
        <is>
          <t>system</t>
        </is>
      </c>
      <c r="H1022" s="2" t="inlineStr">
        <is>
          <t>01.01.01 : Mensalidade</t>
        </is>
      </c>
      <c r="I1022" s="3" t="n">
        <v>112.12</v>
      </c>
      <c r="J1022" s="2" t="n"/>
      <c r="K1022" s="2">
        <f>IF(H1022="02.09 : Outras Saídas", IF(OR(ISNUMBER(SEARCH("CHEQUE COMPE SICREDI", F1022)), ISNUMBER(SEARCH("aniversario", F1022)), ISNUMBER(SEARCH("churrasco", F1022)), ISNUMBER(SEARCH("bolo", F1022)), ISNUMBER(SEARCH("SUPERMERCADO", F1022))), "6.1 Despesas Administrativas (Pessoal)", IF(OR(ISNUMBER(SEARCH("DLKNET", F1022)), ISNUMBER(SEARCH("TESTE", F1022))), "6.1 Despesas Administrativas (Gerais)", IFERROR(VLOOKUP(H1022, De_Para!A:B, 2, FALSE), "NÃO MAPEADO"))), IFERROR(VLOOKUP(H1022, De_Para!A:B, 2, FALSE), "NÃO MAPEADO"))</f>
        <v/>
      </c>
    </row>
    <row r="1023">
      <c r="A1023" s="2" t="inlineStr">
        <is>
          <t>68664</t>
        </is>
      </c>
      <c r="B1023" s="2" t="inlineStr">
        <is>
          <t>Sicoob</t>
        </is>
      </c>
      <c r="C1023" s="2" t="inlineStr">
        <is>
          <t>12/06/2026</t>
        </is>
      </c>
      <c r="D1023" s="2" t="inlineStr">
        <is>
          <t>11/06/2026</t>
        </is>
      </c>
      <c r="E1023" s="2" t="inlineStr">
        <is>
          <t>Dinheiro</t>
        </is>
      </c>
      <c r="F1023" s="2" t="inlineStr">
        <is>
          <t>Boleto "66833" do cliente "VALDEVINO BONINI"</t>
        </is>
      </c>
      <c r="G1023" s="2" t="inlineStr">
        <is>
          <t>system</t>
        </is>
      </c>
      <c r="H1023" s="2" t="inlineStr">
        <is>
          <t>02.03.02.01 : Cobrança Bancaria</t>
        </is>
      </c>
      <c r="I1023" s="2" t="n"/>
      <c r="J1023" s="3" t="n">
        <v>-0.3</v>
      </c>
      <c r="K1023" s="2">
        <f>IF(H1023="02.09 : Outras Saídas", IF(OR(ISNUMBER(SEARCH("CHEQUE COMPE SICREDI", F1023)), ISNUMBER(SEARCH("aniversario", F1023)), ISNUMBER(SEARCH("churrasco", F1023)), ISNUMBER(SEARCH("bolo", F1023)), ISNUMBER(SEARCH("SUPERMERCADO", F1023))), "6.1 Despesas Administrativas (Pessoal)", IF(OR(ISNUMBER(SEARCH("DLKNET", F1023)), ISNUMBER(SEARCH("TESTE", F1023))), "6.1 Despesas Administrativas (Gerais)", IFERROR(VLOOKUP(H1023, De_Para!A:B, 2, FALSE), "NÃO MAPEADO"))), IFERROR(VLOOKUP(H1023, De_Para!A:B, 2, FALSE), "NÃO MAPEADO"))</f>
        <v/>
      </c>
    </row>
    <row r="1024">
      <c r="A1024" s="2" t="inlineStr">
        <is>
          <t>68663</t>
        </is>
      </c>
      <c r="B1024" s="2" t="inlineStr">
        <is>
          <t>Sicoob</t>
        </is>
      </c>
      <c r="C1024" s="2" t="inlineStr">
        <is>
          <t>12/06/2026</t>
        </is>
      </c>
      <c r="D1024" s="2" t="inlineStr">
        <is>
          <t>11/06/2026</t>
        </is>
      </c>
      <c r="E1024" s="2" t="inlineStr">
        <is>
          <t>Dinheiro</t>
        </is>
      </c>
      <c r="F1024" s="2" t="inlineStr">
        <is>
          <t>Boleto "66833" do cliente "VALDEVINO BONINI"</t>
        </is>
      </c>
      <c r="G1024" s="2" t="inlineStr">
        <is>
          <t>system</t>
        </is>
      </c>
      <c r="H1024" s="2" t="inlineStr">
        <is>
          <t>01.01.01 : Mensalidade</t>
        </is>
      </c>
      <c r="I1024" s="3" t="n">
        <v>80</v>
      </c>
      <c r="J1024" s="2" t="n"/>
      <c r="K1024" s="2">
        <f>IF(H1024="02.09 : Outras Saídas", IF(OR(ISNUMBER(SEARCH("CHEQUE COMPE SICREDI", F1024)), ISNUMBER(SEARCH("aniversario", F1024)), ISNUMBER(SEARCH("churrasco", F1024)), ISNUMBER(SEARCH("bolo", F1024)), ISNUMBER(SEARCH("SUPERMERCADO", F1024))), "6.1 Despesas Administrativas (Pessoal)", IF(OR(ISNUMBER(SEARCH("DLKNET", F1024)), ISNUMBER(SEARCH("TESTE", F1024))), "6.1 Despesas Administrativas (Gerais)", IFERROR(VLOOKUP(H1024, De_Para!A:B, 2, FALSE), "NÃO MAPEADO"))), IFERROR(VLOOKUP(H1024, De_Para!A:B, 2, FALSE), "NÃO MAPEADO"))</f>
        <v/>
      </c>
    </row>
    <row r="1025">
      <c r="A1025" s="2" t="inlineStr">
        <is>
          <t>68662</t>
        </is>
      </c>
      <c r="B1025" s="2" t="inlineStr">
        <is>
          <t>Sicoob</t>
        </is>
      </c>
      <c r="C1025" s="2" t="inlineStr">
        <is>
          <t>12/06/2026</t>
        </is>
      </c>
      <c r="D1025" s="2" t="inlineStr">
        <is>
          <t>11/06/2026</t>
        </is>
      </c>
      <c r="E1025" s="2" t="inlineStr">
        <is>
          <t>Dinheiro</t>
        </is>
      </c>
      <c r="F1025" s="2" t="inlineStr">
        <is>
          <t>Boleto "58618" do cliente "EVANDRO JOSÉ FARIA"</t>
        </is>
      </c>
      <c r="G1025" s="2" t="inlineStr">
        <is>
          <t>system</t>
        </is>
      </c>
      <c r="H1025" s="2" t="inlineStr">
        <is>
          <t>02.03.02.01 : Cobrança Bancaria</t>
        </is>
      </c>
      <c r="I1025" s="2" t="n"/>
      <c r="J1025" s="3" t="n">
        <v>-0.3</v>
      </c>
      <c r="K1025" s="2">
        <f>IF(H1025="02.09 : Outras Saídas", IF(OR(ISNUMBER(SEARCH("CHEQUE COMPE SICREDI", F1025)), ISNUMBER(SEARCH("aniversario", F1025)), ISNUMBER(SEARCH("churrasco", F1025)), ISNUMBER(SEARCH("bolo", F1025)), ISNUMBER(SEARCH("SUPERMERCADO", F1025))), "6.1 Despesas Administrativas (Pessoal)", IF(OR(ISNUMBER(SEARCH("DLKNET", F1025)), ISNUMBER(SEARCH("TESTE", F1025))), "6.1 Despesas Administrativas (Gerais)", IFERROR(VLOOKUP(H1025, De_Para!A:B, 2, FALSE), "NÃO MAPEADO"))), IFERROR(VLOOKUP(H1025, De_Para!A:B, 2, FALSE), "NÃO MAPEADO"))</f>
        <v/>
      </c>
    </row>
    <row r="1026">
      <c r="A1026" s="2" t="inlineStr">
        <is>
          <t>68661</t>
        </is>
      </c>
      <c r="B1026" s="2" t="inlineStr">
        <is>
          <t>Sicoob</t>
        </is>
      </c>
      <c r="C1026" s="2" t="inlineStr">
        <is>
          <t>12/06/2026</t>
        </is>
      </c>
      <c r="D1026" s="2" t="inlineStr">
        <is>
          <t>11/06/2026</t>
        </is>
      </c>
      <c r="E1026" s="2" t="inlineStr">
        <is>
          <t>Dinheiro</t>
        </is>
      </c>
      <c r="F1026" s="2" t="inlineStr">
        <is>
          <t>Boleto "58618" do cliente "EVANDRO JOSÉ FARIA"</t>
        </is>
      </c>
      <c r="G1026" s="2" t="inlineStr">
        <is>
          <t>system</t>
        </is>
      </c>
      <c r="H1026" s="2" t="inlineStr">
        <is>
          <t>01.01.01 : Mensalidade</t>
        </is>
      </c>
      <c r="I1026" s="3" t="n">
        <v>105</v>
      </c>
      <c r="J1026" s="2" t="n"/>
      <c r="K1026" s="2">
        <f>IF(H1026="02.09 : Outras Saídas", IF(OR(ISNUMBER(SEARCH("CHEQUE COMPE SICREDI", F1026)), ISNUMBER(SEARCH("aniversario", F1026)), ISNUMBER(SEARCH("churrasco", F1026)), ISNUMBER(SEARCH("bolo", F1026)), ISNUMBER(SEARCH("SUPERMERCADO", F1026))), "6.1 Despesas Administrativas (Pessoal)", IF(OR(ISNUMBER(SEARCH("DLKNET", F1026)), ISNUMBER(SEARCH("TESTE", F1026))), "6.1 Despesas Administrativas (Gerais)", IFERROR(VLOOKUP(H1026, De_Para!A:B, 2, FALSE), "NÃO MAPEADO"))), IFERROR(VLOOKUP(H1026, De_Para!A:B, 2, FALSE), "NÃO MAPEADO"))</f>
        <v/>
      </c>
    </row>
    <row r="1027">
      <c r="A1027" s="2" t="inlineStr">
        <is>
          <t>68660</t>
        </is>
      </c>
      <c r="B1027" s="2" t="inlineStr">
        <is>
          <t>Sicoob</t>
        </is>
      </c>
      <c r="C1027" s="2" t="inlineStr">
        <is>
          <t>12/06/2026</t>
        </is>
      </c>
      <c r="D1027" s="2" t="inlineStr">
        <is>
          <t>11/06/2026</t>
        </is>
      </c>
      <c r="E1027" s="2" t="inlineStr">
        <is>
          <t>Dinheiro</t>
        </is>
      </c>
      <c r="F1027" s="2" t="inlineStr">
        <is>
          <t>Boleto "57922" do cliente "LOURDES GONÇALVES GOMES"</t>
        </is>
      </c>
      <c r="G1027" s="2" t="inlineStr">
        <is>
          <t>system</t>
        </is>
      </c>
      <c r="H1027" s="2" t="inlineStr">
        <is>
          <t>02.03.02.01 : Cobrança Bancaria</t>
        </is>
      </c>
      <c r="I1027" s="2" t="n"/>
      <c r="J1027" s="3" t="n">
        <v>-0.3</v>
      </c>
      <c r="K1027" s="2">
        <f>IF(H1027="02.09 : Outras Saídas", IF(OR(ISNUMBER(SEARCH("CHEQUE COMPE SICREDI", F1027)), ISNUMBER(SEARCH("aniversario", F1027)), ISNUMBER(SEARCH("churrasco", F1027)), ISNUMBER(SEARCH("bolo", F1027)), ISNUMBER(SEARCH("SUPERMERCADO", F1027))), "6.1 Despesas Administrativas (Pessoal)", IF(OR(ISNUMBER(SEARCH("DLKNET", F1027)), ISNUMBER(SEARCH("TESTE", F1027))), "6.1 Despesas Administrativas (Gerais)", IFERROR(VLOOKUP(H1027, De_Para!A:B, 2, FALSE), "NÃO MAPEADO"))), IFERROR(VLOOKUP(H1027, De_Para!A:B, 2, FALSE), "NÃO MAPEADO"))</f>
        <v/>
      </c>
    </row>
    <row r="1028">
      <c r="A1028" s="2" t="inlineStr">
        <is>
          <t>68659</t>
        </is>
      </c>
      <c r="B1028" s="2" t="inlineStr">
        <is>
          <t>Sicoob</t>
        </is>
      </c>
      <c r="C1028" s="2" t="inlineStr">
        <is>
          <t>12/06/2026</t>
        </is>
      </c>
      <c r="D1028" s="2" t="inlineStr">
        <is>
          <t>11/06/2026</t>
        </is>
      </c>
      <c r="E1028" s="2" t="inlineStr">
        <is>
          <t>Dinheiro</t>
        </is>
      </c>
      <c r="F1028" s="2" t="inlineStr">
        <is>
          <t>Boleto "57922" do cliente "LOURDES GONÇALVES GOMES"</t>
        </is>
      </c>
      <c r="G1028" s="2" t="inlineStr">
        <is>
          <t>system</t>
        </is>
      </c>
      <c r="H1028" s="2" t="inlineStr">
        <is>
          <t>01.03.01 : Mensalidade</t>
        </is>
      </c>
      <c r="I1028" s="3" t="n">
        <v>105</v>
      </c>
      <c r="J1028" s="2" t="n"/>
      <c r="K1028" s="2">
        <f>IF(H1028="02.09 : Outras Saídas", IF(OR(ISNUMBER(SEARCH("CHEQUE COMPE SICREDI", F1028)), ISNUMBER(SEARCH("aniversario", F1028)), ISNUMBER(SEARCH("churrasco", F1028)), ISNUMBER(SEARCH("bolo", F1028)), ISNUMBER(SEARCH("SUPERMERCADO", F1028))), "6.1 Despesas Administrativas (Pessoal)", IF(OR(ISNUMBER(SEARCH("DLKNET", F1028)), ISNUMBER(SEARCH("TESTE", F1028))), "6.1 Despesas Administrativas (Gerais)", IFERROR(VLOOKUP(H1028, De_Para!A:B, 2, FALSE), "NÃO MAPEADO"))), IFERROR(VLOOKUP(H1028, De_Para!A:B, 2, FALSE), "NÃO MAPEADO"))</f>
        <v/>
      </c>
    </row>
    <row r="1029">
      <c r="A1029" s="2" t="inlineStr">
        <is>
          <t>68658</t>
        </is>
      </c>
      <c r="B1029" s="2" t="inlineStr">
        <is>
          <t>Sicredi SNI</t>
        </is>
      </c>
      <c r="C1029" s="2" t="inlineStr">
        <is>
          <t>12/06/2026</t>
        </is>
      </c>
      <c r="D1029" s="2" t="inlineStr">
        <is>
          <t>12/06/2026</t>
        </is>
      </c>
      <c r="E1029" s="2" t="inlineStr">
        <is>
          <t>PIX</t>
        </is>
      </c>
      <c r="F1029" s="2" t="inlineStr">
        <is>
          <t>Boleto "56712" do cliente "KATIELI INOCÊNCIA FELIZARDO"</t>
        </is>
      </c>
      <c r="G1029" s="2" t="inlineStr">
        <is>
          <t>system</t>
        </is>
      </c>
      <c r="H1029" s="2" t="inlineStr">
        <is>
          <t>02.03.02.01 : Cobrança Bancaria</t>
        </is>
      </c>
      <c r="I1029" s="2" t="n"/>
      <c r="J1029" s="3" t="n">
        <v>-0.49</v>
      </c>
      <c r="K1029" s="2">
        <f>IF(H1029="02.09 : Outras Saídas", IF(OR(ISNUMBER(SEARCH("CHEQUE COMPE SICREDI", F1029)), ISNUMBER(SEARCH("aniversario", F1029)), ISNUMBER(SEARCH("churrasco", F1029)), ISNUMBER(SEARCH("bolo", F1029)), ISNUMBER(SEARCH("SUPERMERCADO", F1029))), "6.1 Despesas Administrativas (Pessoal)", IF(OR(ISNUMBER(SEARCH("DLKNET", F1029)), ISNUMBER(SEARCH("TESTE", F1029))), "6.1 Despesas Administrativas (Gerais)", IFERROR(VLOOKUP(H1029, De_Para!A:B, 2, FALSE), "NÃO MAPEADO"))), IFERROR(VLOOKUP(H1029, De_Para!A:B, 2, FALSE), "NÃO MAPEADO"))</f>
        <v/>
      </c>
    </row>
    <row r="1030">
      <c r="A1030" s="2" t="inlineStr">
        <is>
          <t>68657</t>
        </is>
      </c>
      <c r="B1030" s="2" t="inlineStr">
        <is>
          <t>Sicredi SNI</t>
        </is>
      </c>
      <c r="C1030" s="2" t="inlineStr">
        <is>
          <t>12/06/2026</t>
        </is>
      </c>
      <c r="D1030" s="2" t="inlineStr">
        <is>
          <t>12/06/2026</t>
        </is>
      </c>
      <c r="E1030" s="2" t="inlineStr">
        <is>
          <t>PIX</t>
        </is>
      </c>
      <c r="F1030" s="2" t="inlineStr">
        <is>
          <t>Boleto "56712" do cliente "KATIELI INOCÊNCIA FELIZARDO"</t>
        </is>
      </c>
      <c r="G1030" s="2" t="inlineStr">
        <is>
          <t>system</t>
        </is>
      </c>
      <c r="H1030" s="2" t="inlineStr">
        <is>
          <t>01.01.01 : Mensalidade</t>
        </is>
      </c>
      <c r="I1030" s="3" t="n">
        <v>102.17</v>
      </c>
      <c r="J1030" s="2" t="n"/>
      <c r="K1030" s="2">
        <f>IF(H1030="02.09 : Outras Saídas", IF(OR(ISNUMBER(SEARCH("CHEQUE COMPE SICREDI", F1030)), ISNUMBER(SEARCH("aniversario", F1030)), ISNUMBER(SEARCH("churrasco", F1030)), ISNUMBER(SEARCH("bolo", F1030)), ISNUMBER(SEARCH("SUPERMERCADO", F1030))), "6.1 Despesas Administrativas (Pessoal)", IF(OR(ISNUMBER(SEARCH("DLKNET", F1030)), ISNUMBER(SEARCH("TESTE", F1030))), "6.1 Despesas Administrativas (Gerais)", IFERROR(VLOOKUP(H1030, De_Para!A:B, 2, FALSE), "NÃO MAPEADO"))), IFERROR(VLOOKUP(H1030, De_Para!A:B, 2, FALSE), "NÃO MAPEADO"))</f>
        <v/>
      </c>
    </row>
    <row r="1031">
      <c r="A1031" s="2" t="inlineStr">
        <is>
          <t>68656</t>
        </is>
      </c>
      <c r="B1031" s="2" t="inlineStr">
        <is>
          <t>Sicredi SNI</t>
        </is>
      </c>
      <c r="C1031" s="2" t="inlineStr">
        <is>
          <t>12/06/2026</t>
        </is>
      </c>
      <c r="D1031" s="2" t="inlineStr">
        <is>
          <t>12/06/2026</t>
        </is>
      </c>
      <c r="E1031" s="2" t="inlineStr">
        <is>
          <t>PIX</t>
        </is>
      </c>
      <c r="F1031" s="2" t="inlineStr">
        <is>
          <t>Boleto "60195" do cliente "ADNA ALMEIDA HONORATO"</t>
        </is>
      </c>
      <c r="G1031" s="2" t="inlineStr">
        <is>
          <t>system</t>
        </is>
      </c>
      <c r="H1031" s="2" t="inlineStr">
        <is>
          <t>02.03.02.01 : Cobrança Bancaria</t>
        </is>
      </c>
      <c r="I1031" s="2" t="n"/>
      <c r="J1031" s="3" t="n">
        <v>-0.49</v>
      </c>
      <c r="K1031" s="2">
        <f>IF(H1031="02.09 : Outras Saídas", IF(OR(ISNUMBER(SEARCH("CHEQUE COMPE SICREDI", F1031)), ISNUMBER(SEARCH("aniversario", F1031)), ISNUMBER(SEARCH("churrasco", F1031)), ISNUMBER(SEARCH("bolo", F1031)), ISNUMBER(SEARCH("SUPERMERCADO", F1031))), "6.1 Despesas Administrativas (Pessoal)", IF(OR(ISNUMBER(SEARCH("DLKNET", F1031)), ISNUMBER(SEARCH("TESTE", F1031))), "6.1 Despesas Administrativas (Gerais)", IFERROR(VLOOKUP(H1031, De_Para!A:B, 2, FALSE), "NÃO MAPEADO"))), IFERROR(VLOOKUP(H1031, De_Para!A:B, 2, FALSE), "NÃO MAPEADO"))</f>
        <v/>
      </c>
    </row>
    <row r="1032">
      <c r="A1032" s="2" t="inlineStr">
        <is>
          <t>68655</t>
        </is>
      </c>
      <c r="B1032" s="2" t="inlineStr">
        <is>
          <t>Sicredi SNI</t>
        </is>
      </c>
      <c r="C1032" s="2" t="inlineStr">
        <is>
          <t>12/06/2026</t>
        </is>
      </c>
      <c r="D1032" s="2" t="inlineStr">
        <is>
          <t>12/06/2026</t>
        </is>
      </c>
      <c r="E1032" s="2" t="inlineStr">
        <is>
          <t>PIX</t>
        </is>
      </c>
      <c r="F1032" s="2" t="inlineStr">
        <is>
          <t>Boleto "60195" do cliente "ADNA ALMEIDA HONORATO"</t>
        </is>
      </c>
      <c r="G1032" s="2" t="inlineStr">
        <is>
          <t>system</t>
        </is>
      </c>
      <c r="H1032" s="2" t="inlineStr">
        <is>
          <t>01.01.01 : Mensalidade</t>
        </is>
      </c>
      <c r="I1032" s="3" t="n">
        <v>105</v>
      </c>
      <c r="J1032" s="2" t="n"/>
      <c r="K1032" s="2">
        <f>IF(H1032="02.09 : Outras Saídas", IF(OR(ISNUMBER(SEARCH("CHEQUE COMPE SICREDI", F1032)), ISNUMBER(SEARCH("aniversario", F1032)), ISNUMBER(SEARCH("churrasco", F1032)), ISNUMBER(SEARCH("bolo", F1032)), ISNUMBER(SEARCH("SUPERMERCADO", F1032))), "6.1 Despesas Administrativas (Pessoal)", IF(OR(ISNUMBER(SEARCH("DLKNET", F1032)), ISNUMBER(SEARCH("TESTE", F1032))), "6.1 Despesas Administrativas (Gerais)", IFERROR(VLOOKUP(H1032, De_Para!A:B, 2, FALSE), "NÃO MAPEADO"))), IFERROR(VLOOKUP(H1032, De_Para!A:B, 2, FALSE), "NÃO MAPEADO"))</f>
        <v/>
      </c>
    </row>
    <row r="1033">
      <c r="A1033" s="2" t="inlineStr">
        <is>
          <t>68654</t>
        </is>
      </c>
      <c r="B1033" s="2" t="inlineStr">
        <is>
          <t>Sicredi SNI</t>
        </is>
      </c>
      <c r="C1033" s="2" t="inlineStr">
        <is>
          <t>11/06/2026</t>
        </is>
      </c>
      <c r="D1033" s="2" t="inlineStr">
        <is>
          <t>11/06/2026</t>
        </is>
      </c>
      <c r="E1033" s="2" t="inlineStr">
        <is>
          <t>PIX</t>
        </is>
      </c>
      <c r="F1033" s="2" t="inlineStr">
        <is>
          <t>Boleto "56821" do cliente "SEBASTIAO RIBEIRO"</t>
        </is>
      </c>
      <c r="G1033" s="2" t="inlineStr">
        <is>
          <t>system</t>
        </is>
      </c>
      <c r="H1033" s="2" t="inlineStr">
        <is>
          <t>02.03.02.01 : Cobrança Bancaria</t>
        </is>
      </c>
      <c r="I1033" s="2" t="n"/>
      <c r="J1033" s="3" t="n">
        <v>-0.49</v>
      </c>
      <c r="K1033" s="2">
        <f>IF(H1033="02.09 : Outras Saídas", IF(OR(ISNUMBER(SEARCH("CHEQUE COMPE SICREDI", F1033)), ISNUMBER(SEARCH("aniversario", F1033)), ISNUMBER(SEARCH("churrasco", F1033)), ISNUMBER(SEARCH("bolo", F1033)), ISNUMBER(SEARCH("SUPERMERCADO", F1033))), "6.1 Despesas Administrativas (Pessoal)", IF(OR(ISNUMBER(SEARCH("DLKNET", F1033)), ISNUMBER(SEARCH("TESTE", F1033))), "6.1 Despesas Administrativas (Gerais)", IFERROR(VLOOKUP(H1033, De_Para!A:B, 2, FALSE), "NÃO MAPEADO"))), IFERROR(VLOOKUP(H1033, De_Para!A:B, 2, FALSE), "NÃO MAPEADO"))</f>
        <v/>
      </c>
    </row>
    <row r="1034">
      <c r="A1034" s="2" t="inlineStr">
        <is>
          <t>68653</t>
        </is>
      </c>
      <c r="B1034" s="2" t="inlineStr">
        <is>
          <t>Sicredi SNI</t>
        </is>
      </c>
      <c r="C1034" s="2" t="inlineStr">
        <is>
          <t>11/06/2026</t>
        </is>
      </c>
      <c r="D1034" s="2" t="inlineStr">
        <is>
          <t>11/06/2026</t>
        </is>
      </c>
      <c r="E1034" s="2" t="inlineStr">
        <is>
          <t>PIX</t>
        </is>
      </c>
      <c r="F1034" s="2" t="inlineStr">
        <is>
          <t>Boleto "56821" do cliente "SEBASTIAO RIBEIRO"</t>
        </is>
      </c>
      <c r="G1034" s="2" t="inlineStr">
        <is>
          <t>system</t>
        </is>
      </c>
      <c r="H1034" s="2" t="inlineStr">
        <is>
          <t>01.01.01 : Mensalidade</t>
        </is>
      </c>
      <c r="I1034" s="3" t="n">
        <v>107.14</v>
      </c>
      <c r="J1034" s="2" t="n"/>
      <c r="K1034" s="2">
        <f>IF(H1034="02.09 : Outras Saídas", IF(OR(ISNUMBER(SEARCH("CHEQUE COMPE SICREDI", F1034)), ISNUMBER(SEARCH("aniversario", F1034)), ISNUMBER(SEARCH("churrasco", F1034)), ISNUMBER(SEARCH("bolo", F1034)), ISNUMBER(SEARCH("SUPERMERCADO", F1034))), "6.1 Despesas Administrativas (Pessoal)", IF(OR(ISNUMBER(SEARCH("DLKNET", F1034)), ISNUMBER(SEARCH("TESTE", F1034))), "6.1 Despesas Administrativas (Gerais)", IFERROR(VLOOKUP(H1034, De_Para!A:B, 2, FALSE), "NÃO MAPEADO"))), IFERROR(VLOOKUP(H1034, De_Para!A:B, 2, FALSE), "NÃO MAPEADO"))</f>
        <v/>
      </c>
    </row>
    <row r="1035">
      <c r="A1035" s="2" t="inlineStr">
        <is>
          <t>68652</t>
        </is>
      </c>
      <c r="B1035" s="2" t="inlineStr">
        <is>
          <t>Sicredi SNI</t>
        </is>
      </c>
      <c r="C1035" s="2" t="inlineStr">
        <is>
          <t>11/06/2026</t>
        </is>
      </c>
      <c r="D1035" s="2" t="inlineStr">
        <is>
          <t>11/06/2026</t>
        </is>
      </c>
      <c r="E1035" s="2" t="inlineStr">
        <is>
          <t>PIX</t>
        </is>
      </c>
      <c r="F1035" s="2" t="inlineStr">
        <is>
          <t>Boleto "58112" do cliente "ANDERSON DE ALMEIDA"</t>
        </is>
      </c>
      <c r="G1035" s="2" t="inlineStr">
        <is>
          <t>system</t>
        </is>
      </c>
      <c r="H1035" s="2" t="inlineStr">
        <is>
          <t>02.03.02.01 : Cobrança Bancaria</t>
        </is>
      </c>
      <c r="I1035" s="2" t="n"/>
      <c r="J1035" s="3" t="n">
        <v>-0.49</v>
      </c>
      <c r="K1035" s="2">
        <f>IF(H1035="02.09 : Outras Saídas", IF(OR(ISNUMBER(SEARCH("CHEQUE COMPE SICREDI", F1035)), ISNUMBER(SEARCH("aniversario", F1035)), ISNUMBER(SEARCH("churrasco", F1035)), ISNUMBER(SEARCH("bolo", F1035)), ISNUMBER(SEARCH("SUPERMERCADO", F1035))), "6.1 Despesas Administrativas (Pessoal)", IF(OR(ISNUMBER(SEARCH("DLKNET", F1035)), ISNUMBER(SEARCH("TESTE", F1035))), "6.1 Despesas Administrativas (Gerais)", IFERROR(VLOOKUP(H1035, De_Para!A:B, 2, FALSE), "NÃO MAPEADO"))), IFERROR(VLOOKUP(H1035, De_Para!A:B, 2, FALSE), "NÃO MAPEADO"))</f>
        <v/>
      </c>
    </row>
    <row r="1036">
      <c r="A1036" s="2" t="inlineStr">
        <is>
          <t>68651</t>
        </is>
      </c>
      <c r="B1036" s="2" t="inlineStr">
        <is>
          <t>Sicredi SNI</t>
        </is>
      </c>
      <c r="C1036" s="2" t="inlineStr">
        <is>
          <t>11/06/2026</t>
        </is>
      </c>
      <c r="D1036" s="2" t="inlineStr">
        <is>
          <t>11/06/2026</t>
        </is>
      </c>
      <c r="E1036" s="2" t="inlineStr">
        <is>
          <t>PIX</t>
        </is>
      </c>
      <c r="F1036" s="2" t="inlineStr">
        <is>
          <t>Boleto "58112" do cliente "ANDERSON DE ALMEIDA"</t>
        </is>
      </c>
      <c r="G1036" s="2" t="inlineStr">
        <is>
          <t>system</t>
        </is>
      </c>
      <c r="H1036" s="2" t="inlineStr">
        <is>
          <t>01.01.01 : Mensalidade</t>
        </is>
      </c>
      <c r="I1036" s="3" t="n">
        <v>81.68000000000001</v>
      </c>
      <c r="J1036" s="2" t="n"/>
      <c r="K1036" s="2">
        <f>IF(H1036="02.09 : Outras Saídas", IF(OR(ISNUMBER(SEARCH("CHEQUE COMPE SICREDI", F1036)), ISNUMBER(SEARCH("aniversario", F1036)), ISNUMBER(SEARCH("churrasco", F1036)), ISNUMBER(SEARCH("bolo", F1036)), ISNUMBER(SEARCH("SUPERMERCADO", F1036))), "6.1 Despesas Administrativas (Pessoal)", IF(OR(ISNUMBER(SEARCH("DLKNET", F1036)), ISNUMBER(SEARCH("TESTE", F1036))), "6.1 Despesas Administrativas (Gerais)", IFERROR(VLOOKUP(H1036, De_Para!A:B, 2, FALSE), "NÃO MAPEADO"))), IFERROR(VLOOKUP(H1036, De_Para!A:B, 2, FALSE), "NÃO MAPEADO"))</f>
        <v/>
      </c>
    </row>
    <row r="1037">
      <c r="A1037" s="2" t="inlineStr">
        <is>
          <t>68650</t>
        </is>
      </c>
      <c r="B1037" s="2" t="inlineStr">
        <is>
          <t>Sicredi SNI</t>
        </is>
      </c>
      <c r="C1037" s="2" t="inlineStr">
        <is>
          <t>11/06/2026</t>
        </is>
      </c>
      <c r="D1037" s="2" t="inlineStr">
        <is>
          <t>11/06/2026</t>
        </is>
      </c>
      <c r="E1037" s="2" t="inlineStr">
        <is>
          <t>Dinheiro</t>
        </is>
      </c>
      <c r="F1037" s="2" t="inlineStr">
        <is>
          <t>Boleto "58244" do cliente "JOVANIO DANIEL DA SILVA"</t>
        </is>
      </c>
      <c r="G1037" s="2" t="inlineStr">
        <is>
          <t>system</t>
        </is>
      </c>
      <c r="H1037" s="2" t="inlineStr">
        <is>
          <t>02.03.02.01 : Cobrança Bancaria</t>
        </is>
      </c>
      <c r="I1037" s="2" t="n"/>
      <c r="J1037" s="3" t="n">
        <v>-1.08</v>
      </c>
      <c r="K1037" s="2">
        <f>IF(H1037="02.09 : Outras Saídas", IF(OR(ISNUMBER(SEARCH("CHEQUE COMPE SICREDI", F1037)), ISNUMBER(SEARCH("aniversario", F1037)), ISNUMBER(SEARCH("churrasco", F1037)), ISNUMBER(SEARCH("bolo", F1037)), ISNUMBER(SEARCH("SUPERMERCADO", F1037))), "6.1 Despesas Administrativas (Pessoal)", IF(OR(ISNUMBER(SEARCH("DLKNET", F1037)), ISNUMBER(SEARCH("TESTE", F1037))), "6.1 Despesas Administrativas (Gerais)", IFERROR(VLOOKUP(H1037, De_Para!A:B, 2, FALSE), "NÃO MAPEADO"))), IFERROR(VLOOKUP(H1037, De_Para!A:B, 2, FALSE), "NÃO MAPEADO"))</f>
        <v/>
      </c>
    </row>
    <row r="1038">
      <c r="A1038" s="2" t="inlineStr">
        <is>
          <t>68649</t>
        </is>
      </c>
      <c r="B1038" s="2" t="inlineStr">
        <is>
          <t>Sicredi SNI</t>
        </is>
      </c>
      <c r="C1038" s="2" t="inlineStr">
        <is>
          <t>11/06/2026</t>
        </is>
      </c>
      <c r="D1038" s="2" t="inlineStr">
        <is>
          <t>11/06/2026</t>
        </is>
      </c>
      <c r="E1038" s="2" t="inlineStr">
        <is>
          <t>Dinheiro</t>
        </is>
      </c>
      <c r="F1038" s="2" t="inlineStr">
        <is>
          <t>Boleto "58244" do cliente "JOVANIO DANIEL DA SILVA"</t>
        </is>
      </c>
      <c r="G1038" s="2" t="inlineStr">
        <is>
          <t>system</t>
        </is>
      </c>
      <c r="H1038" s="2" t="inlineStr">
        <is>
          <t>01.01.01 : Mensalidade</t>
        </is>
      </c>
      <c r="I1038" s="3" t="n">
        <v>107.34</v>
      </c>
      <c r="J1038" s="2" t="n"/>
      <c r="K1038" s="2">
        <f>IF(H1038="02.09 : Outras Saídas", IF(OR(ISNUMBER(SEARCH("CHEQUE COMPE SICREDI", F1038)), ISNUMBER(SEARCH("aniversario", F1038)), ISNUMBER(SEARCH("churrasco", F1038)), ISNUMBER(SEARCH("bolo", F1038)), ISNUMBER(SEARCH("SUPERMERCADO", F1038))), "6.1 Despesas Administrativas (Pessoal)", IF(OR(ISNUMBER(SEARCH("DLKNET", F1038)), ISNUMBER(SEARCH("TESTE", F1038))), "6.1 Despesas Administrativas (Gerais)", IFERROR(VLOOKUP(H1038, De_Para!A:B, 2, FALSE), "NÃO MAPEADO"))), IFERROR(VLOOKUP(H1038, De_Para!A:B, 2, FALSE), "NÃO MAPEADO"))</f>
        <v/>
      </c>
    </row>
    <row r="1039">
      <c r="A1039" s="2" t="inlineStr">
        <is>
          <t>68648</t>
        </is>
      </c>
      <c r="B1039" s="2" t="inlineStr">
        <is>
          <t>Sicoob</t>
        </is>
      </c>
      <c r="C1039" s="2" t="inlineStr">
        <is>
          <t>11/06/2026</t>
        </is>
      </c>
      <c r="D1039" s="2" t="inlineStr">
        <is>
          <t>11/06/2026</t>
        </is>
      </c>
      <c r="E1039" s="2" t="inlineStr">
        <is>
          <t>Dinheiro</t>
        </is>
      </c>
      <c r="F1039" s="2" t="inlineStr">
        <is>
          <t>Boleto "56734" do cliente "LUCIANO MOURA DOS SANTOS"</t>
        </is>
      </c>
      <c r="G1039" s="2" t="inlineStr">
        <is>
          <t>system</t>
        </is>
      </c>
      <c r="H1039" s="2" t="inlineStr">
        <is>
          <t>02.03.02.01 : Cobrança Bancaria</t>
        </is>
      </c>
      <c r="I1039" s="2" t="n"/>
      <c r="J1039" s="3" t="n">
        <v>-0.88</v>
      </c>
      <c r="K1039" s="2">
        <f>IF(H1039="02.09 : Outras Saídas", IF(OR(ISNUMBER(SEARCH("CHEQUE COMPE SICREDI", F1039)), ISNUMBER(SEARCH("aniversario", F1039)), ISNUMBER(SEARCH("churrasco", F1039)), ISNUMBER(SEARCH("bolo", F1039)), ISNUMBER(SEARCH("SUPERMERCADO", F1039))), "6.1 Despesas Administrativas (Pessoal)", IF(OR(ISNUMBER(SEARCH("DLKNET", F1039)), ISNUMBER(SEARCH("TESTE", F1039))), "6.1 Despesas Administrativas (Gerais)", IFERROR(VLOOKUP(H1039, De_Para!A:B, 2, FALSE), "NÃO MAPEADO"))), IFERROR(VLOOKUP(H1039, De_Para!A:B, 2, FALSE), "NÃO MAPEADO"))</f>
        <v/>
      </c>
    </row>
    <row r="1040">
      <c r="A1040" s="2" t="inlineStr">
        <is>
          <t>68647</t>
        </is>
      </c>
      <c r="B1040" s="2" t="inlineStr">
        <is>
          <t>Sicoob</t>
        </is>
      </c>
      <c r="C1040" s="2" t="inlineStr">
        <is>
          <t>11/06/2026</t>
        </is>
      </c>
      <c r="D1040" s="2" t="inlineStr">
        <is>
          <t>11/06/2026</t>
        </is>
      </c>
      <c r="E1040" s="2" t="inlineStr">
        <is>
          <t>Dinheiro</t>
        </is>
      </c>
      <c r="F1040" s="2" t="inlineStr">
        <is>
          <t>Boleto "56734" do cliente "LUCIANO MOURA DOS SANTOS"</t>
        </is>
      </c>
      <c r="G1040" s="2" t="inlineStr">
        <is>
          <t>system</t>
        </is>
      </c>
      <c r="H1040" s="2" t="inlineStr">
        <is>
          <t>01.03.01 : Mensalidade</t>
        </is>
      </c>
      <c r="I1040" s="3" t="n">
        <v>105</v>
      </c>
      <c r="J1040" s="2" t="n"/>
      <c r="K1040" s="2">
        <f>IF(H1040="02.09 : Outras Saídas", IF(OR(ISNUMBER(SEARCH("CHEQUE COMPE SICREDI", F1040)), ISNUMBER(SEARCH("aniversario", F1040)), ISNUMBER(SEARCH("churrasco", F1040)), ISNUMBER(SEARCH("bolo", F1040)), ISNUMBER(SEARCH("SUPERMERCADO", F1040))), "6.1 Despesas Administrativas (Pessoal)", IF(OR(ISNUMBER(SEARCH("DLKNET", F1040)), ISNUMBER(SEARCH("TESTE", F1040))), "6.1 Despesas Administrativas (Gerais)", IFERROR(VLOOKUP(H1040, De_Para!A:B, 2, FALSE), "NÃO MAPEADO"))), IFERROR(VLOOKUP(H1040, De_Para!A:B, 2, FALSE), "NÃO MAPEADO"))</f>
        <v/>
      </c>
    </row>
    <row r="1041">
      <c r="A1041" s="2" t="inlineStr">
        <is>
          <t>68646</t>
        </is>
      </c>
      <c r="B1041" s="2" t="inlineStr">
        <is>
          <t>Sicoob</t>
        </is>
      </c>
      <c r="C1041" s="2" t="inlineStr">
        <is>
          <t>11/06/2026</t>
        </is>
      </c>
      <c r="D1041" s="2" t="inlineStr">
        <is>
          <t>11/06/2026</t>
        </is>
      </c>
      <c r="E1041" s="2" t="inlineStr">
        <is>
          <t>Dinheiro</t>
        </is>
      </c>
      <c r="F1041" s="2" t="inlineStr">
        <is>
          <t>Boleto "56108" do cliente "APARECIDA DE JESUS SANTOS OLIVEIRA"</t>
        </is>
      </c>
      <c r="G1041" s="2" t="inlineStr">
        <is>
          <t>system</t>
        </is>
      </c>
      <c r="H1041" s="2" t="inlineStr">
        <is>
          <t>02.03.02.01 : Cobrança Bancaria</t>
        </is>
      </c>
      <c r="I1041" s="2" t="n"/>
      <c r="J1041" s="3" t="n">
        <v>-0.88</v>
      </c>
      <c r="K1041" s="2">
        <f>IF(H1041="02.09 : Outras Saídas", IF(OR(ISNUMBER(SEARCH("CHEQUE COMPE SICREDI", F1041)), ISNUMBER(SEARCH("aniversario", F1041)), ISNUMBER(SEARCH("churrasco", F1041)), ISNUMBER(SEARCH("bolo", F1041)), ISNUMBER(SEARCH("SUPERMERCADO", F1041))), "6.1 Despesas Administrativas (Pessoal)", IF(OR(ISNUMBER(SEARCH("DLKNET", F1041)), ISNUMBER(SEARCH("TESTE", F1041))), "6.1 Despesas Administrativas (Gerais)", IFERROR(VLOOKUP(H1041, De_Para!A:B, 2, FALSE), "NÃO MAPEADO"))), IFERROR(VLOOKUP(H1041, De_Para!A:B, 2, FALSE), "NÃO MAPEADO"))</f>
        <v/>
      </c>
    </row>
    <row r="1042">
      <c r="A1042" s="2" t="inlineStr">
        <is>
          <t>68645</t>
        </is>
      </c>
      <c r="B1042" s="2" t="inlineStr">
        <is>
          <t>Sicoob</t>
        </is>
      </c>
      <c r="C1042" s="2" t="inlineStr">
        <is>
          <t>11/06/2026</t>
        </is>
      </c>
      <c r="D1042" s="2" t="inlineStr">
        <is>
          <t>11/06/2026</t>
        </is>
      </c>
      <c r="E1042" s="2" t="inlineStr">
        <is>
          <t>Dinheiro</t>
        </is>
      </c>
      <c r="F1042" s="2" t="inlineStr">
        <is>
          <t>Boleto "56108" do cliente "APARECIDA DE JESUS SANTOS OLIVEIRA"</t>
        </is>
      </c>
      <c r="G1042" s="2" t="inlineStr">
        <is>
          <t>system</t>
        </is>
      </c>
      <c r="H1042" s="2" t="inlineStr">
        <is>
          <t>01.01.01 : Mensalidade</t>
        </is>
      </c>
      <c r="I1042" s="3" t="n">
        <v>107.13</v>
      </c>
      <c r="J1042" s="2" t="n"/>
      <c r="K1042" s="2">
        <f>IF(H1042="02.09 : Outras Saídas", IF(OR(ISNUMBER(SEARCH("CHEQUE COMPE SICREDI", F1042)), ISNUMBER(SEARCH("aniversario", F1042)), ISNUMBER(SEARCH("churrasco", F1042)), ISNUMBER(SEARCH("bolo", F1042)), ISNUMBER(SEARCH("SUPERMERCADO", F1042))), "6.1 Despesas Administrativas (Pessoal)", IF(OR(ISNUMBER(SEARCH("DLKNET", F1042)), ISNUMBER(SEARCH("TESTE", F1042))), "6.1 Despesas Administrativas (Gerais)", IFERROR(VLOOKUP(H1042, De_Para!A:B, 2, FALSE), "NÃO MAPEADO"))), IFERROR(VLOOKUP(H1042, De_Para!A:B, 2, FALSE), "NÃO MAPEADO"))</f>
        <v/>
      </c>
    </row>
    <row r="1043">
      <c r="A1043" s="2" t="inlineStr">
        <is>
          <t>68644</t>
        </is>
      </c>
      <c r="B1043" s="2" t="inlineStr">
        <is>
          <t>Sicoob</t>
        </is>
      </c>
      <c r="C1043" s="2" t="inlineStr">
        <is>
          <t>11/06/2026</t>
        </is>
      </c>
      <c r="D1043" s="2" t="inlineStr">
        <is>
          <t>11/06/2026</t>
        </is>
      </c>
      <c r="E1043" s="2" t="inlineStr">
        <is>
          <t>Dinheiro</t>
        </is>
      </c>
      <c r="F1043" s="2" t="inlineStr">
        <is>
          <t>Boleto "54106" do cliente "RENATA INOCENCIA VIDAL"</t>
        </is>
      </c>
      <c r="G1043" s="2" t="inlineStr">
        <is>
          <t>system</t>
        </is>
      </c>
      <c r="H1043" s="2" t="inlineStr">
        <is>
          <t>02.03.02.01 : Cobrança Bancaria</t>
        </is>
      </c>
      <c r="I1043" s="2" t="n"/>
      <c r="J1043" s="3" t="n">
        <v>-0.88</v>
      </c>
      <c r="K1043" s="2">
        <f>IF(H1043="02.09 : Outras Saídas", IF(OR(ISNUMBER(SEARCH("CHEQUE COMPE SICREDI", F1043)), ISNUMBER(SEARCH("aniversario", F1043)), ISNUMBER(SEARCH("churrasco", F1043)), ISNUMBER(SEARCH("bolo", F1043)), ISNUMBER(SEARCH("SUPERMERCADO", F1043))), "6.1 Despesas Administrativas (Pessoal)", IF(OR(ISNUMBER(SEARCH("DLKNET", F1043)), ISNUMBER(SEARCH("TESTE", F1043))), "6.1 Despesas Administrativas (Gerais)", IFERROR(VLOOKUP(H1043, De_Para!A:B, 2, FALSE), "NÃO MAPEADO"))), IFERROR(VLOOKUP(H1043, De_Para!A:B, 2, FALSE), "NÃO MAPEADO"))</f>
        <v/>
      </c>
    </row>
    <row r="1044">
      <c r="A1044" s="2" t="inlineStr">
        <is>
          <t>68643</t>
        </is>
      </c>
      <c r="B1044" s="2" t="inlineStr">
        <is>
          <t>Sicoob</t>
        </is>
      </c>
      <c r="C1044" s="2" t="inlineStr">
        <is>
          <t>11/06/2026</t>
        </is>
      </c>
      <c r="D1044" s="2" t="inlineStr">
        <is>
          <t>11/06/2026</t>
        </is>
      </c>
      <c r="E1044" s="2" t="inlineStr">
        <is>
          <t>Dinheiro</t>
        </is>
      </c>
      <c r="F1044" s="2" t="inlineStr">
        <is>
          <t>Boleto "54106" do cliente "RENATA INOCENCIA VIDAL"</t>
        </is>
      </c>
      <c r="G1044" s="2" t="inlineStr">
        <is>
          <t>system</t>
        </is>
      </c>
      <c r="H1044" s="2" t="inlineStr">
        <is>
          <t>01.01.01 : Mensalidade</t>
        </is>
      </c>
      <c r="I1044" s="3" t="n">
        <v>105</v>
      </c>
      <c r="J1044" s="2" t="n"/>
      <c r="K1044" s="2">
        <f>IF(H1044="02.09 : Outras Saídas", IF(OR(ISNUMBER(SEARCH("CHEQUE COMPE SICREDI", F1044)), ISNUMBER(SEARCH("aniversario", F1044)), ISNUMBER(SEARCH("churrasco", F1044)), ISNUMBER(SEARCH("bolo", F1044)), ISNUMBER(SEARCH("SUPERMERCADO", F1044))), "6.1 Despesas Administrativas (Pessoal)", IF(OR(ISNUMBER(SEARCH("DLKNET", F1044)), ISNUMBER(SEARCH("TESTE", F1044))), "6.1 Despesas Administrativas (Gerais)", IFERROR(VLOOKUP(H1044, De_Para!A:B, 2, FALSE), "NÃO MAPEADO"))), IFERROR(VLOOKUP(H1044, De_Para!A:B, 2, FALSE), "NÃO MAPEADO"))</f>
        <v/>
      </c>
    </row>
    <row r="1045">
      <c r="A1045" s="2" t="inlineStr">
        <is>
          <t>68642</t>
        </is>
      </c>
      <c r="B1045" s="2" t="inlineStr">
        <is>
          <t>Sicoob</t>
        </is>
      </c>
      <c r="C1045" s="2" t="inlineStr">
        <is>
          <t>11/06/2026</t>
        </is>
      </c>
      <c r="D1045" s="2" t="inlineStr">
        <is>
          <t>11/06/2026</t>
        </is>
      </c>
      <c r="E1045" s="2" t="inlineStr">
        <is>
          <t>Dinheiro</t>
        </is>
      </c>
      <c r="F1045" s="2" t="inlineStr">
        <is>
          <t>Boleto "66940" do cliente "JUAREZ APARECIDO BENTO"</t>
        </is>
      </c>
      <c r="G1045" s="2" t="inlineStr">
        <is>
          <t>system</t>
        </is>
      </c>
      <c r="H1045" s="2" t="inlineStr">
        <is>
          <t>02.03.02.01 : Cobrança Bancaria</t>
        </is>
      </c>
      <c r="I1045" s="2" t="n"/>
      <c r="J1045" s="3" t="n">
        <v>-0.88</v>
      </c>
      <c r="K1045" s="2">
        <f>IF(H1045="02.09 : Outras Saídas", IF(OR(ISNUMBER(SEARCH("CHEQUE COMPE SICREDI", F1045)), ISNUMBER(SEARCH("aniversario", F1045)), ISNUMBER(SEARCH("churrasco", F1045)), ISNUMBER(SEARCH("bolo", F1045)), ISNUMBER(SEARCH("SUPERMERCADO", F1045))), "6.1 Despesas Administrativas (Pessoal)", IF(OR(ISNUMBER(SEARCH("DLKNET", F1045)), ISNUMBER(SEARCH("TESTE", F1045))), "6.1 Despesas Administrativas (Gerais)", IFERROR(VLOOKUP(H1045, De_Para!A:B, 2, FALSE), "NÃO MAPEADO"))), IFERROR(VLOOKUP(H1045, De_Para!A:B, 2, FALSE), "NÃO MAPEADO"))</f>
        <v/>
      </c>
    </row>
    <row r="1046">
      <c r="A1046" s="2" t="inlineStr">
        <is>
          <t>68641</t>
        </is>
      </c>
      <c r="B1046" s="2" t="inlineStr">
        <is>
          <t>Sicoob</t>
        </is>
      </c>
      <c r="C1046" s="2" t="inlineStr">
        <is>
          <t>11/06/2026</t>
        </is>
      </c>
      <c r="D1046" s="2" t="inlineStr">
        <is>
          <t>11/06/2026</t>
        </is>
      </c>
      <c r="E1046" s="2" t="inlineStr">
        <is>
          <t>Dinheiro</t>
        </is>
      </c>
      <c r="F1046" s="2" t="inlineStr">
        <is>
          <t>Boleto "66940" do cliente "JUAREZ APARECIDO BENTO"</t>
        </is>
      </c>
      <c r="G1046" s="2" t="inlineStr">
        <is>
          <t>system</t>
        </is>
      </c>
      <c r="H1046" s="2" t="inlineStr">
        <is>
          <t>01.01.01 : Mensalidade</t>
        </is>
      </c>
      <c r="I1046" s="3" t="n">
        <v>80</v>
      </c>
      <c r="J1046" s="2" t="n"/>
      <c r="K1046" s="2">
        <f>IF(H1046="02.09 : Outras Saídas", IF(OR(ISNUMBER(SEARCH("CHEQUE COMPE SICREDI", F1046)), ISNUMBER(SEARCH("aniversario", F1046)), ISNUMBER(SEARCH("churrasco", F1046)), ISNUMBER(SEARCH("bolo", F1046)), ISNUMBER(SEARCH("SUPERMERCADO", F1046))), "6.1 Despesas Administrativas (Pessoal)", IF(OR(ISNUMBER(SEARCH("DLKNET", F1046)), ISNUMBER(SEARCH("TESTE", F1046))), "6.1 Despesas Administrativas (Gerais)", IFERROR(VLOOKUP(H1046, De_Para!A:B, 2, FALSE), "NÃO MAPEADO"))), IFERROR(VLOOKUP(H1046, De_Para!A:B, 2, FALSE), "NÃO MAPEADO"))</f>
        <v/>
      </c>
    </row>
    <row r="1047">
      <c r="A1047" s="2" t="inlineStr">
        <is>
          <t>68640</t>
        </is>
      </c>
      <c r="B1047" s="2" t="inlineStr">
        <is>
          <t>Sicoob</t>
        </is>
      </c>
      <c r="C1047" s="2" t="inlineStr">
        <is>
          <t>11/06/2026</t>
        </is>
      </c>
      <c r="D1047" s="2" t="inlineStr">
        <is>
          <t>11/06/2026</t>
        </is>
      </c>
      <c r="E1047" s="2" t="inlineStr">
        <is>
          <t>Dinheiro</t>
        </is>
      </c>
      <c r="F1047" s="2" t="inlineStr">
        <is>
          <t>Boleto "59947" do cliente "RAFAEL DA COSTA SILVINO"</t>
        </is>
      </c>
      <c r="G1047" s="2" t="inlineStr">
        <is>
          <t>system</t>
        </is>
      </c>
      <c r="H1047" s="2" t="inlineStr">
        <is>
          <t>02.03.02.01 : Cobrança Bancaria</t>
        </is>
      </c>
      <c r="I1047" s="2" t="n"/>
      <c r="J1047" s="3" t="n">
        <v>-0.88</v>
      </c>
      <c r="K1047" s="2">
        <f>IF(H1047="02.09 : Outras Saídas", IF(OR(ISNUMBER(SEARCH("CHEQUE COMPE SICREDI", F1047)), ISNUMBER(SEARCH("aniversario", F1047)), ISNUMBER(SEARCH("churrasco", F1047)), ISNUMBER(SEARCH("bolo", F1047)), ISNUMBER(SEARCH("SUPERMERCADO", F1047))), "6.1 Despesas Administrativas (Pessoal)", IF(OR(ISNUMBER(SEARCH("DLKNET", F1047)), ISNUMBER(SEARCH("TESTE", F1047))), "6.1 Despesas Administrativas (Gerais)", IFERROR(VLOOKUP(H1047, De_Para!A:B, 2, FALSE), "NÃO MAPEADO"))), IFERROR(VLOOKUP(H1047, De_Para!A:B, 2, FALSE), "NÃO MAPEADO"))</f>
        <v/>
      </c>
    </row>
    <row r="1048">
      <c r="A1048" s="2" t="inlineStr">
        <is>
          <t>68639</t>
        </is>
      </c>
      <c r="B1048" s="2" t="inlineStr">
        <is>
          <t>Sicoob</t>
        </is>
      </c>
      <c r="C1048" s="2" t="inlineStr">
        <is>
          <t>11/06/2026</t>
        </is>
      </c>
      <c r="D1048" s="2" t="inlineStr">
        <is>
          <t>11/06/2026</t>
        </is>
      </c>
      <c r="E1048" s="2" t="inlineStr">
        <is>
          <t>Dinheiro</t>
        </is>
      </c>
      <c r="F1048" s="2" t="inlineStr">
        <is>
          <t>Boleto "59947" do cliente "RAFAEL DA COSTA SILVINO"</t>
        </is>
      </c>
      <c r="G1048" s="2" t="inlineStr">
        <is>
          <t>system</t>
        </is>
      </c>
      <c r="H1048" s="2" t="inlineStr">
        <is>
          <t>01.01.01 : Mensalidade</t>
        </is>
      </c>
      <c r="I1048" s="3" t="n">
        <v>107.44</v>
      </c>
      <c r="J1048" s="2" t="n"/>
      <c r="K1048" s="2">
        <f>IF(H1048="02.09 : Outras Saídas", IF(OR(ISNUMBER(SEARCH("CHEQUE COMPE SICREDI", F1048)), ISNUMBER(SEARCH("aniversario", F1048)), ISNUMBER(SEARCH("churrasco", F1048)), ISNUMBER(SEARCH("bolo", F1048)), ISNUMBER(SEARCH("SUPERMERCADO", F1048))), "6.1 Despesas Administrativas (Pessoal)", IF(OR(ISNUMBER(SEARCH("DLKNET", F1048)), ISNUMBER(SEARCH("TESTE", F1048))), "6.1 Despesas Administrativas (Gerais)", IFERROR(VLOOKUP(H1048, De_Para!A:B, 2, FALSE), "NÃO MAPEADO"))), IFERROR(VLOOKUP(H1048, De_Para!A:B, 2, FALSE), "NÃO MAPEADO"))</f>
        <v/>
      </c>
    </row>
    <row r="1049">
      <c r="A1049" s="2" t="inlineStr">
        <is>
          <t>68638</t>
        </is>
      </c>
      <c r="B1049" s="2" t="inlineStr">
        <is>
          <t>Sicredi SNI</t>
        </is>
      </c>
      <c r="C1049" s="2" t="inlineStr">
        <is>
          <t>11/06/2026</t>
        </is>
      </c>
      <c r="D1049" s="2" t="inlineStr">
        <is>
          <t>11/06/2026</t>
        </is>
      </c>
      <c r="E1049" s="2" t="inlineStr">
        <is>
          <t>PIX</t>
        </is>
      </c>
      <c r="F1049" s="2" t="inlineStr">
        <is>
          <t>Boleto "58123" do cliente "MARIA LUCIA SIQUEIRA DE SOUZA"</t>
        </is>
      </c>
      <c r="G1049" s="2" t="inlineStr">
        <is>
          <t>system</t>
        </is>
      </c>
      <c r="H1049" s="2" t="inlineStr">
        <is>
          <t>02.03.02.01 : Cobrança Bancaria</t>
        </is>
      </c>
      <c r="I1049" s="2" t="n"/>
      <c r="J1049" s="3" t="n">
        <v>-0.49</v>
      </c>
      <c r="K1049" s="2">
        <f>IF(H1049="02.09 : Outras Saídas", IF(OR(ISNUMBER(SEARCH("CHEQUE COMPE SICREDI", F1049)), ISNUMBER(SEARCH("aniversario", F1049)), ISNUMBER(SEARCH("churrasco", F1049)), ISNUMBER(SEARCH("bolo", F1049)), ISNUMBER(SEARCH("SUPERMERCADO", F1049))), "6.1 Despesas Administrativas (Pessoal)", IF(OR(ISNUMBER(SEARCH("DLKNET", F1049)), ISNUMBER(SEARCH("TESTE", F1049))), "6.1 Despesas Administrativas (Gerais)", IFERROR(VLOOKUP(H1049, De_Para!A:B, 2, FALSE), "NÃO MAPEADO"))), IFERROR(VLOOKUP(H1049, De_Para!A:B, 2, FALSE), "NÃO MAPEADO"))</f>
        <v/>
      </c>
    </row>
    <row r="1050">
      <c r="A1050" s="2" t="inlineStr">
        <is>
          <t>68637</t>
        </is>
      </c>
      <c r="B1050" s="2" t="inlineStr">
        <is>
          <t>Sicredi SNI</t>
        </is>
      </c>
      <c r="C1050" s="2" t="inlineStr">
        <is>
          <t>11/06/2026</t>
        </is>
      </c>
      <c r="D1050" s="2" t="inlineStr">
        <is>
          <t>11/06/2026</t>
        </is>
      </c>
      <c r="E1050" s="2" t="inlineStr">
        <is>
          <t>PIX</t>
        </is>
      </c>
      <c r="F1050" s="2" t="inlineStr">
        <is>
          <t>Boleto "58123" do cliente "MARIA LUCIA SIQUEIRA DE SOUZA"</t>
        </is>
      </c>
      <c r="G1050" s="2" t="inlineStr">
        <is>
          <t>system</t>
        </is>
      </c>
      <c r="H1050" s="2" t="inlineStr">
        <is>
          <t>01.01.01 : Mensalidade</t>
        </is>
      </c>
      <c r="I1050" s="3" t="n">
        <v>107.14</v>
      </c>
      <c r="J1050" s="2" t="n"/>
      <c r="K1050" s="2">
        <f>IF(H1050="02.09 : Outras Saídas", IF(OR(ISNUMBER(SEARCH("CHEQUE COMPE SICREDI", F1050)), ISNUMBER(SEARCH("aniversario", F1050)), ISNUMBER(SEARCH("churrasco", F1050)), ISNUMBER(SEARCH("bolo", F1050)), ISNUMBER(SEARCH("SUPERMERCADO", F1050))), "6.1 Despesas Administrativas (Pessoal)", IF(OR(ISNUMBER(SEARCH("DLKNET", F1050)), ISNUMBER(SEARCH("TESTE", F1050))), "6.1 Despesas Administrativas (Gerais)", IFERROR(VLOOKUP(H1050, De_Para!A:B, 2, FALSE), "NÃO MAPEADO"))), IFERROR(VLOOKUP(H1050, De_Para!A:B, 2, FALSE), "NÃO MAPEADO"))</f>
        <v/>
      </c>
    </row>
    <row r="1051">
      <c r="A1051" s="2" t="inlineStr">
        <is>
          <t>68636</t>
        </is>
      </c>
      <c r="B1051" s="2" t="inlineStr">
        <is>
          <t>Sicredi SNI</t>
        </is>
      </c>
      <c r="C1051" s="2" t="inlineStr">
        <is>
          <t>11/06/2026</t>
        </is>
      </c>
      <c r="D1051" s="2" t="inlineStr">
        <is>
          <t>11/06/2026</t>
        </is>
      </c>
      <c r="E1051" s="2" t="inlineStr">
        <is>
          <t>PIX</t>
        </is>
      </c>
      <c r="F1051" s="2" t="inlineStr">
        <is>
          <t>Boleto "56636" do cliente "FRANCIELE VERONICA DE LIMA"</t>
        </is>
      </c>
      <c r="G1051" s="2" t="inlineStr">
        <is>
          <t>system</t>
        </is>
      </c>
      <c r="H1051" s="2" t="inlineStr">
        <is>
          <t>02.03.02.01 : Cobrança Bancaria</t>
        </is>
      </c>
      <c r="I1051" s="2" t="n"/>
      <c r="J1051" s="3" t="n">
        <v>-0.49</v>
      </c>
      <c r="K1051" s="2">
        <f>IF(H1051="02.09 : Outras Saídas", IF(OR(ISNUMBER(SEARCH("CHEQUE COMPE SICREDI", F1051)), ISNUMBER(SEARCH("aniversario", F1051)), ISNUMBER(SEARCH("churrasco", F1051)), ISNUMBER(SEARCH("bolo", F1051)), ISNUMBER(SEARCH("SUPERMERCADO", F1051))), "6.1 Despesas Administrativas (Pessoal)", IF(OR(ISNUMBER(SEARCH("DLKNET", F1051)), ISNUMBER(SEARCH("TESTE", F1051))), "6.1 Despesas Administrativas (Gerais)", IFERROR(VLOOKUP(H1051, De_Para!A:B, 2, FALSE), "NÃO MAPEADO"))), IFERROR(VLOOKUP(H1051, De_Para!A:B, 2, FALSE), "NÃO MAPEADO"))</f>
        <v/>
      </c>
    </row>
    <row r="1052">
      <c r="A1052" s="2" t="inlineStr">
        <is>
          <t>68635</t>
        </is>
      </c>
      <c r="B1052" s="2" t="inlineStr">
        <is>
          <t>Sicredi SNI</t>
        </is>
      </c>
      <c r="C1052" s="2" t="inlineStr">
        <is>
          <t>11/06/2026</t>
        </is>
      </c>
      <c r="D1052" s="2" t="inlineStr">
        <is>
          <t>11/06/2026</t>
        </is>
      </c>
      <c r="E1052" s="2" t="inlineStr">
        <is>
          <t>PIX</t>
        </is>
      </c>
      <c r="F1052" s="2" t="inlineStr">
        <is>
          <t>Boleto "56636" do cliente "FRANCIELE VERONICA DE LIMA"</t>
        </is>
      </c>
      <c r="G1052" s="2" t="inlineStr">
        <is>
          <t>system</t>
        </is>
      </c>
      <c r="H1052" s="2" t="inlineStr">
        <is>
          <t>01.01.01 : Mensalidade</t>
        </is>
      </c>
      <c r="I1052" s="3" t="n">
        <v>107.14</v>
      </c>
      <c r="J1052" s="2" t="n"/>
      <c r="K1052" s="2">
        <f>IF(H1052="02.09 : Outras Saídas", IF(OR(ISNUMBER(SEARCH("CHEQUE COMPE SICREDI", F1052)), ISNUMBER(SEARCH("aniversario", F1052)), ISNUMBER(SEARCH("churrasco", F1052)), ISNUMBER(SEARCH("bolo", F1052)), ISNUMBER(SEARCH("SUPERMERCADO", F1052))), "6.1 Despesas Administrativas (Pessoal)", IF(OR(ISNUMBER(SEARCH("DLKNET", F1052)), ISNUMBER(SEARCH("TESTE", F1052))), "6.1 Despesas Administrativas (Gerais)", IFERROR(VLOOKUP(H1052, De_Para!A:B, 2, FALSE), "NÃO MAPEADO"))), IFERROR(VLOOKUP(H1052, De_Para!A:B, 2, FALSE), "NÃO MAPEADO"))</f>
        <v/>
      </c>
    </row>
    <row r="1053">
      <c r="A1053" s="2" t="inlineStr">
        <is>
          <t>68634</t>
        </is>
      </c>
      <c r="B1053" s="2" t="inlineStr">
        <is>
          <t>Sicredi SNI</t>
        </is>
      </c>
      <c r="C1053" s="2" t="inlineStr">
        <is>
          <t>11/06/2026</t>
        </is>
      </c>
      <c r="D1053" s="2" t="inlineStr">
        <is>
          <t>11/06/2026</t>
        </is>
      </c>
      <c r="E1053" s="2" t="inlineStr">
        <is>
          <t>PIX</t>
        </is>
      </c>
      <c r="F1053" s="2" t="inlineStr">
        <is>
          <t>Boleto "60185" do cliente "IVANIZE APARECIDA RIBEIRO TANGERIN"</t>
        </is>
      </c>
      <c r="G1053" s="2" t="inlineStr">
        <is>
          <t>system</t>
        </is>
      </c>
      <c r="H1053" s="2" t="inlineStr">
        <is>
          <t>02.03.02.01 : Cobrança Bancaria</t>
        </is>
      </c>
      <c r="I1053" s="2" t="n"/>
      <c r="J1053" s="3" t="n">
        <v>-0.49</v>
      </c>
      <c r="K1053" s="2">
        <f>IF(H1053="02.09 : Outras Saídas", IF(OR(ISNUMBER(SEARCH("CHEQUE COMPE SICREDI", F1053)), ISNUMBER(SEARCH("aniversario", F1053)), ISNUMBER(SEARCH("churrasco", F1053)), ISNUMBER(SEARCH("bolo", F1053)), ISNUMBER(SEARCH("SUPERMERCADO", F1053))), "6.1 Despesas Administrativas (Pessoal)", IF(OR(ISNUMBER(SEARCH("DLKNET", F1053)), ISNUMBER(SEARCH("TESTE", F1053))), "6.1 Despesas Administrativas (Gerais)", IFERROR(VLOOKUP(H1053, De_Para!A:B, 2, FALSE), "NÃO MAPEADO"))), IFERROR(VLOOKUP(H1053, De_Para!A:B, 2, FALSE), "NÃO MAPEADO"))</f>
        <v/>
      </c>
    </row>
    <row r="1054">
      <c r="A1054" s="2" t="inlineStr">
        <is>
          <t>68633</t>
        </is>
      </c>
      <c r="B1054" s="2" t="inlineStr">
        <is>
          <t>Sicredi SNI</t>
        </is>
      </c>
      <c r="C1054" s="2" t="inlineStr">
        <is>
          <t>11/06/2026</t>
        </is>
      </c>
      <c r="D1054" s="2" t="inlineStr">
        <is>
          <t>11/06/2026</t>
        </is>
      </c>
      <c r="E1054" s="2" t="inlineStr">
        <is>
          <t>PIX</t>
        </is>
      </c>
      <c r="F1054" s="2" t="inlineStr">
        <is>
          <t>Boleto "60185" do cliente "IVANIZE APARECIDA RIBEIRO TANGERIN"</t>
        </is>
      </c>
      <c r="G1054" s="2" t="inlineStr">
        <is>
          <t>system</t>
        </is>
      </c>
      <c r="H1054" s="2" t="inlineStr">
        <is>
          <t>01.03.01 : Mensalidade</t>
        </is>
      </c>
      <c r="I1054" s="3" t="n">
        <v>105</v>
      </c>
      <c r="J1054" s="2" t="n"/>
      <c r="K1054" s="2">
        <f>IF(H1054="02.09 : Outras Saídas", IF(OR(ISNUMBER(SEARCH("CHEQUE COMPE SICREDI", F1054)), ISNUMBER(SEARCH("aniversario", F1054)), ISNUMBER(SEARCH("churrasco", F1054)), ISNUMBER(SEARCH("bolo", F1054)), ISNUMBER(SEARCH("SUPERMERCADO", F1054))), "6.1 Despesas Administrativas (Pessoal)", IF(OR(ISNUMBER(SEARCH("DLKNET", F1054)), ISNUMBER(SEARCH("TESTE", F1054))), "6.1 Despesas Administrativas (Gerais)", IFERROR(VLOOKUP(H1054, De_Para!A:B, 2, FALSE), "NÃO MAPEADO"))), IFERROR(VLOOKUP(H1054, De_Para!A:B, 2, FALSE), "NÃO MAPEADO"))</f>
        <v/>
      </c>
    </row>
    <row r="1055">
      <c r="A1055" s="2" t="inlineStr">
        <is>
          <t>68632</t>
        </is>
      </c>
      <c r="B1055" s="2" t="inlineStr">
        <is>
          <t>Sicredi SNI</t>
        </is>
      </c>
      <c r="C1055" s="2" t="inlineStr">
        <is>
          <t>11/06/2026</t>
        </is>
      </c>
      <c r="D1055" s="2" t="inlineStr">
        <is>
          <t>11/06/2026</t>
        </is>
      </c>
      <c r="E1055" s="2" t="inlineStr">
        <is>
          <t>Dinheiro</t>
        </is>
      </c>
      <c r="F1055" s="2" t="inlineStr">
        <is>
          <t>Boleto "64972" do cliente "PAULO HENRIQUE DOS SANTOS"</t>
        </is>
      </c>
      <c r="G1055" s="2" t="inlineStr">
        <is>
          <t>system</t>
        </is>
      </c>
      <c r="H1055" s="2" t="inlineStr">
        <is>
          <t>02.03.02.01 : Cobrança Bancaria</t>
        </is>
      </c>
      <c r="I1055" s="2" t="n"/>
      <c r="J1055" s="3" t="n">
        <v>-1.08</v>
      </c>
      <c r="K1055" s="2">
        <f>IF(H1055="02.09 : Outras Saídas", IF(OR(ISNUMBER(SEARCH("CHEQUE COMPE SICREDI", F1055)), ISNUMBER(SEARCH("aniversario", F1055)), ISNUMBER(SEARCH("churrasco", F1055)), ISNUMBER(SEARCH("bolo", F1055)), ISNUMBER(SEARCH("SUPERMERCADO", F1055))), "6.1 Despesas Administrativas (Pessoal)", IF(OR(ISNUMBER(SEARCH("DLKNET", F1055)), ISNUMBER(SEARCH("TESTE", F1055))), "6.1 Despesas Administrativas (Gerais)", IFERROR(VLOOKUP(H1055, De_Para!A:B, 2, FALSE), "NÃO MAPEADO"))), IFERROR(VLOOKUP(H1055, De_Para!A:B, 2, FALSE), "NÃO MAPEADO"))</f>
        <v/>
      </c>
    </row>
    <row r="1056">
      <c r="A1056" s="2" t="inlineStr">
        <is>
          <t>68631</t>
        </is>
      </c>
      <c r="B1056" s="2" t="inlineStr">
        <is>
          <t>Sicredi SNI</t>
        </is>
      </c>
      <c r="C1056" s="2" t="inlineStr">
        <is>
          <t>11/06/2026</t>
        </is>
      </c>
      <c r="D1056" s="2" t="inlineStr">
        <is>
          <t>11/06/2026</t>
        </is>
      </c>
      <c r="E1056" s="2" t="inlineStr">
        <is>
          <t>Dinheiro</t>
        </is>
      </c>
      <c r="F1056" s="2" t="inlineStr">
        <is>
          <t>Boleto "64972" do cliente "PAULO HENRIQUE DOS SANTOS"</t>
        </is>
      </c>
      <c r="G1056" s="2" t="inlineStr">
        <is>
          <t>system</t>
        </is>
      </c>
      <c r="H1056" s="2" t="inlineStr">
        <is>
          <t>01.01.01 : Mensalidade</t>
        </is>
      </c>
      <c r="I1056" s="3" t="n">
        <v>112.28</v>
      </c>
      <c r="J1056" s="2" t="n"/>
      <c r="K1056" s="2">
        <f>IF(H1056="02.09 : Outras Saídas", IF(OR(ISNUMBER(SEARCH("CHEQUE COMPE SICREDI", F1056)), ISNUMBER(SEARCH("aniversario", F1056)), ISNUMBER(SEARCH("churrasco", F1056)), ISNUMBER(SEARCH("bolo", F1056)), ISNUMBER(SEARCH("SUPERMERCADO", F1056))), "6.1 Despesas Administrativas (Pessoal)", IF(OR(ISNUMBER(SEARCH("DLKNET", F1056)), ISNUMBER(SEARCH("TESTE", F1056))), "6.1 Despesas Administrativas (Gerais)", IFERROR(VLOOKUP(H1056, De_Para!A:B, 2, FALSE), "NÃO MAPEADO"))), IFERROR(VLOOKUP(H1056, De_Para!A:B, 2, FALSE), "NÃO MAPEADO"))</f>
        <v/>
      </c>
    </row>
    <row r="1057">
      <c r="A1057" s="2" t="inlineStr">
        <is>
          <t>68630</t>
        </is>
      </c>
      <c r="B1057" s="2" t="inlineStr">
        <is>
          <t>Sicredi SNI</t>
        </is>
      </c>
      <c r="C1057" s="2" t="inlineStr">
        <is>
          <t>11/06/2026</t>
        </is>
      </c>
      <c r="D1057" s="2" t="inlineStr">
        <is>
          <t>11/06/2026</t>
        </is>
      </c>
      <c r="E1057" s="2" t="inlineStr">
        <is>
          <t>Dinheiro</t>
        </is>
      </c>
      <c r="F1057" s="2" t="inlineStr">
        <is>
          <t>Boleto "62274" do cliente "MOINZES DO CARMO"</t>
        </is>
      </c>
      <c r="G1057" s="2" t="inlineStr">
        <is>
          <t>system</t>
        </is>
      </c>
      <c r="H1057" s="2" t="inlineStr">
        <is>
          <t>02.03.02.01 : Cobrança Bancaria</t>
        </is>
      </c>
      <c r="I1057" s="2" t="n"/>
      <c r="J1057" s="3" t="n">
        <v>-1.08</v>
      </c>
      <c r="K1057" s="2">
        <f>IF(H1057="02.09 : Outras Saídas", IF(OR(ISNUMBER(SEARCH("CHEQUE COMPE SICREDI", F1057)), ISNUMBER(SEARCH("aniversario", F1057)), ISNUMBER(SEARCH("churrasco", F1057)), ISNUMBER(SEARCH("bolo", F1057)), ISNUMBER(SEARCH("SUPERMERCADO", F1057))), "6.1 Despesas Administrativas (Pessoal)", IF(OR(ISNUMBER(SEARCH("DLKNET", F1057)), ISNUMBER(SEARCH("TESTE", F1057))), "6.1 Despesas Administrativas (Gerais)", IFERROR(VLOOKUP(H1057, De_Para!A:B, 2, FALSE), "NÃO MAPEADO"))), IFERROR(VLOOKUP(H1057, De_Para!A:B, 2, FALSE), "NÃO MAPEADO"))</f>
        <v/>
      </c>
    </row>
    <row r="1058">
      <c r="A1058" s="2" t="inlineStr">
        <is>
          <t>68629</t>
        </is>
      </c>
      <c r="B1058" s="2" t="inlineStr">
        <is>
          <t>Sicredi SNI</t>
        </is>
      </c>
      <c r="C1058" s="2" t="inlineStr">
        <is>
          <t>11/06/2026</t>
        </is>
      </c>
      <c r="D1058" s="2" t="inlineStr">
        <is>
          <t>11/06/2026</t>
        </is>
      </c>
      <c r="E1058" s="2" t="inlineStr">
        <is>
          <t>Dinheiro</t>
        </is>
      </c>
      <c r="F1058" s="2" t="inlineStr">
        <is>
          <t>Boleto "62274" do cliente "MOINZES DO CARMO"</t>
        </is>
      </c>
      <c r="G1058" s="2" t="inlineStr">
        <is>
          <t>system</t>
        </is>
      </c>
      <c r="H1058" s="2" t="inlineStr">
        <is>
          <t>01.01.01 : Mensalidade</t>
        </is>
      </c>
      <c r="I1058" s="3" t="n">
        <v>112.23</v>
      </c>
      <c r="J1058" s="2" t="n"/>
      <c r="K1058" s="2">
        <f>IF(H1058="02.09 : Outras Saídas", IF(OR(ISNUMBER(SEARCH("CHEQUE COMPE SICREDI", F1058)), ISNUMBER(SEARCH("aniversario", F1058)), ISNUMBER(SEARCH("churrasco", F1058)), ISNUMBER(SEARCH("bolo", F1058)), ISNUMBER(SEARCH("SUPERMERCADO", F1058))), "6.1 Despesas Administrativas (Pessoal)", IF(OR(ISNUMBER(SEARCH("DLKNET", F1058)), ISNUMBER(SEARCH("TESTE", F1058))), "6.1 Despesas Administrativas (Gerais)", IFERROR(VLOOKUP(H1058, De_Para!A:B, 2, FALSE), "NÃO MAPEADO"))), IFERROR(VLOOKUP(H1058, De_Para!A:B, 2, FALSE), "NÃO MAPEADO"))</f>
        <v/>
      </c>
    </row>
    <row r="1059">
      <c r="A1059" s="2" t="inlineStr">
        <is>
          <t>68628</t>
        </is>
      </c>
      <c r="B1059" s="2" t="inlineStr">
        <is>
          <t>Sicoob</t>
        </is>
      </c>
      <c r="C1059" s="2" t="inlineStr">
        <is>
          <t>11/06/2026</t>
        </is>
      </c>
      <c r="D1059" s="2" t="inlineStr">
        <is>
          <t>11/06/2026</t>
        </is>
      </c>
      <c r="E1059" s="2" t="inlineStr">
        <is>
          <t>Dinheiro</t>
        </is>
      </c>
      <c r="F1059" s="2" t="inlineStr">
        <is>
          <t>Boleto "67566" do cliente "RONEI DE FARIA"</t>
        </is>
      </c>
      <c r="G1059" s="2" t="inlineStr">
        <is>
          <t>system</t>
        </is>
      </c>
      <c r="H1059" s="2" t="inlineStr">
        <is>
          <t>02.03.02.01 : Cobrança Bancaria</t>
        </is>
      </c>
      <c r="I1059" s="2" t="n"/>
      <c r="J1059" s="3" t="n">
        <v>-0.88</v>
      </c>
      <c r="K1059" s="2">
        <f>IF(H1059="02.09 : Outras Saídas", IF(OR(ISNUMBER(SEARCH("CHEQUE COMPE SICREDI", F1059)), ISNUMBER(SEARCH("aniversario", F1059)), ISNUMBER(SEARCH("churrasco", F1059)), ISNUMBER(SEARCH("bolo", F1059)), ISNUMBER(SEARCH("SUPERMERCADO", F1059))), "6.1 Despesas Administrativas (Pessoal)", IF(OR(ISNUMBER(SEARCH("DLKNET", F1059)), ISNUMBER(SEARCH("TESTE", F1059))), "6.1 Despesas Administrativas (Gerais)", IFERROR(VLOOKUP(H1059, De_Para!A:B, 2, FALSE), "NÃO MAPEADO"))), IFERROR(VLOOKUP(H1059, De_Para!A:B, 2, FALSE), "NÃO MAPEADO"))</f>
        <v/>
      </c>
    </row>
    <row r="1060">
      <c r="A1060" s="2" t="inlineStr">
        <is>
          <t>68627</t>
        </is>
      </c>
      <c r="B1060" s="2" t="inlineStr">
        <is>
          <t>Sicoob</t>
        </is>
      </c>
      <c r="C1060" s="2" t="inlineStr">
        <is>
          <t>11/06/2026</t>
        </is>
      </c>
      <c r="D1060" s="2" t="inlineStr">
        <is>
          <t>11/06/2026</t>
        </is>
      </c>
      <c r="E1060" s="2" t="inlineStr">
        <is>
          <t>Dinheiro</t>
        </is>
      </c>
      <c r="F1060" s="2" t="inlineStr">
        <is>
          <t>Boleto "67566" do cliente "RONEI DE FARIA"</t>
        </is>
      </c>
      <c r="G1060" s="2" t="inlineStr">
        <is>
          <t>system</t>
        </is>
      </c>
      <c r="H1060" s="2" t="inlineStr">
        <is>
          <t>01.01.01 : Mensalidade</t>
        </is>
      </c>
      <c r="I1060" s="3" t="n">
        <v>104.9</v>
      </c>
      <c r="J1060" s="2" t="n"/>
      <c r="K1060" s="2">
        <f>IF(H1060="02.09 : Outras Saídas", IF(OR(ISNUMBER(SEARCH("CHEQUE COMPE SICREDI", F1060)), ISNUMBER(SEARCH("aniversario", F1060)), ISNUMBER(SEARCH("churrasco", F1060)), ISNUMBER(SEARCH("bolo", F1060)), ISNUMBER(SEARCH("SUPERMERCADO", F1060))), "6.1 Despesas Administrativas (Pessoal)", IF(OR(ISNUMBER(SEARCH("DLKNET", F1060)), ISNUMBER(SEARCH("TESTE", F1060))), "6.1 Despesas Administrativas (Gerais)", IFERROR(VLOOKUP(H1060, De_Para!A:B, 2, FALSE), "NÃO MAPEADO"))), IFERROR(VLOOKUP(H1060, De_Para!A:B, 2, FALSE), "NÃO MAPEADO"))</f>
        <v/>
      </c>
    </row>
    <row r="1061">
      <c r="A1061" s="2" t="inlineStr">
        <is>
          <t>68626</t>
        </is>
      </c>
      <c r="B1061" s="2" t="inlineStr">
        <is>
          <t>Sicoob</t>
        </is>
      </c>
      <c r="C1061" s="2" t="inlineStr">
        <is>
          <t>11/06/2026</t>
        </is>
      </c>
      <c r="D1061" s="2" t="inlineStr">
        <is>
          <t>11/06/2026</t>
        </is>
      </c>
      <c r="E1061" s="2" t="inlineStr">
        <is>
          <t>Dinheiro</t>
        </is>
      </c>
      <c r="F1061" s="2" t="inlineStr">
        <is>
          <t>Boleto "55968" do cliente "JAIRO RIBEIRO MARANI"</t>
        </is>
      </c>
      <c r="G1061" s="2" t="inlineStr">
        <is>
          <t>system</t>
        </is>
      </c>
      <c r="H1061" s="2" t="inlineStr">
        <is>
          <t>02.03.02.01 : Cobrança Bancaria</t>
        </is>
      </c>
      <c r="I1061" s="2" t="n"/>
      <c r="J1061" s="3" t="n">
        <v>-0.88</v>
      </c>
      <c r="K1061" s="2">
        <f>IF(H1061="02.09 : Outras Saídas", IF(OR(ISNUMBER(SEARCH("CHEQUE COMPE SICREDI", F1061)), ISNUMBER(SEARCH("aniversario", F1061)), ISNUMBER(SEARCH("churrasco", F1061)), ISNUMBER(SEARCH("bolo", F1061)), ISNUMBER(SEARCH("SUPERMERCADO", F1061))), "6.1 Despesas Administrativas (Pessoal)", IF(OR(ISNUMBER(SEARCH("DLKNET", F1061)), ISNUMBER(SEARCH("TESTE", F1061))), "6.1 Despesas Administrativas (Gerais)", IFERROR(VLOOKUP(H1061, De_Para!A:B, 2, FALSE), "NÃO MAPEADO"))), IFERROR(VLOOKUP(H1061, De_Para!A:B, 2, FALSE), "NÃO MAPEADO"))</f>
        <v/>
      </c>
    </row>
    <row r="1062">
      <c r="A1062" s="2" t="inlineStr">
        <is>
          <t>68625</t>
        </is>
      </c>
      <c r="B1062" s="2" t="inlineStr">
        <is>
          <t>Sicoob</t>
        </is>
      </c>
      <c r="C1062" s="2" t="inlineStr">
        <is>
          <t>11/06/2026</t>
        </is>
      </c>
      <c r="D1062" s="2" t="inlineStr">
        <is>
          <t>11/06/2026</t>
        </is>
      </c>
      <c r="E1062" s="2" t="inlineStr">
        <is>
          <t>Dinheiro</t>
        </is>
      </c>
      <c r="F1062" s="2" t="inlineStr">
        <is>
          <t>Boleto "55968" do cliente "JAIRO RIBEIRO MARANI"</t>
        </is>
      </c>
      <c r="G1062" s="2" t="inlineStr">
        <is>
          <t>system</t>
        </is>
      </c>
      <c r="H1062" s="2" t="inlineStr">
        <is>
          <t>01.03.01 : Mensalidade</t>
        </is>
      </c>
      <c r="I1062" s="3" t="n">
        <v>107.13</v>
      </c>
      <c r="J1062" s="2" t="n"/>
      <c r="K1062" s="2">
        <f>IF(H1062="02.09 : Outras Saídas", IF(OR(ISNUMBER(SEARCH("CHEQUE COMPE SICREDI", F1062)), ISNUMBER(SEARCH("aniversario", F1062)), ISNUMBER(SEARCH("churrasco", F1062)), ISNUMBER(SEARCH("bolo", F1062)), ISNUMBER(SEARCH("SUPERMERCADO", F1062))), "6.1 Despesas Administrativas (Pessoal)", IF(OR(ISNUMBER(SEARCH("DLKNET", F1062)), ISNUMBER(SEARCH("TESTE", F1062))), "6.1 Despesas Administrativas (Gerais)", IFERROR(VLOOKUP(H1062, De_Para!A:B, 2, FALSE), "NÃO MAPEADO"))), IFERROR(VLOOKUP(H1062, De_Para!A:B, 2, FALSE), "NÃO MAPEADO"))</f>
        <v/>
      </c>
    </row>
    <row r="1063">
      <c r="A1063" s="2" t="inlineStr">
        <is>
          <t>68624</t>
        </is>
      </c>
      <c r="B1063" s="2" t="inlineStr">
        <is>
          <t>Sicredi SNI</t>
        </is>
      </c>
      <c r="C1063" s="2" t="inlineStr">
        <is>
          <t>11/06/2026</t>
        </is>
      </c>
      <c r="D1063" s="2" t="inlineStr">
        <is>
          <t>11/06/2026</t>
        </is>
      </c>
      <c r="E1063" s="2" t="inlineStr">
        <is>
          <t>PIX</t>
        </is>
      </c>
      <c r="F1063" s="2" t="inlineStr">
        <is>
          <t>Boleto "56605" do cliente "MANOEL FERNANDES LOPES FILHO"</t>
        </is>
      </c>
      <c r="G1063" s="2" t="inlineStr">
        <is>
          <t>system</t>
        </is>
      </c>
      <c r="H1063" s="2" t="inlineStr">
        <is>
          <t>02.03.02.01 : Cobrança Bancaria</t>
        </is>
      </c>
      <c r="I1063" s="2" t="n"/>
      <c r="J1063" s="3" t="n">
        <v>-0.49</v>
      </c>
      <c r="K1063" s="2">
        <f>IF(H1063="02.09 : Outras Saídas", IF(OR(ISNUMBER(SEARCH("CHEQUE COMPE SICREDI", F1063)), ISNUMBER(SEARCH("aniversario", F1063)), ISNUMBER(SEARCH("churrasco", F1063)), ISNUMBER(SEARCH("bolo", F1063)), ISNUMBER(SEARCH("SUPERMERCADO", F1063))), "6.1 Despesas Administrativas (Pessoal)", IF(OR(ISNUMBER(SEARCH("DLKNET", F1063)), ISNUMBER(SEARCH("TESTE", F1063))), "6.1 Despesas Administrativas (Gerais)", IFERROR(VLOOKUP(H1063, De_Para!A:B, 2, FALSE), "NÃO MAPEADO"))), IFERROR(VLOOKUP(H1063, De_Para!A:B, 2, FALSE), "NÃO MAPEADO"))</f>
        <v/>
      </c>
    </row>
    <row r="1064">
      <c r="A1064" s="2" t="inlineStr">
        <is>
          <t>68623</t>
        </is>
      </c>
      <c r="B1064" s="2" t="inlineStr">
        <is>
          <t>Sicredi SNI</t>
        </is>
      </c>
      <c r="C1064" s="2" t="inlineStr">
        <is>
          <t>11/06/2026</t>
        </is>
      </c>
      <c r="D1064" s="2" t="inlineStr">
        <is>
          <t>11/06/2026</t>
        </is>
      </c>
      <c r="E1064" s="2" t="inlineStr">
        <is>
          <t>PIX</t>
        </is>
      </c>
      <c r="F1064" s="2" t="inlineStr">
        <is>
          <t>Boleto "56605" do cliente "MANOEL FERNANDES LOPES FILHO"</t>
        </is>
      </c>
      <c r="G1064" s="2" t="inlineStr">
        <is>
          <t>system</t>
        </is>
      </c>
      <c r="H1064" s="2" t="inlineStr">
        <is>
          <t>01.01.01 : Mensalidade</t>
        </is>
      </c>
      <c r="I1064" s="3" t="n">
        <v>107.14</v>
      </c>
      <c r="J1064" s="2" t="n"/>
      <c r="K1064" s="2">
        <f>IF(H1064="02.09 : Outras Saídas", IF(OR(ISNUMBER(SEARCH("CHEQUE COMPE SICREDI", F1064)), ISNUMBER(SEARCH("aniversario", F1064)), ISNUMBER(SEARCH("churrasco", F1064)), ISNUMBER(SEARCH("bolo", F1064)), ISNUMBER(SEARCH("SUPERMERCADO", F1064))), "6.1 Despesas Administrativas (Pessoal)", IF(OR(ISNUMBER(SEARCH("DLKNET", F1064)), ISNUMBER(SEARCH("TESTE", F1064))), "6.1 Despesas Administrativas (Gerais)", IFERROR(VLOOKUP(H1064, De_Para!A:B, 2, FALSE), "NÃO MAPEADO"))), IFERROR(VLOOKUP(H1064, De_Para!A:B, 2, FALSE), "NÃO MAPEADO"))</f>
        <v/>
      </c>
    </row>
    <row r="1065">
      <c r="A1065" s="2" t="inlineStr">
        <is>
          <t>68622</t>
        </is>
      </c>
      <c r="B1065" s="2" t="inlineStr">
        <is>
          <t>Sicredi SNI</t>
        </is>
      </c>
      <c r="C1065" s="2" t="inlineStr">
        <is>
          <t>11/06/2026</t>
        </is>
      </c>
      <c r="D1065" s="2" t="inlineStr">
        <is>
          <t>11/06/2026</t>
        </is>
      </c>
      <c r="E1065" s="2" t="inlineStr">
        <is>
          <t>Dinheiro</t>
        </is>
      </c>
      <c r="F1065" s="2" t="inlineStr">
        <is>
          <t>Boleto "57691" do cliente "RENATO ANTONIO DOS SANTOS"</t>
        </is>
      </c>
      <c r="G1065" s="2" t="inlineStr">
        <is>
          <t>system</t>
        </is>
      </c>
      <c r="H1065" s="2" t="inlineStr">
        <is>
          <t>02.03.02.01 : Cobrança Bancaria</t>
        </is>
      </c>
      <c r="I1065" s="2" t="n"/>
      <c r="J1065" s="3" t="n">
        <v>-1.08</v>
      </c>
      <c r="K1065" s="2">
        <f>IF(H1065="02.09 : Outras Saídas", IF(OR(ISNUMBER(SEARCH("CHEQUE COMPE SICREDI", F1065)), ISNUMBER(SEARCH("aniversario", F1065)), ISNUMBER(SEARCH("churrasco", F1065)), ISNUMBER(SEARCH("bolo", F1065)), ISNUMBER(SEARCH("SUPERMERCADO", F1065))), "6.1 Despesas Administrativas (Pessoal)", IF(OR(ISNUMBER(SEARCH("DLKNET", F1065)), ISNUMBER(SEARCH("TESTE", F1065))), "6.1 Despesas Administrativas (Gerais)", IFERROR(VLOOKUP(H1065, De_Para!A:B, 2, FALSE), "NÃO MAPEADO"))), IFERROR(VLOOKUP(H1065, De_Para!A:B, 2, FALSE), "NÃO MAPEADO"))</f>
        <v/>
      </c>
    </row>
    <row r="1066">
      <c r="A1066" s="2" t="inlineStr">
        <is>
          <t>68621</t>
        </is>
      </c>
      <c r="B1066" s="2" t="inlineStr">
        <is>
          <t>Sicredi SNI</t>
        </is>
      </c>
      <c r="C1066" s="2" t="inlineStr">
        <is>
          <t>11/06/2026</t>
        </is>
      </c>
      <c r="D1066" s="2" t="inlineStr">
        <is>
          <t>11/06/2026</t>
        </is>
      </c>
      <c r="E1066" s="2" t="inlineStr">
        <is>
          <t>Dinheiro</t>
        </is>
      </c>
      <c r="F1066" s="2" t="inlineStr">
        <is>
          <t>Boleto "57691" do cliente "RENATO ANTONIO DOS SANTOS"</t>
        </is>
      </c>
      <c r="G1066" s="2" t="inlineStr">
        <is>
          <t>system</t>
        </is>
      </c>
      <c r="H1066" s="2" t="inlineStr">
        <is>
          <t>01.01.01 : Mensalidade</t>
        </is>
      </c>
      <c r="I1066" s="3" t="n">
        <v>112.24</v>
      </c>
      <c r="J1066" s="2" t="n"/>
      <c r="K1066" s="2">
        <f>IF(H1066="02.09 : Outras Saídas", IF(OR(ISNUMBER(SEARCH("CHEQUE COMPE SICREDI", F1066)), ISNUMBER(SEARCH("aniversario", F1066)), ISNUMBER(SEARCH("churrasco", F1066)), ISNUMBER(SEARCH("bolo", F1066)), ISNUMBER(SEARCH("SUPERMERCADO", F1066))), "6.1 Despesas Administrativas (Pessoal)", IF(OR(ISNUMBER(SEARCH("DLKNET", F1066)), ISNUMBER(SEARCH("TESTE", F1066))), "6.1 Despesas Administrativas (Gerais)", IFERROR(VLOOKUP(H1066, De_Para!A:B, 2, FALSE), "NÃO MAPEADO"))), IFERROR(VLOOKUP(H1066, De_Para!A:B, 2, FALSE), "NÃO MAPEADO"))</f>
        <v/>
      </c>
    </row>
    <row r="1067">
      <c r="A1067" s="2" t="inlineStr">
        <is>
          <t>68620</t>
        </is>
      </c>
      <c r="B1067" s="2" t="inlineStr">
        <is>
          <t>Sicredi SNI</t>
        </is>
      </c>
      <c r="C1067" s="2" t="inlineStr">
        <is>
          <t>11/06/2026</t>
        </is>
      </c>
      <c r="D1067" s="2" t="inlineStr">
        <is>
          <t>11/06/2026</t>
        </is>
      </c>
      <c r="E1067" s="2" t="inlineStr">
        <is>
          <t>Dinheiro</t>
        </is>
      </c>
      <c r="F1067" s="2" t="inlineStr">
        <is>
          <t>Boleto "54224" do cliente "IVANILDO ALVES DE CAMARGO"</t>
        </is>
      </c>
      <c r="G1067" s="2" t="inlineStr">
        <is>
          <t>system</t>
        </is>
      </c>
      <c r="H1067" s="2" t="inlineStr">
        <is>
          <t>02.03.02.01 : Cobrança Bancaria</t>
        </is>
      </c>
      <c r="I1067" s="2" t="n"/>
      <c r="J1067" s="3" t="n">
        <v>-1.08</v>
      </c>
      <c r="K1067" s="2">
        <f>IF(H1067="02.09 : Outras Saídas", IF(OR(ISNUMBER(SEARCH("CHEQUE COMPE SICREDI", F1067)), ISNUMBER(SEARCH("aniversario", F1067)), ISNUMBER(SEARCH("churrasco", F1067)), ISNUMBER(SEARCH("bolo", F1067)), ISNUMBER(SEARCH("SUPERMERCADO", F1067))), "6.1 Despesas Administrativas (Pessoal)", IF(OR(ISNUMBER(SEARCH("DLKNET", F1067)), ISNUMBER(SEARCH("TESTE", F1067))), "6.1 Despesas Administrativas (Gerais)", IFERROR(VLOOKUP(H1067, De_Para!A:B, 2, FALSE), "NÃO MAPEADO"))), IFERROR(VLOOKUP(H1067, De_Para!A:B, 2, FALSE), "NÃO MAPEADO"))</f>
        <v/>
      </c>
    </row>
    <row r="1068">
      <c r="A1068" s="2" t="inlineStr">
        <is>
          <t>68619</t>
        </is>
      </c>
      <c r="B1068" s="2" t="inlineStr">
        <is>
          <t>Sicredi SNI</t>
        </is>
      </c>
      <c r="C1068" s="2" t="inlineStr">
        <is>
          <t>11/06/2026</t>
        </is>
      </c>
      <c r="D1068" s="2" t="inlineStr">
        <is>
          <t>11/06/2026</t>
        </is>
      </c>
      <c r="E1068" s="2" t="inlineStr">
        <is>
          <t>Dinheiro</t>
        </is>
      </c>
      <c r="F1068" s="2" t="inlineStr">
        <is>
          <t>Boleto "54224" do cliente "IVANILDO ALVES DE CAMARGO"</t>
        </is>
      </c>
      <c r="G1068" s="2" t="inlineStr">
        <is>
          <t>system</t>
        </is>
      </c>
      <c r="H1068" s="2" t="inlineStr">
        <is>
          <t>01.01.01 : Mensalidade</t>
        </is>
      </c>
      <c r="I1068" s="3" t="n">
        <v>100</v>
      </c>
      <c r="J1068" s="2" t="n"/>
      <c r="K1068" s="2">
        <f>IF(H1068="02.09 : Outras Saídas", IF(OR(ISNUMBER(SEARCH("CHEQUE COMPE SICREDI", F1068)), ISNUMBER(SEARCH("aniversario", F1068)), ISNUMBER(SEARCH("churrasco", F1068)), ISNUMBER(SEARCH("bolo", F1068)), ISNUMBER(SEARCH("SUPERMERCADO", F1068))), "6.1 Despesas Administrativas (Pessoal)", IF(OR(ISNUMBER(SEARCH("DLKNET", F1068)), ISNUMBER(SEARCH("TESTE", F1068))), "6.1 Despesas Administrativas (Gerais)", IFERROR(VLOOKUP(H1068, De_Para!A:B, 2, FALSE), "NÃO MAPEADO"))), IFERROR(VLOOKUP(H1068, De_Para!A:B, 2, FALSE), "NÃO MAPEADO"))</f>
        <v/>
      </c>
    </row>
    <row r="1069">
      <c r="A1069" s="2" t="inlineStr">
        <is>
          <t>68618</t>
        </is>
      </c>
      <c r="B1069" s="2" t="inlineStr">
        <is>
          <t>Sicoob</t>
        </is>
      </c>
      <c r="C1069" s="2" t="inlineStr">
        <is>
          <t>11/06/2026</t>
        </is>
      </c>
      <c r="D1069" s="2" t="inlineStr">
        <is>
          <t>11/06/2026</t>
        </is>
      </c>
      <c r="E1069" s="2" t="inlineStr">
        <is>
          <t>Dinheiro</t>
        </is>
      </c>
      <c r="F1069" s="2" t="inlineStr">
        <is>
          <t>Boleto "66327" do cliente "ALEXANDRE BARROS DA SILVA"</t>
        </is>
      </c>
      <c r="G1069" s="2" t="inlineStr">
        <is>
          <t>system</t>
        </is>
      </c>
      <c r="H1069" s="2" t="inlineStr">
        <is>
          <t>02.03.02.01 : Cobrança Bancaria</t>
        </is>
      </c>
      <c r="I1069" s="2" t="n"/>
      <c r="J1069" s="3" t="n">
        <v>-0.88</v>
      </c>
      <c r="K1069" s="2">
        <f>IF(H1069="02.09 : Outras Saídas", IF(OR(ISNUMBER(SEARCH("CHEQUE COMPE SICREDI", F1069)), ISNUMBER(SEARCH("aniversario", F1069)), ISNUMBER(SEARCH("churrasco", F1069)), ISNUMBER(SEARCH("bolo", F1069)), ISNUMBER(SEARCH("SUPERMERCADO", F1069))), "6.1 Despesas Administrativas (Pessoal)", IF(OR(ISNUMBER(SEARCH("DLKNET", F1069)), ISNUMBER(SEARCH("TESTE", F1069))), "6.1 Despesas Administrativas (Gerais)", IFERROR(VLOOKUP(H1069, De_Para!A:B, 2, FALSE), "NÃO MAPEADO"))), IFERROR(VLOOKUP(H1069, De_Para!A:B, 2, FALSE), "NÃO MAPEADO"))</f>
        <v/>
      </c>
    </row>
    <row r="1070">
      <c r="A1070" s="2" t="inlineStr">
        <is>
          <t>68617</t>
        </is>
      </c>
      <c r="B1070" s="2" t="inlineStr">
        <is>
          <t>Sicoob</t>
        </is>
      </c>
      <c r="C1070" s="2" t="inlineStr">
        <is>
          <t>11/06/2026</t>
        </is>
      </c>
      <c r="D1070" s="2" t="inlineStr">
        <is>
          <t>11/06/2026</t>
        </is>
      </c>
      <c r="E1070" s="2" t="inlineStr">
        <is>
          <t>Dinheiro</t>
        </is>
      </c>
      <c r="F1070" s="2" t="inlineStr">
        <is>
          <t>Boleto "66327" do cliente "ALEXANDRE BARROS DA SILVA"</t>
        </is>
      </c>
      <c r="G1070" s="2" t="inlineStr">
        <is>
          <t>system</t>
        </is>
      </c>
      <c r="H1070" s="2" t="inlineStr">
        <is>
          <t>01.01.01 : Mensalidade</t>
        </is>
      </c>
      <c r="I1070" s="3" t="n">
        <v>109.9</v>
      </c>
      <c r="J1070" s="2" t="n"/>
      <c r="K1070" s="2">
        <f>IF(H1070="02.09 : Outras Saídas", IF(OR(ISNUMBER(SEARCH("CHEQUE COMPE SICREDI", F1070)), ISNUMBER(SEARCH("aniversario", F1070)), ISNUMBER(SEARCH("churrasco", F1070)), ISNUMBER(SEARCH("bolo", F1070)), ISNUMBER(SEARCH("SUPERMERCADO", F1070))), "6.1 Despesas Administrativas (Pessoal)", IF(OR(ISNUMBER(SEARCH("DLKNET", F1070)), ISNUMBER(SEARCH("TESTE", F1070))), "6.1 Despesas Administrativas (Gerais)", IFERROR(VLOOKUP(H1070, De_Para!A:B, 2, FALSE), "NÃO MAPEADO"))), IFERROR(VLOOKUP(H1070, De_Para!A:B, 2, FALSE), "NÃO MAPEADO"))</f>
        <v/>
      </c>
    </row>
    <row r="1071">
      <c r="A1071" s="2" t="inlineStr">
        <is>
          <t>68616</t>
        </is>
      </c>
      <c r="B1071" s="2" t="inlineStr">
        <is>
          <t>Sicoob</t>
        </is>
      </c>
      <c r="C1071" s="2" t="inlineStr">
        <is>
          <t>11/06/2026</t>
        </is>
      </c>
      <c r="D1071" s="2" t="inlineStr">
        <is>
          <t>11/06/2026</t>
        </is>
      </c>
      <c r="E1071" s="2" t="inlineStr">
        <is>
          <t>Dinheiro</t>
        </is>
      </c>
      <c r="F1071" s="2" t="inlineStr">
        <is>
          <t>Boleto "65746" do cliente "IVELIR ROSA PINTO"</t>
        </is>
      </c>
      <c r="G1071" s="2" t="inlineStr">
        <is>
          <t>system</t>
        </is>
      </c>
      <c r="H1071" s="2" t="inlineStr">
        <is>
          <t>02.03.02.01 : Cobrança Bancaria</t>
        </is>
      </c>
      <c r="I1071" s="2" t="n"/>
      <c r="J1071" s="3" t="n">
        <v>-0.88</v>
      </c>
      <c r="K1071" s="2">
        <f>IF(H1071="02.09 : Outras Saídas", IF(OR(ISNUMBER(SEARCH("CHEQUE COMPE SICREDI", F1071)), ISNUMBER(SEARCH("aniversario", F1071)), ISNUMBER(SEARCH("churrasco", F1071)), ISNUMBER(SEARCH("bolo", F1071)), ISNUMBER(SEARCH("SUPERMERCADO", F1071))), "6.1 Despesas Administrativas (Pessoal)", IF(OR(ISNUMBER(SEARCH("DLKNET", F1071)), ISNUMBER(SEARCH("TESTE", F1071))), "6.1 Despesas Administrativas (Gerais)", IFERROR(VLOOKUP(H1071, De_Para!A:B, 2, FALSE), "NÃO MAPEADO"))), IFERROR(VLOOKUP(H1071, De_Para!A:B, 2, FALSE), "NÃO MAPEADO"))</f>
        <v/>
      </c>
    </row>
    <row r="1072">
      <c r="A1072" s="2" t="inlineStr">
        <is>
          <t>68615</t>
        </is>
      </c>
      <c r="B1072" s="2" t="inlineStr">
        <is>
          <t>Sicoob</t>
        </is>
      </c>
      <c r="C1072" s="2" t="inlineStr">
        <is>
          <t>11/06/2026</t>
        </is>
      </c>
      <c r="D1072" s="2" t="inlineStr">
        <is>
          <t>11/06/2026</t>
        </is>
      </c>
      <c r="E1072" s="2" t="inlineStr">
        <is>
          <t>Dinheiro</t>
        </is>
      </c>
      <c r="F1072" s="2" t="inlineStr">
        <is>
          <t>Boleto "65746" do cliente "IVELIR ROSA PINTO"</t>
        </is>
      </c>
      <c r="G1072" s="2" t="inlineStr">
        <is>
          <t>system</t>
        </is>
      </c>
      <c r="H1072" s="2" t="inlineStr">
        <is>
          <t>01.01.01 : Mensalidade</t>
        </is>
      </c>
      <c r="I1072" s="3" t="n">
        <v>101.92</v>
      </c>
      <c r="J1072" s="2" t="n"/>
      <c r="K1072" s="2">
        <f>IF(H1072="02.09 : Outras Saídas", IF(OR(ISNUMBER(SEARCH("CHEQUE COMPE SICREDI", F1072)), ISNUMBER(SEARCH("aniversario", F1072)), ISNUMBER(SEARCH("churrasco", F1072)), ISNUMBER(SEARCH("bolo", F1072)), ISNUMBER(SEARCH("SUPERMERCADO", F1072))), "6.1 Despesas Administrativas (Pessoal)", IF(OR(ISNUMBER(SEARCH("DLKNET", F1072)), ISNUMBER(SEARCH("TESTE", F1072))), "6.1 Despesas Administrativas (Gerais)", IFERROR(VLOOKUP(H1072, De_Para!A:B, 2, FALSE), "NÃO MAPEADO"))), IFERROR(VLOOKUP(H1072, De_Para!A:B, 2, FALSE), "NÃO MAPEADO"))</f>
        <v/>
      </c>
    </row>
    <row r="1073">
      <c r="A1073" s="2" t="inlineStr">
        <is>
          <t>68614</t>
        </is>
      </c>
      <c r="B1073" s="2" t="inlineStr">
        <is>
          <t>Sicoob</t>
        </is>
      </c>
      <c r="C1073" s="2" t="inlineStr">
        <is>
          <t>11/06/2026</t>
        </is>
      </c>
      <c r="D1073" s="2" t="inlineStr">
        <is>
          <t>11/06/2026</t>
        </is>
      </c>
      <c r="E1073" s="2" t="inlineStr">
        <is>
          <t>Dinheiro</t>
        </is>
      </c>
      <c r="F1073" s="2" t="inlineStr">
        <is>
          <t>Boleto "63668" do cliente "OSVALDO VANDERLEI MENES DE OLIVEIRA"</t>
        </is>
      </c>
      <c r="G1073" s="2" t="inlineStr">
        <is>
          <t>system</t>
        </is>
      </c>
      <c r="H1073" s="2" t="inlineStr">
        <is>
          <t>02.03.02.01 : Cobrança Bancaria</t>
        </is>
      </c>
      <c r="I1073" s="2" t="n"/>
      <c r="J1073" s="3" t="n">
        <v>-0.88</v>
      </c>
      <c r="K1073" s="2">
        <f>IF(H1073="02.09 : Outras Saídas", IF(OR(ISNUMBER(SEARCH("CHEQUE COMPE SICREDI", F1073)), ISNUMBER(SEARCH("aniversario", F1073)), ISNUMBER(SEARCH("churrasco", F1073)), ISNUMBER(SEARCH("bolo", F1073)), ISNUMBER(SEARCH("SUPERMERCADO", F1073))), "6.1 Despesas Administrativas (Pessoal)", IF(OR(ISNUMBER(SEARCH("DLKNET", F1073)), ISNUMBER(SEARCH("TESTE", F1073))), "6.1 Despesas Administrativas (Gerais)", IFERROR(VLOOKUP(H1073, De_Para!A:B, 2, FALSE), "NÃO MAPEADO"))), IFERROR(VLOOKUP(H1073, De_Para!A:B, 2, FALSE), "NÃO MAPEADO"))</f>
        <v/>
      </c>
    </row>
    <row r="1074">
      <c r="A1074" s="2" t="inlineStr">
        <is>
          <t>68613</t>
        </is>
      </c>
      <c r="B1074" s="2" t="inlineStr">
        <is>
          <t>Sicoob</t>
        </is>
      </c>
      <c r="C1074" s="2" t="inlineStr">
        <is>
          <t>11/06/2026</t>
        </is>
      </c>
      <c r="D1074" s="2" t="inlineStr">
        <is>
          <t>11/06/2026</t>
        </is>
      </c>
      <c r="E1074" s="2" t="inlineStr">
        <is>
          <t>Dinheiro</t>
        </is>
      </c>
      <c r="F1074" s="2" t="inlineStr">
        <is>
          <t>Boleto "63668" do cliente "OSVALDO VANDERLEI MENES DE OLIVEIRA"</t>
        </is>
      </c>
      <c r="G1074" s="2" t="inlineStr">
        <is>
          <t>system</t>
        </is>
      </c>
      <c r="H1074" s="2" t="inlineStr">
        <is>
          <t>01.03.01 : Mensalidade</t>
        </is>
      </c>
      <c r="I1074" s="3" t="n">
        <v>91.70999999999999</v>
      </c>
      <c r="J1074" s="2" t="n"/>
      <c r="K1074" s="2">
        <f>IF(H1074="02.09 : Outras Saídas", IF(OR(ISNUMBER(SEARCH("CHEQUE COMPE SICREDI", F1074)), ISNUMBER(SEARCH("aniversario", F1074)), ISNUMBER(SEARCH("churrasco", F1074)), ISNUMBER(SEARCH("bolo", F1074)), ISNUMBER(SEARCH("SUPERMERCADO", F1074))), "6.1 Despesas Administrativas (Pessoal)", IF(OR(ISNUMBER(SEARCH("DLKNET", F1074)), ISNUMBER(SEARCH("TESTE", F1074))), "6.1 Despesas Administrativas (Gerais)", IFERROR(VLOOKUP(H1074, De_Para!A:B, 2, FALSE), "NÃO MAPEADO"))), IFERROR(VLOOKUP(H1074, De_Para!A:B, 2, FALSE), "NÃO MAPEADO"))</f>
        <v/>
      </c>
    </row>
    <row r="1075">
      <c r="A1075" s="2" t="inlineStr">
        <is>
          <t>68612</t>
        </is>
      </c>
      <c r="B1075" s="2" t="inlineStr">
        <is>
          <t>Sicoob</t>
        </is>
      </c>
      <c r="C1075" s="2" t="inlineStr">
        <is>
          <t>11/06/2026</t>
        </is>
      </c>
      <c r="D1075" s="2" t="inlineStr">
        <is>
          <t>11/06/2026</t>
        </is>
      </c>
      <c r="E1075" s="2" t="inlineStr">
        <is>
          <t>Dinheiro</t>
        </is>
      </c>
      <c r="F1075" s="2" t="inlineStr">
        <is>
          <t>Boleto "60868" do cliente "ALESSANDRA SANTOS DE AZEVEDO"</t>
        </is>
      </c>
      <c r="G1075" s="2" t="inlineStr">
        <is>
          <t>system</t>
        </is>
      </c>
      <c r="H1075" s="2" t="inlineStr">
        <is>
          <t>02.03.02.01 : Cobrança Bancaria</t>
        </is>
      </c>
      <c r="I1075" s="2" t="n"/>
      <c r="J1075" s="3" t="n">
        <v>-0.88</v>
      </c>
      <c r="K1075" s="2">
        <f>IF(H1075="02.09 : Outras Saídas", IF(OR(ISNUMBER(SEARCH("CHEQUE COMPE SICREDI", F1075)), ISNUMBER(SEARCH("aniversario", F1075)), ISNUMBER(SEARCH("churrasco", F1075)), ISNUMBER(SEARCH("bolo", F1075)), ISNUMBER(SEARCH("SUPERMERCADO", F1075))), "6.1 Despesas Administrativas (Pessoal)", IF(OR(ISNUMBER(SEARCH("DLKNET", F1075)), ISNUMBER(SEARCH("TESTE", F1075))), "6.1 Despesas Administrativas (Gerais)", IFERROR(VLOOKUP(H1075, De_Para!A:B, 2, FALSE), "NÃO MAPEADO"))), IFERROR(VLOOKUP(H1075, De_Para!A:B, 2, FALSE), "NÃO MAPEADO"))</f>
        <v/>
      </c>
    </row>
    <row r="1076">
      <c r="A1076" s="2" t="inlineStr">
        <is>
          <t>68611</t>
        </is>
      </c>
      <c r="B1076" s="2" t="inlineStr">
        <is>
          <t>Sicoob</t>
        </is>
      </c>
      <c r="C1076" s="2" t="inlineStr">
        <is>
          <t>11/06/2026</t>
        </is>
      </c>
      <c r="D1076" s="2" t="inlineStr">
        <is>
          <t>11/06/2026</t>
        </is>
      </c>
      <c r="E1076" s="2" t="inlineStr">
        <is>
          <t>Dinheiro</t>
        </is>
      </c>
      <c r="F1076" s="2" t="inlineStr">
        <is>
          <t>Boleto "60868" do cliente "ALESSANDRA SANTOS DE AZEVEDO"</t>
        </is>
      </c>
      <c r="G1076" s="2" t="inlineStr">
        <is>
          <t>system</t>
        </is>
      </c>
      <c r="H1076" s="2" t="inlineStr">
        <is>
          <t>01.01.01 : Mensalidade</t>
        </is>
      </c>
      <c r="I1076" s="3" t="n">
        <v>105</v>
      </c>
      <c r="J1076" s="2" t="n"/>
      <c r="K1076" s="2">
        <f>IF(H1076="02.09 : Outras Saídas", IF(OR(ISNUMBER(SEARCH("CHEQUE COMPE SICREDI", F1076)), ISNUMBER(SEARCH("aniversario", F1076)), ISNUMBER(SEARCH("churrasco", F1076)), ISNUMBER(SEARCH("bolo", F1076)), ISNUMBER(SEARCH("SUPERMERCADO", F1076))), "6.1 Despesas Administrativas (Pessoal)", IF(OR(ISNUMBER(SEARCH("DLKNET", F1076)), ISNUMBER(SEARCH("TESTE", F1076))), "6.1 Despesas Administrativas (Gerais)", IFERROR(VLOOKUP(H1076, De_Para!A:B, 2, FALSE), "NÃO MAPEADO"))), IFERROR(VLOOKUP(H1076, De_Para!A:B, 2, FALSE), "NÃO MAPEADO"))</f>
        <v/>
      </c>
    </row>
    <row r="1077">
      <c r="A1077" s="2" t="inlineStr">
        <is>
          <t>68610</t>
        </is>
      </c>
      <c r="B1077" s="2" t="inlineStr">
        <is>
          <t>Sicoob</t>
        </is>
      </c>
      <c r="C1077" s="2" t="inlineStr">
        <is>
          <t>11/06/2026</t>
        </is>
      </c>
      <c r="D1077" s="2" t="inlineStr">
        <is>
          <t>11/06/2026</t>
        </is>
      </c>
      <c r="E1077" s="2" t="inlineStr">
        <is>
          <t>Dinheiro</t>
        </is>
      </c>
      <c r="F1077" s="2" t="inlineStr">
        <is>
          <t>Boleto "60056" do cliente "LUIZ CARLOS DE FARIA"</t>
        </is>
      </c>
      <c r="G1077" s="2" t="inlineStr">
        <is>
          <t>system</t>
        </is>
      </c>
      <c r="H1077" s="2" t="inlineStr">
        <is>
          <t>02.03.02.01 : Cobrança Bancaria</t>
        </is>
      </c>
      <c r="I1077" s="2" t="n"/>
      <c r="J1077" s="3" t="n">
        <v>-0.88</v>
      </c>
      <c r="K1077" s="2">
        <f>IF(H1077="02.09 : Outras Saídas", IF(OR(ISNUMBER(SEARCH("CHEQUE COMPE SICREDI", F1077)), ISNUMBER(SEARCH("aniversario", F1077)), ISNUMBER(SEARCH("churrasco", F1077)), ISNUMBER(SEARCH("bolo", F1077)), ISNUMBER(SEARCH("SUPERMERCADO", F1077))), "6.1 Despesas Administrativas (Pessoal)", IF(OR(ISNUMBER(SEARCH("DLKNET", F1077)), ISNUMBER(SEARCH("TESTE", F1077))), "6.1 Despesas Administrativas (Gerais)", IFERROR(VLOOKUP(H1077, De_Para!A:B, 2, FALSE), "NÃO MAPEADO"))), IFERROR(VLOOKUP(H1077, De_Para!A:B, 2, FALSE), "NÃO MAPEADO"))</f>
        <v/>
      </c>
    </row>
    <row r="1078">
      <c r="A1078" s="2" t="inlineStr">
        <is>
          <t>68609</t>
        </is>
      </c>
      <c r="B1078" s="2" t="inlineStr">
        <is>
          <t>Sicoob</t>
        </is>
      </c>
      <c r="C1078" s="2" t="inlineStr">
        <is>
          <t>11/06/2026</t>
        </is>
      </c>
      <c r="D1078" s="2" t="inlineStr">
        <is>
          <t>11/06/2026</t>
        </is>
      </c>
      <c r="E1078" s="2" t="inlineStr">
        <is>
          <t>Dinheiro</t>
        </is>
      </c>
      <c r="F1078" s="2" t="inlineStr">
        <is>
          <t>Boleto "60056" do cliente "LUIZ CARLOS DE FARIA"</t>
        </is>
      </c>
      <c r="G1078" s="2" t="inlineStr">
        <is>
          <t>system</t>
        </is>
      </c>
      <c r="H1078" s="2" t="inlineStr">
        <is>
          <t>01.01.01 : Mensalidade</t>
        </is>
      </c>
      <c r="I1078" s="3" t="n">
        <v>107.13</v>
      </c>
      <c r="J1078" s="2" t="n"/>
      <c r="K1078" s="2">
        <f>IF(H1078="02.09 : Outras Saídas", IF(OR(ISNUMBER(SEARCH("CHEQUE COMPE SICREDI", F1078)), ISNUMBER(SEARCH("aniversario", F1078)), ISNUMBER(SEARCH("churrasco", F1078)), ISNUMBER(SEARCH("bolo", F1078)), ISNUMBER(SEARCH("SUPERMERCADO", F1078))), "6.1 Despesas Administrativas (Pessoal)", IF(OR(ISNUMBER(SEARCH("DLKNET", F1078)), ISNUMBER(SEARCH("TESTE", F1078))), "6.1 Despesas Administrativas (Gerais)", IFERROR(VLOOKUP(H1078, De_Para!A:B, 2, FALSE), "NÃO MAPEADO"))), IFERROR(VLOOKUP(H1078, De_Para!A:B, 2, FALSE), "NÃO MAPEADO"))</f>
        <v/>
      </c>
    </row>
    <row r="1079">
      <c r="A1079" s="2" t="inlineStr">
        <is>
          <t>68608</t>
        </is>
      </c>
      <c r="B1079" s="2" t="inlineStr">
        <is>
          <t>Sicoob</t>
        </is>
      </c>
      <c r="C1079" s="2" t="inlineStr">
        <is>
          <t>11/06/2026</t>
        </is>
      </c>
      <c r="D1079" s="2" t="inlineStr">
        <is>
          <t>11/06/2026</t>
        </is>
      </c>
      <c r="E1079" s="2" t="inlineStr">
        <is>
          <t>Dinheiro</t>
        </is>
      </c>
      <c r="F1079" s="2" t="inlineStr">
        <is>
          <t>Boleto "56365" do cliente "JAQUELINE DO VALE NUNES"</t>
        </is>
      </c>
      <c r="G1079" s="2" t="inlineStr">
        <is>
          <t>system</t>
        </is>
      </c>
      <c r="H1079" s="2" t="inlineStr">
        <is>
          <t>02.03.02.01 : Cobrança Bancaria</t>
        </is>
      </c>
      <c r="I1079" s="2" t="n"/>
      <c r="J1079" s="3" t="n">
        <v>-0.88</v>
      </c>
      <c r="K1079" s="2">
        <f>IF(H1079="02.09 : Outras Saídas", IF(OR(ISNUMBER(SEARCH("CHEQUE COMPE SICREDI", F1079)), ISNUMBER(SEARCH("aniversario", F1079)), ISNUMBER(SEARCH("churrasco", F1079)), ISNUMBER(SEARCH("bolo", F1079)), ISNUMBER(SEARCH("SUPERMERCADO", F1079))), "6.1 Despesas Administrativas (Pessoal)", IF(OR(ISNUMBER(SEARCH("DLKNET", F1079)), ISNUMBER(SEARCH("TESTE", F1079))), "6.1 Despesas Administrativas (Gerais)", IFERROR(VLOOKUP(H1079, De_Para!A:B, 2, FALSE), "NÃO MAPEADO"))), IFERROR(VLOOKUP(H1079, De_Para!A:B, 2, FALSE), "NÃO MAPEADO"))</f>
        <v/>
      </c>
    </row>
    <row r="1080">
      <c r="A1080" s="2" t="inlineStr">
        <is>
          <t>68607</t>
        </is>
      </c>
      <c r="B1080" s="2" t="inlineStr">
        <is>
          <t>Sicoob</t>
        </is>
      </c>
      <c r="C1080" s="2" t="inlineStr">
        <is>
          <t>11/06/2026</t>
        </is>
      </c>
      <c r="D1080" s="2" t="inlineStr">
        <is>
          <t>11/06/2026</t>
        </is>
      </c>
      <c r="E1080" s="2" t="inlineStr">
        <is>
          <t>Dinheiro</t>
        </is>
      </c>
      <c r="F1080" s="2" t="inlineStr">
        <is>
          <t>Boleto "56365" do cliente "JAQUELINE DO VALE NUNES"</t>
        </is>
      </c>
      <c r="G1080" s="2" t="inlineStr">
        <is>
          <t>system</t>
        </is>
      </c>
      <c r="H1080" s="2" t="inlineStr">
        <is>
          <t>01.01.01 : Mensalidade</t>
        </is>
      </c>
      <c r="I1080" s="3" t="n">
        <v>102.03</v>
      </c>
      <c r="J1080" s="2" t="n"/>
      <c r="K1080" s="2">
        <f>IF(H1080="02.09 : Outras Saídas", IF(OR(ISNUMBER(SEARCH("CHEQUE COMPE SICREDI", F1080)), ISNUMBER(SEARCH("aniversario", F1080)), ISNUMBER(SEARCH("churrasco", F1080)), ISNUMBER(SEARCH("bolo", F1080)), ISNUMBER(SEARCH("SUPERMERCADO", F1080))), "6.1 Despesas Administrativas (Pessoal)", IF(OR(ISNUMBER(SEARCH("DLKNET", F1080)), ISNUMBER(SEARCH("TESTE", F1080))), "6.1 Despesas Administrativas (Gerais)", IFERROR(VLOOKUP(H1080, De_Para!A:B, 2, FALSE), "NÃO MAPEADO"))), IFERROR(VLOOKUP(H1080, De_Para!A:B, 2, FALSE), "NÃO MAPEADO"))</f>
        <v/>
      </c>
    </row>
    <row r="1081">
      <c r="A1081" s="2" t="inlineStr">
        <is>
          <t>68606</t>
        </is>
      </c>
      <c r="B1081" s="2" t="inlineStr">
        <is>
          <t>Sicredi SNI</t>
        </is>
      </c>
      <c r="C1081" s="2" t="inlineStr">
        <is>
          <t>11/06/2026</t>
        </is>
      </c>
      <c r="D1081" s="2" t="inlineStr">
        <is>
          <t>11/06/2026</t>
        </is>
      </c>
      <c r="E1081" s="2" t="inlineStr">
        <is>
          <t>PIX</t>
        </is>
      </c>
      <c r="F1081" s="2" t="inlineStr">
        <is>
          <t>Boleto "60888" do cliente "APARECIDO DONIZETE CAVALHEIRO"</t>
        </is>
      </c>
      <c r="G1081" s="2" t="inlineStr">
        <is>
          <t>system</t>
        </is>
      </c>
      <c r="H1081" s="2" t="inlineStr">
        <is>
          <t>02.03.02.01 : Cobrança Bancaria</t>
        </is>
      </c>
      <c r="I1081" s="2" t="n"/>
      <c r="J1081" s="3" t="n">
        <v>-0.49</v>
      </c>
      <c r="K1081" s="2">
        <f>IF(H1081="02.09 : Outras Saídas", IF(OR(ISNUMBER(SEARCH("CHEQUE COMPE SICREDI", F1081)), ISNUMBER(SEARCH("aniversario", F1081)), ISNUMBER(SEARCH("churrasco", F1081)), ISNUMBER(SEARCH("bolo", F1081)), ISNUMBER(SEARCH("SUPERMERCADO", F1081))), "6.1 Despesas Administrativas (Pessoal)", IF(OR(ISNUMBER(SEARCH("DLKNET", F1081)), ISNUMBER(SEARCH("TESTE", F1081))), "6.1 Despesas Administrativas (Gerais)", IFERROR(VLOOKUP(H1081, De_Para!A:B, 2, FALSE), "NÃO MAPEADO"))), IFERROR(VLOOKUP(H1081, De_Para!A:B, 2, FALSE), "NÃO MAPEADO"))</f>
        <v/>
      </c>
    </row>
    <row r="1082">
      <c r="A1082" s="2" t="inlineStr">
        <is>
          <t>68605</t>
        </is>
      </c>
      <c r="B1082" s="2" t="inlineStr">
        <is>
          <t>Sicredi SNI</t>
        </is>
      </c>
      <c r="C1082" s="2" t="inlineStr">
        <is>
          <t>11/06/2026</t>
        </is>
      </c>
      <c r="D1082" s="2" t="inlineStr">
        <is>
          <t>11/06/2026</t>
        </is>
      </c>
      <c r="E1082" s="2" t="inlineStr">
        <is>
          <t>PIX</t>
        </is>
      </c>
      <c r="F1082" s="2" t="inlineStr">
        <is>
          <t>Boleto "60888" do cliente "APARECIDO DONIZETE CAVALHEIRO"</t>
        </is>
      </c>
      <c r="G1082" s="2" t="inlineStr">
        <is>
          <t>system</t>
        </is>
      </c>
      <c r="H1082" s="2" t="inlineStr">
        <is>
          <t>01.01.01 : Mensalidade</t>
        </is>
      </c>
      <c r="I1082" s="3" t="n">
        <v>105</v>
      </c>
      <c r="J1082" s="2" t="n"/>
      <c r="K1082" s="2">
        <f>IF(H1082="02.09 : Outras Saídas", IF(OR(ISNUMBER(SEARCH("CHEQUE COMPE SICREDI", F1082)), ISNUMBER(SEARCH("aniversario", F1082)), ISNUMBER(SEARCH("churrasco", F1082)), ISNUMBER(SEARCH("bolo", F1082)), ISNUMBER(SEARCH("SUPERMERCADO", F1082))), "6.1 Despesas Administrativas (Pessoal)", IF(OR(ISNUMBER(SEARCH("DLKNET", F1082)), ISNUMBER(SEARCH("TESTE", F1082))), "6.1 Despesas Administrativas (Gerais)", IFERROR(VLOOKUP(H1082, De_Para!A:B, 2, FALSE), "NÃO MAPEADO"))), IFERROR(VLOOKUP(H1082, De_Para!A:B, 2, FALSE), "NÃO MAPEADO"))</f>
        <v/>
      </c>
    </row>
    <row r="1083">
      <c r="A1083" s="2" t="inlineStr">
        <is>
          <t>68604</t>
        </is>
      </c>
      <c r="B1083" s="2" t="inlineStr">
        <is>
          <t>Sicredi SNI</t>
        </is>
      </c>
      <c r="C1083" s="2" t="inlineStr">
        <is>
          <t>11/06/2026</t>
        </is>
      </c>
      <c r="D1083" s="2" t="inlineStr">
        <is>
          <t>05/06/2026</t>
        </is>
      </c>
      <c r="E1083" s="2" t="inlineStr">
        <is>
          <t>Débito em Conta</t>
        </is>
      </c>
      <c r="F1083" s="2" t="inlineStr">
        <is>
          <t>TARIFA COBRANÇA</t>
        </is>
      </c>
      <c r="G1083" s="2" t="inlineStr">
        <is>
          <t>clau</t>
        </is>
      </c>
      <c r="H1083" s="2" t="inlineStr">
        <is>
          <t>02.03.03.01 : Tarifas Bancarias</t>
        </is>
      </c>
      <c r="I1083" s="2" t="n"/>
      <c r="J1083" s="3" t="n">
        <v>-23.54</v>
      </c>
      <c r="K1083" s="2">
        <f>IF(H1083="02.09 : Outras Saídas", IF(OR(ISNUMBER(SEARCH("CHEQUE COMPE SICREDI", F1083)), ISNUMBER(SEARCH("aniversario", F1083)), ISNUMBER(SEARCH("churrasco", F1083)), ISNUMBER(SEARCH("bolo", F1083)), ISNUMBER(SEARCH("SUPERMERCADO", F1083))), "6.1 Despesas Administrativas (Pessoal)", IF(OR(ISNUMBER(SEARCH("DLKNET", F1083)), ISNUMBER(SEARCH("TESTE", F1083))), "6.1 Despesas Administrativas (Gerais)", IFERROR(VLOOKUP(H1083, De_Para!A:B, 2, FALSE), "NÃO MAPEADO"))), IFERROR(VLOOKUP(H1083, De_Para!A:B, 2, FALSE), "NÃO MAPEADO"))</f>
        <v/>
      </c>
    </row>
    <row r="1084">
      <c r="A1084" s="2" t="inlineStr">
        <is>
          <t>68603</t>
        </is>
      </c>
      <c r="B1084" s="2" t="inlineStr">
        <is>
          <t>Sicoob</t>
        </is>
      </c>
      <c r="C1084" s="2" t="inlineStr">
        <is>
          <t>11/06/2026</t>
        </is>
      </c>
      <c r="D1084" s="2" t="inlineStr">
        <is>
          <t>08/06/2026</t>
        </is>
      </c>
      <c r="E1084" s="2" t="inlineStr">
        <is>
          <t>Débito em Conta</t>
        </is>
      </c>
      <c r="F1084" s="2" t="inlineStr">
        <is>
          <t>TARIFA COBRANÇA</t>
        </is>
      </c>
      <c r="G1084" s="2" t="inlineStr">
        <is>
          <t>clau</t>
        </is>
      </c>
      <c r="H1084" s="2" t="inlineStr">
        <is>
          <t>02.03.03.01 : Tarifas Bancarias</t>
        </is>
      </c>
      <c r="I1084" s="2" t="n"/>
      <c r="J1084" s="3" t="n">
        <v>-33.1</v>
      </c>
      <c r="K1084" s="2">
        <f>IF(H1084="02.09 : Outras Saídas", IF(OR(ISNUMBER(SEARCH("CHEQUE COMPE SICREDI", F1084)), ISNUMBER(SEARCH("aniversario", F1084)), ISNUMBER(SEARCH("churrasco", F1084)), ISNUMBER(SEARCH("bolo", F1084)), ISNUMBER(SEARCH("SUPERMERCADO", F1084))), "6.1 Despesas Administrativas (Pessoal)", IF(OR(ISNUMBER(SEARCH("DLKNET", F1084)), ISNUMBER(SEARCH("TESTE", F1084))), "6.1 Despesas Administrativas (Gerais)", IFERROR(VLOOKUP(H1084, De_Para!A:B, 2, FALSE), "NÃO MAPEADO"))), IFERROR(VLOOKUP(H1084, De_Para!A:B, 2, FALSE), "NÃO MAPEADO"))</f>
        <v/>
      </c>
    </row>
    <row r="1085">
      <c r="A1085" s="2" t="inlineStr">
        <is>
          <t>68602</t>
        </is>
      </c>
      <c r="B1085" s="2" t="inlineStr">
        <is>
          <t>Sicoob</t>
        </is>
      </c>
      <c r="C1085" s="2" t="inlineStr">
        <is>
          <t>11/06/2026</t>
        </is>
      </c>
      <c r="D1085" s="2" t="inlineStr">
        <is>
          <t>09/06/2026</t>
        </is>
      </c>
      <c r="E1085" s="2" t="inlineStr">
        <is>
          <t>Débito em Conta</t>
        </is>
      </c>
      <c r="F1085" s="2" t="inlineStr">
        <is>
          <t>TARIFA COBRANÇA</t>
        </is>
      </c>
      <c r="G1085" s="2" t="inlineStr">
        <is>
          <t>clau</t>
        </is>
      </c>
      <c r="H1085" s="2" t="inlineStr">
        <is>
          <t>02.03.03.01 : Tarifas Bancarias</t>
        </is>
      </c>
      <c r="I1085" s="2" t="n"/>
      <c r="J1085" s="3" t="n">
        <v>-29.06</v>
      </c>
      <c r="K1085" s="2">
        <f>IF(H1085="02.09 : Outras Saídas", IF(OR(ISNUMBER(SEARCH("CHEQUE COMPE SICREDI", F1085)), ISNUMBER(SEARCH("aniversario", F1085)), ISNUMBER(SEARCH("churrasco", F1085)), ISNUMBER(SEARCH("bolo", F1085)), ISNUMBER(SEARCH("SUPERMERCADO", F1085))), "6.1 Despesas Administrativas (Pessoal)", IF(OR(ISNUMBER(SEARCH("DLKNET", F1085)), ISNUMBER(SEARCH("TESTE", F1085))), "6.1 Despesas Administrativas (Gerais)", IFERROR(VLOOKUP(H1085, De_Para!A:B, 2, FALSE), "NÃO MAPEADO"))), IFERROR(VLOOKUP(H1085, De_Para!A:B, 2, FALSE), "NÃO MAPEADO"))</f>
        <v/>
      </c>
    </row>
    <row r="1086">
      <c r="A1086" s="2" t="inlineStr">
        <is>
          <t>68601</t>
        </is>
      </c>
      <c r="B1086" s="2" t="inlineStr">
        <is>
          <t>Sicoob</t>
        </is>
      </c>
      <c r="C1086" s="2" t="inlineStr">
        <is>
          <t>11/06/2026</t>
        </is>
      </c>
      <c r="D1086" s="2" t="inlineStr">
        <is>
          <t>10/06/2026</t>
        </is>
      </c>
      <c r="E1086" s="2" t="inlineStr">
        <is>
          <t>PIX</t>
        </is>
      </c>
      <c r="F1086" s="2" t="inlineStr">
        <is>
          <t>PIX EMITIDO OUTRA IF_x000D_
Pagamento Pix_x000D_
41.964.372 0001-15_x000D_
Referente a prestacao de servico tecnico_x000D_
mes de maio</t>
        </is>
      </c>
      <c r="G1086" s="2" t="inlineStr">
        <is>
          <t>clau</t>
        </is>
      </c>
      <c r="H1086" s="2" t="inlineStr">
        <is>
          <t>02.01.02.01 : Folha de Pagamento</t>
        </is>
      </c>
      <c r="I1086" s="2" t="n"/>
      <c r="J1086" s="3" t="n">
        <v>-9930.879999999999</v>
      </c>
      <c r="K1086" s="2">
        <f>IF(H1086="02.09 : Outras Saídas", IF(OR(ISNUMBER(SEARCH("CHEQUE COMPE SICREDI", F1086)), ISNUMBER(SEARCH("aniversario", F1086)), ISNUMBER(SEARCH("churrasco", F1086)), ISNUMBER(SEARCH("bolo", F1086)), ISNUMBER(SEARCH("SUPERMERCADO", F1086))), "6.1 Despesas Administrativas (Pessoal)", IF(OR(ISNUMBER(SEARCH("DLKNET", F1086)), ISNUMBER(SEARCH("TESTE", F1086))), "6.1 Despesas Administrativas (Gerais)", IFERROR(VLOOKUP(H1086, De_Para!A:B, 2, FALSE), "NÃO MAPEADO"))), IFERROR(VLOOKUP(H1086, De_Para!A:B, 2, FALSE), "NÃO MAPEADO"))</f>
        <v/>
      </c>
    </row>
    <row r="1087">
      <c r="A1087" s="2" t="inlineStr">
        <is>
          <t>68600</t>
        </is>
      </c>
      <c r="B1087" s="2" t="inlineStr">
        <is>
          <t>Sicoob</t>
        </is>
      </c>
      <c r="C1087" s="2" t="inlineStr">
        <is>
          <t>11/06/2026</t>
        </is>
      </c>
      <c r="D1087" s="2" t="inlineStr">
        <is>
          <t>10/06/2026</t>
        </is>
      </c>
      <c r="E1087" s="2" t="inlineStr">
        <is>
          <t>Débito em Conta</t>
        </is>
      </c>
      <c r="F1087" s="2" t="inlineStr">
        <is>
          <t>TARIFA COBRANÇA</t>
        </is>
      </c>
      <c r="G1087" s="2" t="inlineStr">
        <is>
          <t>clau</t>
        </is>
      </c>
      <c r="H1087" s="2" t="inlineStr">
        <is>
          <t>02.03.03.01 : Tarifas Bancarias</t>
        </is>
      </c>
      <c r="I1087" s="2" t="n"/>
      <c r="J1087" s="3" t="n">
        <v>-33.1</v>
      </c>
      <c r="K1087" s="2">
        <f>IF(H1087="02.09 : Outras Saídas", IF(OR(ISNUMBER(SEARCH("CHEQUE COMPE SICREDI", F1087)), ISNUMBER(SEARCH("aniversario", F1087)), ISNUMBER(SEARCH("churrasco", F1087)), ISNUMBER(SEARCH("bolo", F1087)), ISNUMBER(SEARCH("SUPERMERCADO", F1087))), "6.1 Despesas Administrativas (Pessoal)", IF(OR(ISNUMBER(SEARCH("DLKNET", F1087)), ISNUMBER(SEARCH("TESTE", F1087))), "6.1 Despesas Administrativas (Gerais)", IFERROR(VLOOKUP(H1087, De_Para!A:B, 2, FALSE), "NÃO MAPEADO"))), IFERROR(VLOOKUP(H1087, De_Para!A:B, 2, FALSE), "NÃO MAPEADO"))</f>
        <v/>
      </c>
    </row>
    <row r="1088">
      <c r="A1088" s="2" t="inlineStr">
        <is>
          <t>68598</t>
        </is>
      </c>
      <c r="B1088" s="2" t="inlineStr">
        <is>
          <t>Sicredi SNI</t>
        </is>
      </c>
      <c r="C1088" s="2" t="inlineStr">
        <is>
          <t>11/06/2026</t>
        </is>
      </c>
      <c r="D1088" s="2" t="inlineStr">
        <is>
          <t>10/06/2026</t>
        </is>
      </c>
      <c r="E1088" s="2" t="inlineStr">
        <is>
          <t>Débito em Conta</t>
        </is>
      </c>
      <c r="F1088" s="2" t="inlineStr">
        <is>
          <t>TARIFA COM R LIQUIDACAO</t>
        </is>
      </c>
      <c r="G1088" s="2" t="inlineStr">
        <is>
          <t>clau</t>
        </is>
      </c>
      <c r="H1088" s="2" t="inlineStr">
        <is>
          <t>02.03.03.09 : TARIFA COM R LIQUIDACAO</t>
        </is>
      </c>
      <c r="I1088" s="2" t="n"/>
      <c r="J1088" s="3" t="n">
        <v>-1.7</v>
      </c>
      <c r="K1088" s="2">
        <f>IF(H1088="02.09 : Outras Saídas", IF(OR(ISNUMBER(SEARCH("CHEQUE COMPE SICREDI", F1088)), ISNUMBER(SEARCH("aniversario", F1088)), ISNUMBER(SEARCH("churrasco", F1088)), ISNUMBER(SEARCH("bolo", F1088)), ISNUMBER(SEARCH("SUPERMERCADO", F1088))), "6.1 Despesas Administrativas (Pessoal)", IF(OR(ISNUMBER(SEARCH("DLKNET", F1088)), ISNUMBER(SEARCH("TESTE", F1088))), "6.1 Despesas Administrativas (Gerais)", IFERROR(VLOOKUP(H1088, De_Para!A:B, 2, FALSE), "NÃO MAPEADO"))), IFERROR(VLOOKUP(H1088, De_Para!A:B, 2, FALSE), "NÃO MAPEADO"))</f>
        <v/>
      </c>
    </row>
    <row r="1089">
      <c r="A1089" s="2" t="inlineStr">
        <is>
          <t>68597</t>
        </is>
      </c>
      <c r="B1089" s="2" t="inlineStr">
        <is>
          <t>Sicredi SNI</t>
        </is>
      </c>
      <c r="C1089" s="2" t="inlineStr">
        <is>
          <t>11/06/2026</t>
        </is>
      </c>
      <c r="D1089" s="2" t="inlineStr">
        <is>
          <t>10/06/2026</t>
        </is>
      </c>
      <c r="E1089" s="2" t="inlineStr">
        <is>
          <t>Débito em Conta</t>
        </is>
      </c>
      <c r="F1089" s="2" t="inlineStr">
        <is>
          <t>DEBITO CONVENIOS ID 0000107071622 COPEL DISTRIBU</t>
        </is>
      </c>
      <c r="G1089" s="2" t="inlineStr">
        <is>
          <t>clau</t>
        </is>
      </c>
      <c r="H1089" s="2" t="inlineStr">
        <is>
          <t>02.03.02.04 : Energia Eletrica</t>
        </is>
      </c>
      <c r="I1089" s="2" t="n"/>
      <c r="J1089" s="3" t="n">
        <v>-117.27</v>
      </c>
      <c r="K1089" s="2">
        <f>IF(H1089="02.09 : Outras Saídas", IF(OR(ISNUMBER(SEARCH("CHEQUE COMPE SICREDI", F1089)), ISNUMBER(SEARCH("aniversario", F1089)), ISNUMBER(SEARCH("churrasco", F1089)), ISNUMBER(SEARCH("bolo", F1089)), ISNUMBER(SEARCH("SUPERMERCADO", F1089))), "6.1 Despesas Administrativas (Pessoal)", IF(OR(ISNUMBER(SEARCH("DLKNET", F1089)), ISNUMBER(SEARCH("TESTE", F1089))), "6.1 Despesas Administrativas (Gerais)", IFERROR(VLOOKUP(H1089, De_Para!A:B, 2, FALSE), "NÃO MAPEADO"))), IFERROR(VLOOKUP(H1089, De_Para!A:B, 2, FALSE), "NÃO MAPEADO"))</f>
        <v/>
      </c>
    </row>
    <row r="1090">
      <c r="A1090" s="2" t="inlineStr">
        <is>
          <t>68596</t>
        </is>
      </c>
      <c r="B1090" s="2" t="inlineStr">
        <is>
          <t>Sicredi SNI</t>
        </is>
      </c>
      <c r="C1090" s="2" t="inlineStr">
        <is>
          <t>11/06/2026</t>
        </is>
      </c>
      <c r="D1090" s="2" t="inlineStr">
        <is>
          <t>10/06/2026</t>
        </is>
      </c>
      <c r="E1090" s="2" t="inlineStr">
        <is>
          <t>Débito em Conta</t>
        </is>
      </c>
      <c r="F1090" s="2" t="inlineStr">
        <is>
          <t>TARIFA COM R LIQUIDACAO</t>
        </is>
      </c>
      <c r="G1090" s="2" t="inlineStr">
        <is>
          <t>clau</t>
        </is>
      </c>
      <c r="H1090" s="2" t="inlineStr">
        <is>
          <t>02.03.03.09 : TARIFA COM R LIQUIDACAO</t>
        </is>
      </c>
      <c r="I1090" s="2" t="n"/>
      <c r="J1090" s="3" t="n">
        <v>-17</v>
      </c>
      <c r="K1090" s="2">
        <f>IF(H1090="02.09 : Outras Saídas", IF(OR(ISNUMBER(SEARCH("CHEQUE COMPE SICREDI", F1090)), ISNUMBER(SEARCH("aniversario", F1090)), ISNUMBER(SEARCH("churrasco", F1090)), ISNUMBER(SEARCH("bolo", F1090)), ISNUMBER(SEARCH("SUPERMERCADO", F1090))), "6.1 Despesas Administrativas (Pessoal)", IF(OR(ISNUMBER(SEARCH("DLKNET", F1090)), ISNUMBER(SEARCH("TESTE", F1090))), "6.1 Despesas Administrativas (Gerais)", IFERROR(VLOOKUP(H1090, De_Para!A:B, 2, FALSE), "NÃO MAPEADO"))), IFERROR(VLOOKUP(H1090, De_Para!A:B, 2, FALSE), "NÃO MAPEADO"))</f>
        <v/>
      </c>
    </row>
    <row r="1091">
      <c r="A1091" s="2" t="inlineStr">
        <is>
          <t>68595</t>
        </is>
      </c>
      <c r="B1091" s="2" t="inlineStr">
        <is>
          <t>Sicredi SNI</t>
        </is>
      </c>
      <c r="C1091" s="2" t="inlineStr">
        <is>
          <t>11/06/2026</t>
        </is>
      </c>
      <c r="D1091" s="2" t="inlineStr">
        <is>
          <t>10/06/2026</t>
        </is>
      </c>
      <c r="E1091" s="2" t="inlineStr">
        <is>
          <t>Débito em Conta</t>
        </is>
      </c>
      <c r="F1091" s="2" t="inlineStr">
        <is>
          <t>TARIFA COM R LIQUIDACAO</t>
        </is>
      </c>
      <c r="G1091" s="2" t="inlineStr">
        <is>
          <t>clau</t>
        </is>
      </c>
      <c r="H1091" s="2" t="inlineStr">
        <is>
          <t>02.03.03.09 : TARIFA COM R LIQUIDACAO</t>
        </is>
      </c>
      <c r="I1091" s="2" t="n"/>
      <c r="J1091" s="3" t="n">
        <v>-9.35</v>
      </c>
      <c r="K1091" s="2">
        <f>IF(H1091="02.09 : Outras Saídas", IF(OR(ISNUMBER(SEARCH("CHEQUE COMPE SICREDI", F1091)), ISNUMBER(SEARCH("aniversario", F1091)), ISNUMBER(SEARCH("churrasco", F1091)), ISNUMBER(SEARCH("bolo", F1091)), ISNUMBER(SEARCH("SUPERMERCADO", F1091))), "6.1 Despesas Administrativas (Pessoal)", IF(OR(ISNUMBER(SEARCH("DLKNET", F1091)), ISNUMBER(SEARCH("TESTE", F1091))), "6.1 Despesas Administrativas (Gerais)", IFERROR(VLOOKUP(H1091, De_Para!A:B, 2, FALSE), "NÃO MAPEADO"))), IFERROR(VLOOKUP(H1091, De_Para!A:B, 2, FALSE), "NÃO MAPEADO"))</f>
        <v/>
      </c>
    </row>
    <row r="1092">
      <c r="A1092" s="2" t="inlineStr">
        <is>
          <t>68594</t>
        </is>
      </c>
      <c r="B1092" s="2" t="inlineStr">
        <is>
          <t>Sicredi SNI</t>
        </is>
      </c>
      <c r="C1092" s="2" t="inlineStr">
        <is>
          <t>11/06/2026</t>
        </is>
      </c>
      <c r="D1092" s="2" t="inlineStr">
        <is>
          <t>10/06/2026</t>
        </is>
      </c>
      <c r="E1092" s="2" t="inlineStr">
        <is>
          <t>Boleto</t>
        </is>
      </c>
      <c r="F1092" s="2" t="inlineStr">
        <is>
          <t>LIQUIDACAO BOLETO 23809070000190 T S MONTENEGRO SGP</t>
        </is>
      </c>
      <c r="G1092" s="2" t="inlineStr">
        <is>
          <t>clau</t>
        </is>
      </c>
      <c r="H1092" s="2" t="inlineStr">
        <is>
          <t>02.01.02.05 : Consultoria Técnica</t>
        </is>
      </c>
      <c r="I1092" s="2" t="n"/>
      <c r="J1092" s="3" t="n">
        <v>-450</v>
      </c>
      <c r="K1092" s="2">
        <f>IF(H1092="02.09 : Outras Saídas", IF(OR(ISNUMBER(SEARCH("CHEQUE COMPE SICREDI", F1092)), ISNUMBER(SEARCH("aniversario", F1092)), ISNUMBER(SEARCH("churrasco", F1092)), ISNUMBER(SEARCH("bolo", F1092)), ISNUMBER(SEARCH("SUPERMERCADO", F1092))), "6.1 Despesas Administrativas (Pessoal)", IF(OR(ISNUMBER(SEARCH("DLKNET", F1092)), ISNUMBER(SEARCH("TESTE", F1092))), "6.1 Despesas Administrativas (Gerais)", IFERROR(VLOOKUP(H1092, De_Para!A:B, 2, FALSE), "NÃO MAPEADO"))), IFERROR(VLOOKUP(H1092, De_Para!A:B, 2, FALSE), "NÃO MAPEADO"))</f>
        <v/>
      </c>
    </row>
    <row r="1093">
      <c r="A1093" s="2" t="inlineStr">
        <is>
          <t>68593</t>
        </is>
      </c>
      <c r="B1093" s="2" t="inlineStr">
        <is>
          <t>Sicredi SNI</t>
        </is>
      </c>
      <c r="C1093" s="2" t="inlineStr">
        <is>
          <t>11/06/2026</t>
        </is>
      </c>
      <c r="D1093" s="2" t="inlineStr">
        <is>
          <t>10/06/2026</t>
        </is>
      </c>
      <c r="E1093" s="2" t="inlineStr">
        <is>
          <t>PIX</t>
        </is>
      </c>
      <c r="F1093" s="2" t="inlineStr">
        <is>
          <t>PAGAMENTO PIX 02690815931 BRIGIDA APARECIDA DOS</t>
        </is>
      </c>
      <c r="G1093" s="2" t="inlineStr">
        <is>
          <t>clau</t>
        </is>
      </c>
      <c r="H1093" s="2" t="inlineStr">
        <is>
          <t>02.03.02.26 : Diarista</t>
        </is>
      </c>
      <c r="I1093" s="2" t="n"/>
      <c r="J1093" s="3" t="n">
        <v>-140</v>
      </c>
      <c r="K1093" s="2">
        <f>IF(H1093="02.09 : Outras Saídas", IF(OR(ISNUMBER(SEARCH("CHEQUE COMPE SICREDI", F1093)), ISNUMBER(SEARCH("aniversario", F1093)), ISNUMBER(SEARCH("churrasco", F1093)), ISNUMBER(SEARCH("bolo", F1093)), ISNUMBER(SEARCH("SUPERMERCADO", F1093))), "6.1 Despesas Administrativas (Pessoal)", IF(OR(ISNUMBER(SEARCH("DLKNET", F1093)), ISNUMBER(SEARCH("TESTE", F1093))), "6.1 Despesas Administrativas (Gerais)", IFERROR(VLOOKUP(H1093, De_Para!A:B, 2, FALSE), "NÃO MAPEADO"))), IFERROR(VLOOKUP(H1093, De_Para!A:B, 2, FALSE), "NÃO MAPEADO"))</f>
        <v/>
      </c>
    </row>
    <row r="1094">
      <c r="A1094" s="2" t="inlineStr">
        <is>
          <t>68592</t>
        </is>
      </c>
      <c r="B1094" s="2" t="inlineStr">
        <is>
          <t>Sicredi SNI</t>
        </is>
      </c>
      <c r="C1094" s="2" t="inlineStr">
        <is>
          <t>11/06/2026</t>
        </is>
      </c>
      <c r="D1094" s="2" t="inlineStr">
        <is>
          <t>10/06/2026</t>
        </is>
      </c>
      <c r="E1094" s="2" t="inlineStr">
        <is>
          <t>PIX</t>
        </is>
      </c>
      <c r="F1094" s="2" t="inlineStr">
        <is>
          <t>PAGAMENTO PIX 04730311914 KARISA APARECIDA DOS S</t>
        </is>
      </c>
      <c r="G1094" s="2" t="inlineStr">
        <is>
          <t>clau</t>
        </is>
      </c>
      <c r="H1094" s="2" t="inlineStr">
        <is>
          <t>02.01.05 : Custo c/ Loc das Torres</t>
        </is>
      </c>
      <c r="I1094" s="2" t="n"/>
      <c r="J1094" s="3" t="n">
        <v>-250</v>
      </c>
      <c r="K1094" s="2">
        <f>IF(H1094="02.09 : Outras Saídas", IF(OR(ISNUMBER(SEARCH("CHEQUE COMPE SICREDI", F1094)), ISNUMBER(SEARCH("aniversario", F1094)), ISNUMBER(SEARCH("churrasco", F1094)), ISNUMBER(SEARCH("bolo", F1094)), ISNUMBER(SEARCH("SUPERMERCADO", F1094))), "6.1 Despesas Administrativas (Pessoal)", IF(OR(ISNUMBER(SEARCH("DLKNET", F1094)), ISNUMBER(SEARCH("TESTE", F1094))), "6.1 Despesas Administrativas (Gerais)", IFERROR(VLOOKUP(H1094, De_Para!A:B, 2, FALSE), "NÃO MAPEADO"))), IFERROR(VLOOKUP(H1094, De_Para!A:B, 2, FALSE), "NÃO MAPEADO"))</f>
        <v/>
      </c>
    </row>
    <row r="1095">
      <c r="A1095" s="2" t="inlineStr">
        <is>
          <t>68591</t>
        </is>
      </c>
      <c r="B1095" s="2" t="inlineStr">
        <is>
          <t>Sicredi SNI</t>
        </is>
      </c>
      <c r="C1095" s="2" t="inlineStr">
        <is>
          <t>11/06/2026</t>
        </is>
      </c>
      <c r="D1095" s="2" t="inlineStr">
        <is>
          <t>10/06/2026</t>
        </is>
      </c>
      <c r="E1095" s="2" t="inlineStr">
        <is>
          <t>PIX</t>
        </is>
      </c>
      <c r="F1095" s="2" t="inlineStr">
        <is>
          <t>PAGAMENTO PIX 01984201964 NATALINA PANICHI DE OL</t>
        </is>
      </c>
      <c r="G1095" s="2" t="inlineStr">
        <is>
          <t>clau</t>
        </is>
      </c>
      <c r="H1095" s="2" t="inlineStr">
        <is>
          <t>02.01.05 : Custo c/ Loc das Torres</t>
        </is>
      </c>
      <c r="I1095" s="2" t="n"/>
      <c r="J1095" s="3" t="n">
        <v>-287</v>
      </c>
      <c r="K1095" s="2">
        <f>IF(H1095="02.09 : Outras Saídas", IF(OR(ISNUMBER(SEARCH("CHEQUE COMPE SICREDI", F1095)), ISNUMBER(SEARCH("aniversario", F1095)), ISNUMBER(SEARCH("churrasco", F1095)), ISNUMBER(SEARCH("bolo", F1095)), ISNUMBER(SEARCH("SUPERMERCADO", F1095))), "6.1 Despesas Administrativas (Pessoal)", IF(OR(ISNUMBER(SEARCH("DLKNET", F1095)), ISNUMBER(SEARCH("TESTE", F1095))), "6.1 Despesas Administrativas (Gerais)", IFERROR(VLOOKUP(H1095, De_Para!A:B, 2, FALSE), "NÃO MAPEADO"))), IFERROR(VLOOKUP(H1095, De_Para!A:B, 2, FALSE), "NÃO MAPEADO"))</f>
        <v/>
      </c>
    </row>
    <row r="1096">
      <c r="A1096" s="2" t="inlineStr">
        <is>
          <t>68590</t>
        </is>
      </c>
      <c r="B1096" s="2" t="inlineStr">
        <is>
          <t>Sicredi SNI</t>
        </is>
      </c>
      <c r="C1096" s="2" t="inlineStr">
        <is>
          <t>11/06/2026</t>
        </is>
      </c>
      <c r="D1096" s="2" t="inlineStr">
        <is>
          <t>10/06/2026</t>
        </is>
      </c>
      <c r="E1096" s="2" t="inlineStr">
        <is>
          <t>PIX</t>
        </is>
      </c>
      <c r="F1096" s="2" t="inlineStr">
        <is>
          <t>PAGAMENTO PIX 64864871949 MARYELLEN SANTOS CAMAR</t>
        </is>
      </c>
      <c r="G1096" s="2" t="inlineStr">
        <is>
          <t>clau</t>
        </is>
      </c>
      <c r="H1096" s="2" t="inlineStr">
        <is>
          <t>02.03.02.06 : Aluguel</t>
        </is>
      </c>
      <c r="I1096" s="2" t="n"/>
      <c r="J1096" s="3" t="n">
        <v>-1600</v>
      </c>
      <c r="K1096" s="2">
        <f>IF(H1096="02.09 : Outras Saídas", IF(OR(ISNUMBER(SEARCH("CHEQUE COMPE SICREDI", F1096)), ISNUMBER(SEARCH("aniversario", F1096)), ISNUMBER(SEARCH("churrasco", F1096)), ISNUMBER(SEARCH("bolo", F1096)), ISNUMBER(SEARCH("SUPERMERCADO", F1096))), "6.1 Despesas Administrativas (Pessoal)", IF(OR(ISNUMBER(SEARCH("DLKNET", F1096)), ISNUMBER(SEARCH("TESTE", F1096))), "6.1 Despesas Administrativas (Gerais)", IFERROR(VLOOKUP(H1096, De_Para!A:B, 2, FALSE), "NÃO MAPEADO"))), IFERROR(VLOOKUP(H1096, De_Para!A:B, 2, FALSE), "NÃO MAPEADO"))</f>
        <v/>
      </c>
    </row>
    <row r="1097">
      <c r="A1097" s="2" t="inlineStr">
        <is>
          <t>68589</t>
        </is>
      </c>
      <c r="B1097" s="2" t="inlineStr">
        <is>
          <t>Sicredi SNI</t>
        </is>
      </c>
      <c r="C1097" s="2" t="inlineStr">
        <is>
          <t>11/06/2026</t>
        </is>
      </c>
      <c r="D1097" s="2" t="inlineStr">
        <is>
          <t>10/06/2026</t>
        </is>
      </c>
      <c r="E1097" s="2" t="inlineStr">
        <is>
          <t>Boleto</t>
        </is>
      </c>
      <c r="F1097" s="2" t="inlineStr">
        <is>
          <t>PAGAMENTO PIX 78594777000119 CASUCHA PRE ESCOLAR</t>
        </is>
      </c>
      <c r="G1097" s="2" t="inlineStr">
        <is>
          <t>clau</t>
        </is>
      </c>
      <c r="H1097" s="2" t="inlineStr">
        <is>
          <t>02.03.02.07 : Pro-Labore</t>
        </is>
      </c>
      <c r="I1097" s="2" t="n"/>
      <c r="J1097" s="3" t="n">
        <v>-1026</v>
      </c>
      <c r="K1097" s="2">
        <f>IF(H1097="02.09 : Outras Saídas", IF(OR(ISNUMBER(SEARCH("CHEQUE COMPE SICREDI", F1097)), ISNUMBER(SEARCH("aniversario", F1097)), ISNUMBER(SEARCH("churrasco", F1097)), ISNUMBER(SEARCH("bolo", F1097)), ISNUMBER(SEARCH("SUPERMERCADO", F1097))), "6.1 Despesas Administrativas (Pessoal)", IF(OR(ISNUMBER(SEARCH("DLKNET", F1097)), ISNUMBER(SEARCH("TESTE", F1097))), "6.1 Despesas Administrativas (Gerais)", IFERROR(VLOOKUP(H1097, De_Para!A:B, 2, FALSE), "NÃO MAPEADO"))), IFERROR(VLOOKUP(H1097, De_Para!A:B, 2, FALSE), "NÃO MAPEADO"))</f>
        <v/>
      </c>
    </row>
    <row r="1098">
      <c r="A1098" s="2" t="inlineStr">
        <is>
          <t>68588</t>
        </is>
      </c>
      <c r="B1098" s="2" t="inlineStr">
        <is>
          <t>Sicredi SNI</t>
        </is>
      </c>
      <c r="C1098" s="2" t="inlineStr">
        <is>
          <t>11/06/2026</t>
        </is>
      </c>
      <c r="D1098" s="2" t="inlineStr">
        <is>
          <t>10/06/2026</t>
        </is>
      </c>
      <c r="E1098" s="2" t="inlineStr">
        <is>
          <t>PIX</t>
        </is>
      </c>
      <c r="F1098" s="2" t="inlineStr">
        <is>
          <t>PAGAMENTO PIX 89675878991 BERNADETE ALVES FARIA</t>
        </is>
      </c>
      <c r="G1098" s="2" t="inlineStr">
        <is>
          <t>clau</t>
        </is>
      </c>
      <c r="H1098" s="2" t="inlineStr">
        <is>
          <t>02.01.05 : Custo c/ Loc das Torres</t>
        </is>
      </c>
      <c r="I1098" s="2" t="n"/>
      <c r="J1098" s="3" t="n">
        <v>-800</v>
      </c>
      <c r="K1098" s="2">
        <f>IF(H1098="02.09 : Outras Saídas", IF(OR(ISNUMBER(SEARCH("CHEQUE COMPE SICREDI", F1098)), ISNUMBER(SEARCH("aniversario", F1098)), ISNUMBER(SEARCH("churrasco", F1098)), ISNUMBER(SEARCH("bolo", F1098)), ISNUMBER(SEARCH("SUPERMERCADO", F1098))), "6.1 Despesas Administrativas (Pessoal)", IF(OR(ISNUMBER(SEARCH("DLKNET", F1098)), ISNUMBER(SEARCH("TESTE", F1098))), "6.1 Despesas Administrativas (Gerais)", IFERROR(VLOOKUP(H1098, De_Para!A:B, 2, FALSE), "NÃO MAPEADO"))), IFERROR(VLOOKUP(H1098, De_Para!A:B, 2, FALSE), "NÃO MAPEADO"))</f>
        <v/>
      </c>
    </row>
    <row r="1099">
      <c r="A1099" s="2" t="inlineStr">
        <is>
          <t>68587</t>
        </is>
      </c>
      <c r="B1099" s="2" t="inlineStr">
        <is>
          <t>Sicredi SNI</t>
        </is>
      </c>
      <c r="C1099" s="2" t="inlineStr">
        <is>
          <t>11/06/2026</t>
        </is>
      </c>
      <c r="D1099" s="2" t="inlineStr">
        <is>
          <t>10/06/2026</t>
        </is>
      </c>
      <c r="E1099" s="2" t="inlineStr">
        <is>
          <t>PIX</t>
        </is>
      </c>
      <c r="F1099" s="2" t="inlineStr">
        <is>
          <t>PAGAMENTO PIX 02228102970 ADINAN DA COSTA</t>
        </is>
      </c>
      <c r="G1099" s="2" t="inlineStr">
        <is>
          <t>clau</t>
        </is>
      </c>
      <c r="H1099" s="2" t="inlineStr">
        <is>
          <t>02.01.05 : Custo c/ Loc das Torres</t>
        </is>
      </c>
      <c r="I1099" s="2" t="n"/>
      <c r="J1099" s="3" t="n">
        <v>-235</v>
      </c>
      <c r="K1099" s="2">
        <f>IF(H1099="02.09 : Outras Saídas", IF(OR(ISNUMBER(SEARCH("CHEQUE COMPE SICREDI", F1099)), ISNUMBER(SEARCH("aniversario", F1099)), ISNUMBER(SEARCH("churrasco", F1099)), ISNUMBER(SEARCH("bolo", F1099)), ISNUMBER(SEARCH("SUPERMERCADO", F1099))), "6.1 Despesas Administrativas (Pessoal)", IF(OR(ISNUMBER(SEARCH("DLKNET", F1099)), ISNUMBER(SEARCH("TESTE", F1099))), "6.1 Despesas Administrativas (Gerais)", IFERROR(VLOOKUP(H1099, De_Para!A:B, 2, FALSE), "NÃO MAPEADO"))), IFERROR(VLOOKUP(H1099, De_Para!A:B, 2, FALSE), "NÃO MAPEADO"))</f>
        <v/>
      </c>
    </row>
    <row r="1100">
      <c r="A1100" s="2" t="inlineStr">
        <is>
          <t>68586</t>
        </is>
      </c>
      <c r="B1100" s="2" t="inlineStr">
        <is>
          <t>Sicredi SNI</t>
        </is>
      </c>
      <c r="C1100" s="2" t="inlineStr">
        <is>
          <t>11/06/2026</t>
        </is>
      </c>
      <c r="D1100" s="2" t="inlineStr">
        <is>
          <t>10/06/2026</t>
        </is>
      </c>
      <c r="E1100" s="2" t="inlineStr">
        <is>
          <t>PIX</t>
        </is>
      </c>
      <c r="F1100" s="2" t="inlineStr">
        <is>
          <t>PAGAMENTO PIX 04914752921 Fabricio Candido Rossa</t>
        </is>
      </c>
      <c r="G1100" s="2" t="inlineStr">
        <is>
          <t>clau</t>
        </is>
      </c>
      <c r="H1100" s="2" t="inlineStr">
        <is>
          <t>02.01.05 : Custo c/ Loc das Torres</t>
        </is>
      </c>
      <c r="I1100" s="2" t="n"/>
      <c r="J1100" s="3" t="n">
        <v>-235</v>
      </c>
      <c r="K1100" s="2">
        <f>IF(H1100="02.09 : Outras Saídas", IF(OR(ISNUMBER(SEARCH("CHEQUE COMPE SICREDI", F1100)), ISNUMBER(SEARCH("aniversario", F1100)), ISNUMBER(SEARCH("churrasco", F1100)), ISNUMBER(SEARCH("bolo", F1100)), ISNUMBER(SEARCH("SUPERMERCADO", F1100))), "6.1 Despesas Administrativas (Pessoal)", IF(OR(ISNUMBER(SEARCH("DLKNET", F1100)), ISNUMBER(SEARCH("TESTE", F1100))), "6.1 Despesas Administrativas (Gerais)", IFERROR(VLOOKUP(H1100, De_Para!A:B, 2, FALSE), "NÃO MAPEADO"))), IFERROR(VLOOKUP(H1100, De_Para!A:B, 2, FALSE), "NÃO MAPEADO"))</f>
        <v/>
      </c>
    </row>
    <row r="1101">
      <c r="A1101" s="2" t="inlineStr">
        <is>
          <t>68585</t>
        </is>
      </c>
      <c r="B1101" s="2" t="inlineStr">
        <is>
          <t>Sicredi SNI</t>
        </is>
      </c>
      <c r="C1101" s="2" t="inlineStr">
        <is>
          <t>11/06/2026</t>
        </is>
      </c>
      <c r="D1101" s="2" t="inlineStr">
        <is>
          <t>10/06/2026</t>
        </is>
      </c>
      <c r="E1101" s="2" t="inlineStr">
        <is>
          <t>Cartão de Débito</t>
        </is>
      </c>
      <c r="F1101" s="2" t="inlineStr">
        <is>
          <t>COMPRAS NACIONAIS SUPERMERCADO CARREIRO JOAQUIM</t>
        </is>
      </c>
      <c r="G1101" s="2" t="inlineStr">
        <is>
          <t>clau</t>
        </is>
      </c>
      <c r="H1101" s="2" t="inlineStr">
        <is>
          <t>02.03.02.21 : Mat de Limpeza</t>
        </is>
      </c>
      <c r="I1101" s="2" t="n"/>
      <c r="J1101" s="3" t="n">
        <v>-80.91</v>
      </c>
      <c r="K1101" s="2">
        <f>IF(H1101="02.09 : Outras Saídas", IF(OR(ISNUMBER(SEARCH("CHEQUE COMPE SICREDI", F1101)), ISNUMBER(SEARCH("aniversario", F1101)), ISNUMBER(SEARCH("churrasco", F1101)), ISNUMBER(SEARCH("bolo", F1101)), ISNUMBER(SEARCH("SUPERMERCADO", F1101))), "6.1 Despesas Administrativas (Pessoal)", IF(OR(ISNUMBER(SEARCH("DLKNET", F1101)), ISNUMBER(SEARCH("TESTE", F1101))), "6.1 Despesas Administrativas (Gerais)", IFERROR(VLOOKUP(H1101, De_Para!A:B, 2, FALSE), "NÃO MAPEADO"))), IFERROR(VLOOKUP(H1101, De_Para!A:B, 2, FALSE), "NÃO MAPEADO"))</f>
        <v/>
      </c>
    </row>
    <row r="1102">
      <c r="A1102" s="2" t="inlineStr">
        <is>
          <t>68584</t>
        </is>
      </c>
      <c r="B1102" s="2" t="inlineStr">
        <is>
          <t>Sicredi SNI</t>
        </is>
      </c>
      <c r="C1102" s="2" t="inlineStr">
        <is>
          <t>11/06/2026</t>
        </is>
      </c>
      <c r="D1102" s="2" t="inlineStr">
        <is>
          <t>10/06/2026</t>
        </is>
      </c>
      <c r="E1102" s="2" t="inlineStr">
        <is>
          <t>PIX</t>
        </is>
      </c>
      <c r="F1102" s="2" t="inlineStr">
        <is>
          <t>PAGAMENTO PIX 27983668953 HAROLDO PARMEZAN</t>
        </is>
      </c>
      <c r="G1102" s="2" t="inlineStr">
        <is>
          <t>clau</t>
        </is>
      </c>
      <c r="H1102" s="2" t="inlineStr">
        <is>
          <t>02.01.05 : Custo c/ Loc das Torres</t>
        </is>
      </c>
      <c r="I1102" s="2" t="n"/>
      <c r="J1102" s="3" t="n">
        <v>-400</v>
      </c>
      <c r="K1102" s="2">
        <f>IF(H1102="02.09 : Outras Saídas", IF(OR(ISNUMBER(SEARCH("CHEQUE COMPE SICREDI", F1102)), ISNUMBER(SEARCH("aniversario", F1102)), ISNUMBER(SEARCH("churrasco", F1102)), ISNUMBER(SEARCH("bolo", F1102)), ISNUMBER(SEARCH("SUPERMERCADO", F1102))), "6.1 Despesas Administrativas (Pessoal)", IF(OR(ISNUMBER(SEARCH("DLKNET", F1102)), ISNUMBER(SEARCH("TESTE", F1102))), "6.1 Despesas Administrativas (Gerais)", IFERROR(VLOOKUP(H1102, De_Para!A:B, 2, FALSE), "NÃO MAPEADO"))), IFERROR(VLOOKUP(H1102, De_Para!A:B, 2, FALSE), "NÃO MAPEADO"))</f>
        <v/>
      </c>
    </row>
    <row r="1103">
      <c r="A1103" s="2" t="inlineStr">
        <is>
          <t>68583</t>
        </is>
      </c>
      <c r="B1103" s="2" t="inlineStr">
        <is>
          <t>Sicredi SNI</t>
        </is>
      </c>
      <c r="C1103" s="2" t="inlineStr">
        <is>
          <t>11/06/2026</t>
        </is>
      </c>
      <c r="D1103" s="2" t="inlineStr">
        <is>
          <t>10/06/2026</t>
        </is>
      </c>
      <c r="E1103" s="2" t="inlineStr">
        <is>
          <t>PIX</t>
        </is>
      </c>
      <c r="F1103" s="2" t="inlineStr">
        <is>
          <t>PAGAMENTO PIX 05434559983 PAULO ARTHUR TEIXEIRA</t>
        </is>
      </c>
      <c r="G1103" s="2" t="inlineStr">
        <is>
          <t>clau</t>
        </is>
      </c>
      <c r="H1103" s="2" t="inlineStr">
        <is>
          <t>02.01.02.05 : Consultoria Técnica</t>
        </is>
      </c>
      <c r="I1103" s="2" t="n"/>
      <c r="J1103" s="3" t="n">
        <v>-500</v>
      </c>
      <c r="K1103" s="2">
        <f>IF(H1103="02.09 : Outras Saídas", IF(OR(ISNUMBER(SEARCH("CHEQUE COMPE SICREDI", F1103)), ISNUMBER(SEARCH("aniversario", F1103)), ISNUMBER(SEARCH("churrasco", F1103)), ISNUMBER(SEARCH("bolo", F1103)), ISNUMBER(SEARCH("SUPERMERCADO", F1103))), "6.1 Despesas Administrativas (Pessoal)", IF(OR(ISNUMBER(SEARCH("DLKNET", F1103)), ISNUMBER(SEARCH("TESTE", F1103))), "6.1 Despesas Administrativas (Gerais)", IFERROR(VLOOKUP(H1103, De_Para!A:B, 2, FALSE), "NÃO MAPEADO"))), IFERROR(VLOOKUP(H1103, De_Para!A:B, 2, FALSE), "NÃO MAPEADO"))</f>
        <v/>
      </c>
    </row>
    <row r="1104">
      <c r="A1104" s="2" t="inlineStr">
        <is>
          <t>68582</t>
        </is>
      </c>
      <c r="B1104" s="2" t="inlineStr">
        <is>
          <t>Sicredi SNI</t>
        </is>
      </c>
      <c r="C1104" s="2" t="inlineStr">
        <is>
          <t>11/06/2026</t>
        </is>
      </c>
      <c r="D1104" s="2" t="inlineStr">
        <is>
          <t>10/06/2026</t>
        </is>
      </c>
      <c r="E1104" s="2" t="inlineStr">
        <is>
          <t>PIX</t>
        </is>
      </c>
      <c r="F1104" s="2" t="inlineStr">
        <is>
          <t>PAGAMENTO PIX 74028758904 ERIBERTO PEREIRA VALIM</t>
        </is>
      </c>
      <c r="G1104" s="2" t="inlineStr">
        <is>
          <t>clau</t>
        </is>
      </c>
      <c r="H1104" s="2" t="inlineStr">
        <is>
          <t>02.01.05 : Custo c/ Loc das Torres</t>
        </is>
      </c>
      <c r="I1104" s="2" t="n"/>
      <c r="J1104" s="3" t="n">
        <v>-500</v>
      </c>
      <c r="K1104" s="2">
        <f>IF(H1104="02.09 : Outras Saídas", IF(OR(ISNUMBER(SEARCH("CHEQUE COMPE SICREDI", F1104)), ISNUMBER(SEARCH("aniversario", F1104)), ISNUMBER(SEARCH("churrasco", F1104)), ISNUMBER(SEARCH("bolo", F1104)), ISNUMBER(SEARCH("SUPERMERCADO", F1104))), "6.1 Despesas Administrativas (Pessoal)", IF(OR(ISNUMBER(SEARCH("DLKNET", F1104)), ISNUMBER(SEARCH("TESTE", F1104))), "6.1 Despesas Administrativas (Gerais)", IFERROR(VLOOKUP(H1104, De_Para!A:B, 2, FALSE), "NÃO MAPEADO"))), IFERROR(VLOOKUP(H1104, De_Para!A:B, 2, FALSE), "NÃO MAPEADO"))</f>
        <v/>
      </c>
    </row>
    <row r="1105">
      <c r="A1105" s="2" t="inlineStr">
        <is>
          <t>68581</t>
        </is>
      </c>
      <c r="B1105" s="2" t="inlineStr">
        <is>
          <t>Sicredi SNI</t>
        </is>
      </c>
      <c r="C1105" s="2" t="inlineStr">
        <is>
          <t>11/06/2026</t>
        </is>
      </c>
      <c r="D1105" s="2" t="inlineStr">
        <is>
          <t>10/06/2026</t>
        </is>
      </c>
      <c r="E1105" s="2" t="inlineStr">
        <is>
          <t>Débito em Conta</t>
        </is>
      </c>
      <c r="F1105" s="2" t="inlineStr">
        <is>
          <t>MANUTENCAO DE TITULOS</t>
        </is>
      </c>
      <c r="G1105" s="2" t="inlineStr">
        <is>
          <t>clau</t>
        </is>
      </c>
      <c r="H1105" s="2" t="inlineStr">
        <is>
          <t>02.03.03.06 : MANUTENCAO DE TITULOS</t>
        </is>
      </c>
      <c r="I1105" s="2" t="n"/>
      <c r="J1105" s="3" t="n">
        <v>-12.72</v>
      </c>
      <c r="K1105" s="2">
        <f>IF(H1105="02.09 : Outras Saídas", IF(OR(ISNUMBER(SEARCH("CHEQUE COMPE SICREDI", F1105)), ISNUMBER(SEARCH("aniversario", F1105)), ISNUMBER(SEARCH("churrasco", F1105)), ISNUMBER(SEARCH("bolo", F1105)), ISNUMBER(SEARCH("SUPERMERCADO", F1105))), "6.1 Despesas Administrativas (Pessoal)", IF(OR(ISNUMBER(SEARCH("DLKNET", F1105)), ISNUMBER(SEARCH("TESTE", F1105))), "6.1 Despesas Administrativas (Gerais)", IFERROR(VLOOKUP(H1105, De_Para!A:B, 2, FALSE), "NÃO MAPEADO"))), IFERROR(VLOOKUP(H1105, De_Para!A:B, 2, FALSE), "NÃO MAPEADO"))</f>
        <v/>
      </c>
    </row>
    <row r="1106">
      <c r="A1106" s="2" t="inlineStr">
        <is>
          <t>68580</t>
        </is>
      </c>
      <c r="B1106" s="2" t="inlineStr">
        <is>
          <t>Sicoob</t>
        </is>
      </c>
      <c r="C1106" s="2" t="inlineStr">
        <is>
          <t>11/06/2026</t>
        </is>
      </c>
      <c r="D1106" s="2" t="inlineStr">
        <is>
          <t>11/06/2026</t>
        </is>
      </c>
      <c r="E1106" s="2" t="inlineStr">
        <is>
          <t>Dinheiro</t>
        </is>
      </c>
      <c r="F1106" s="2" t="inlineStr">
        <is>
          <t>Boleto "64295" do cliente "REGINALDO LEMES DA SILVA"</t>
        </is>
      </c>
      <c r="G1106" s="2" t="inlineStr">
        <is>
          <t>system</t>
        </is>
      </c>
      <c r="H1106" s="2" t="inlineStr">
        <is>
          <t>02.03.02.01 : Cobrança Bancaria</t>
        </is>
      </c>
      <c r="I1106" s="2" t="n"/>
      <c r="J1106" s="3" t="n">
        <v>-0.88</v>
      </c>
      <c r="K1106" s="2">
        <f>IF(H1106="02.09 : Outras Saídas", IF(OR(ISNUMBER(SEARCH("CHEQUE COMPE SICREDI", F1106)), ISNUMBER(SEARCH("aniversario", F1106)), ISNUMBER(SEARCH("churrasco", F1106)), ISNUMBER(SEARCH("bolo", F1106)), ISNUMBER(SEARCH("SUPERMERCADO", F1106))), "6.1 Despesas Administrativas (Pessoal)", IF(OR(ISNUMBER(SEARCH("DLKNET", F1106)), ISNUMBER(SEARCH("TESTE", F1106))), "6.1 Despesas Administrativas (Gerais)", IFERROR(VLOOKUP(H1106, De_Para!A:B, 2, FALSE), "NÃO MAPEADO"))), IFERROR(VLOOKUP(H1106, De_Para!A:B, 2, FALSE), "NÃO MAPEADO"))</f>
        <v/>
      </c>
    </row>
    <row r="1107">
      <c r="A1107" s="2" t="inlineStr">
        <is>
          <t>68579</t>
        </is>
      </c>
      <c r="B1107" s="2" t="inlineStr">
        <is>
          <t>Sicoob</t>
        </is>
      </c>
      <c r="C1107" s="2" t="inlineStr">
        <is>
          <t>11/06/2026</t>
        </is>
      </c>
      <c r="D1107" s="2" t="inlineStr">
        <is>
          <t>11/06/2026</t>
        </is>
      </c>
      <c r="E1107" s="2" t="inlineStr">
        <is>
          <t>Dinheiro</t>
        </is>
      </c>
      <c r="F1107" s="2" t="inlineStr">
        <is>
          <t>Boleto "64295" do cliente "REGINALDO LEMES DA SILVA"</t>
        </is>
      </c>
      <c r="G1107" s="2" t="inlineStr">
        <is>
          <t>system</t>
        </is>
      </c>
      <c r="H1107" s="2" t="inlineStr">
        <is>
          <t>01.01.01 : Mensalidade</t>
        </is>
      </c>
      <c r="I1107" s="3" t="n">
        <v>109.9</v>
      </c>
      <c r="J1107" s="2" t="n"/>
      <c r="K1107" s="2">
        <f>IF(H1107="02.09 : Outras Saídas", IF(OR(ISNUMBER(SEARCH("CHEQUE COMPE SICREDI", F1107)), ISNUMBER(SEARCH("aniversario", F1107)), ISNUMBER(SEARCH("churrasco", F1107)), ISNUMBER(SEARCH("bolo", F1107)), ISNUMBER(SEARCH("SUPERMERCADO", F1107))), "6.1 Despesas Administrativas (Pessoal)", IF(OR(ISNUMBER(SEARCH("DLKNET", F1107)), ISNUMBER(SEARCH("TESTE", F1107))), "6.1 Despesas Administrativas (Gerais)", IFERROR(VLOOKUP(H1107, De_Para!A:B, 2, FALSE), "NÃO MAPEADO"))), IFERROR(VLOOKUP(H1107, De_Para!A:B, 2, FALSE), "NÃO MAPEADO"))</f>
        <v/>
      </c>
    </row>
    <row r="1108">
      <c r="A1108" s="2" t="inlineStr">
        <is>
          <t>68578</t>
        </is>
      </c>
      <c r="B1108" s="2" t="inlineStr">
        <is>
          <t>Sicoob</t>
        </is>
      </c>
      <c r="C1108" s="2" t="inlineStr">
        <is>
          <t>11/06/2026</t>
        </is>
      </c>
      <c r="D1108" s="2" t="inlineStr">
        <is>
          <t>11/06/2026</t>
        </is>
      </c>
      <c r="E1108" s="2" t="inlineStr">
        <is>
          <t>Dinheiro</t>
        </is>
      </c>
      <c r="F1108" s="2" t="inlineStr">
        <is>
          <t>Boleto "63825" do cliente "REINALDO INOCENCIO DA SILVA"</t>
        </is>
      </c>
      <c r="G1108" s="2" t="inlineStr">
        <is>
          <t>system</t>
        </is>
      </c>
      <c r="H1108" s="2" t="inlineStr">
        <is>
          <t>02.03.02.01 : Cobrança Bancaria</t>
        </is>
      </c>
      <c r="I1108" s="2" t="n"/>
      <c r="J1108" s="3" t="n">
        <v>-0.88</v>
      </c>
      <c r="K1108" s="2">
        <f>IF(H1108="02.09 : Outras Saídas", IF(OR(ISNUMBER(SEARCH("CHEQUE COMPE SICREDI", F1108)), ISNUMBER(SEARCH("aniversario", F1108)), ISNUMBER(SEARCH("churrasco", F1108)), ISNUMBER(SEARCH("bolo", F1108)), ISNUMBER(SEARCH("SUPERMERCADO", F1108))), "6.1 Despesas Administrativas (Pessoal)", IF(OR(ISNUMBER(SEARCH("DLKNET", F1108)), ISNUMBER(SEARCH("TESTE", F1108))), "6.1 Despesas Administrativas (Gerais)", IFERROR(VLOOKUP(H1108, De_Para!A:B, 2, FALSE), "NÃO MAPEADO"))), IFERROR(VLOOKUP(H1108, De_Para!A:B, 2, FALSE), "NÃO MAPEADO"))</f>
        <v/>
      </c>
    </row>
    <row r="1109">
      <c r="A1109" s="2" t="inlineStr">
        <is>
          <t>68577</t>
        </is>
      </c>
      <c r="B1109" s="2" t="inlineStr">
        <is>
          <t>Sicoob</t>
        </is>
      </c>
      <c r="C1109" s="2" t="inlineStr">
        <is>
          <t>11/06/2026</t>
        </is>
      </c>
      <c r="D1109" s="2" t="inlineStr">
        <is>
          <t>11/06/2026</t>
        </is>
      </c>
      <c r="E1109" s="2" t="inlineStr">
        <is>
          <t>Dinheiro</t>
        </is>
      </c>
      <c r="F1109" s="2" t="inlineStr">
        <is>
          <t>Boleto "63825" do cliente "REINALDO INOCENCIO DA SILVA"</t>
        </is>
      </c>
      <c r="G1109" s="2" t="inlineStr">
        <is>
          <t>system</t>
        </is>
      </c>
      <c r="H1109" s="2" t="inlineStr">
        <is>
          <t>01.01.01 : Mensalidade</t>
        </is>
      </c>
      <c r="I1109" s="3" t="n">
        <v>107.02</v>
      </c>
      <c r="J1109" s="2" t="n"/>
      <c r="K1109" s="2">
        <f>IF(H1109="02.09 : Outras Saídas", IF(OR(ISNUMBER(SEARCH("CHEQUE COMPE SICREDI", F1109)), ISNUMBER(SEARCH("aniversario", F1109)), ISNUMBER(SEARCH("churrasco", F1109)), ISNUMBER(SEARCH("bolo", F1109)), ISNUMBER(SEARCH("SUPERMERCADO", F1109))), "6.1 Despesas Administrativas (Pessoal)", IF(OR(ISNUMBER(SEARCH("DLKNET", F1109)), ISNUMBER(SEARCH("TESTE", F1109))), "6.1 Despesas Administrativas (Gerais)", IFERROR(VLOOKUP(H1109, De_Para!A:B, 2, FALSE), "NÃO MAPEADO"))), IFERROR(VLOOKUP(H1109, De_Para!A:B, 2, FALSE), "NÃO MAPEADO"))</f>
        <v/>
      </c>
    </row>
    <row r="1110">
      <c r="A1110" s="2" t="inlineStr">
        <is>
          <t>68576</t>
        </is>
      </c>
      <c r="B1110" s="2" t="inlineStr">
        <is>
          <t>Sicoob</t>
        </is>
      </c>
      <c r="C1110" s="2" t="inlineStr">
        <is>
          <t>11/06/2026</t>
        </is>
      </c>
      <c r="D1110" s="2" t="inlineStr">
        <is>
          <t>11/06/2026</t>
        </is>
      </c>
      <c r="E1110" s="2" t="inlineStr">
        <is>
          <t>Dinheiro</t>
        </is>
      </c>
      <c r="F1110" s="2" t="inlineStr">
        <is>
          <t>Boleto "56038" do cliente "ANA MERI FERREIRA"</t>
        </is>
      </c>
      <c r="G1110" s="2" t="inlineStr">
        <is>
          <t>system</t>
        </is>
      </c>
      <c r="H1110" s="2" t="inlineStr">
        <is>
          <t>02.03.02.01 : Cobrança Bancaria</t>
        </is>
      </c>
      <c r="I1110" s="2" t="n"/>
      <c r="J1110" s="3" t="n">
        <v>-0.88</v>
      </c>
      <c r="K1110" s="2">
        <f>IF(H1110="02.09 : Outras Saídas", IF(OR(ISNUMBER(SEARCH("CHEQUE COMPE SICREDI", F1110)), ISNUMBER(SEARCH("aniversario", F1110)), ISNUMBER(SEARCH("churrasco", F1110)), ISNUMBER(SEARCH("bolo", F1110)), ISNUMBER(SEARCH("SUPERMERCADO", F1110))), "6.1 Despesas Administrativas (Pessoal)", IF(OR(ISNUMBER(SEARCH("DLKNET", F1110)), ISNUMBER(SEARCH("TESTE", F1110))), "6.1 Despesas Administrativas (Gerais)", IFERROR(VLOOKUP(H1110, De_Para!A:B, 2, FALSE), "NÃO MAPEADO"))), IFERROR(VLOOKUP(H1110, De_Para!A:B, 2, FALSE), "NÃO MAPEADO"))</f>
        <v/>
      </c>
    </row>
    <row r="1111">
      <c r="A1111" s="2" t="inlineStr">
        <is>
          <t>68575</t>
        </is>
      </c>
      <c r="B1111" s="2" t="inlineStr">
        <is>
          <t>Sicoob</t>
        </is>
      </c>
      <c r="C1111" s="2" t="inlineStr">
        <is>
          <t>11/06/2026</t>
        </is>
      </c>
      <c r="D1111" s="2" t="inlineStr">
        <is>
          <t>11/06/2026</t>
        </is>
      </c>
      <c r="E1111" s="2" t="inlineStr">
        <is>
          <t>Dinheiro</t>
        </is>
      </c>
      <c r="F1111" s="2" t="inlineStr">
        <is>
          <t>Boleto "56038" do cliente "ANA MERI FERREIRA"</t>
        </is>
      </c>
      <c r="G1111" s="2" t="inlineStr">
        <is>
          <t>system</t>
        </is>
      </c>
      <c r="H1111" s="2" t="inlineStr">
        <is>
          <t>01.01.01 : Mensalidade</t>
        </is>
      </c>
      <c r="I1111" s="3" t="n">
        <v>107.13</v>
      </c>
      <c r="J1111" s="2" t="n"/>
      <c r="K1111" s="2">
        <f>IF(H1111="02.09 : Outras Saídas", IF(OR(ISNUMBER(SEARCH("CHEQUE COMPE SICREDI", F1111)), ISNUMBER(SEARCH("aniversario", F1111)), ISNUMBER(SEARCH("churrasco", F1111)), ISNUMBER(SEARCH("bolo", F1111)), ISNUMBER(SEARCH("SUPERMERCADO", F1111))), "6.1 Despesas Administrativas (Pessoal)", IF(OR(ISNUMBER(SEARCH("DLKNET", F1111)), ISNUMBER(SEARCH("TESTE", F1111))), "6.1 Despesas Administrativas (Gerais)", IFERROR(VLOOKUP(H1111, De_Para!A:B, 2, FALSE), "NÃO MAPEADO"))), IFERROR(VLOOKUP(H1111, De_Para!A:B, 2, FALSE), "NÃO MAPEADO"))</f>
        <v/>
      </c>
    </row>
    <row r="1112">
      <c r="A1112" s="2" t="inlineStr">
        <is>
          <t>68574</t>
        </is>
      </c>
      <c r="B1112" s="2" t="inlineStr">
        <is>
          <t>Sicoob</t>
        </is>
      </c>
      <c r="C1112" s="2" t="inlineStr">
        <is>
          <t>11/06/2026</t>
        </is>
      </c>
      <c r="D1112" s="2" t="inlineStr">
        <is>
          <t>11/06/2026</t>
        </is>
      </c>
      <c r="E1112" s="2" t="inlineStr">
        <is>
          <t>Dinheiro</t>
        </is>
      </c>
      <c r="F1112" s="2" t="inlineStr">
        <is>
          <t>Boleto "55499" do cliente "REGINALDO INOCENCIO BARROS"</t>
        </is>
      </c>
      <c r="G1112" s="2" t="inlineStr">
        <is>
          <t>system</t>
        </is>
      </c>
      <c r="H1112" s="2" t="inlineStr">
        <is>
          <t>02.03.02.01 : Cobrança Bancaria</t>
        </is>
      </c>
      <c r="I1112" s="2" t="n"/>
      <c r="J1112" s="3" t="n">
        <v>-0.88</v>
      </c>
      <c r="K1112" s="2">
        <f>IF(H1112="02.09 : Outras Saídas", IF(OR(ISNUMBER(SEARCH("CHEQUE COMPE SICREDI", F1112)), ISNUMBER(SEARCH("aniversario", F1112)), ISNUMBER(SEARCH("churrasco", F1112)), ISNUMBER(SEARCH("bolo", F1112)), ISNUMBER(SEARCH("SUPERMERCADO", F1112))), "6.1 Despesas Administrativas (Pessoal)", IF(OR(ISNUMBER(SEARCH("DLKNET", F1112)), ISNUMBER(SEARCH("TESTE", F1112))), "6.1 Despesas Administrativas (Gerais)", IFERROR(VLOOKUP(H1112, De_Para!A:B, 2, FALSE), "NÃO MAPEADO"))), IFERROR(VLOOKUP(H1112, De_Para!A:B, 2, FALSE), "NÃO MAPEADO"))</f>
        <v/>
      </c>
    </row>
    <row r="1113">
      <c r="A1113" s="2" t="inlineStr">
        <is>
          <t>68573</t>
        </is>
      </c>
      <c r="B1113" s="2" t="inlineStr">
        <is>
          <t>Sicoob</t>
        </is>
      </c>
      <c r="C1113" s="2" t="inlineStr">
        <is>
          <t>11/06/2026</t>
        </is>
      </c>
      <c r="D1113" s="2" t="inlineStr">
        <is>
          <t>11/06/2026</t>
        </is>
      </c>
      <c r="E1113" s="2" t="inlineStr">
        <is>
          <t>Dinheiro</t>
        </is>
      </c>
      <c r="F1113" s="2" t="inlineStr">
        <is>
          <t>Boleto "55499" do cliente "REGINALDO INOCENCIO BARROS"</t>
        </is>
      </c>
      <c r="G1113" s="2" t="inlineStr">
        <is>
          <t>system</t>
        </is>
      </c>
      <c r="H1113" s="2" t="inlineStr">
        <is>
          <t>01.01.01 : Mensalidade</t>
        </is>
      </c>
      <c r="I1113" s="3" t="n">
        <v>107.13</v>
      </c>
      <c r="J1113" s="2" t="n"/>
      <c r="K1113" s="2">
        <f>IF(H1113="02.09 : Outras Saídas", IF(OR(ISNUMBER(SEARCH("CHEQUE COMPE SICREDI", F1113)), ISNUMBER(SEARCH("aniversario", F1113)), ISNUMBER(SEARCH("churrasco", F1113)), ISNUMBER(SEARCH("bolo", F1113)), ISNUMBER(SEARCH("SUPERMERCADO", F1113))), "6.1 Despesas Administrativas (Pessoal)", IF(OR(ISNUMBER(SEARCH("DLKNET", F1113)), ISNUMBER(SEARCH("TESTE", F1113))), "6.1 Despesas Administrativas (Gerais)", IFERROR(VLOOKUP(H1113, De_Para!A:B, 2, FALSE), "NÃO MAPEADO"))), IFERROR(VLOOKUP(H1113, De_Para!A:B, 2, FALSE), "NÃO MAPEADO"))</f>
        <v/>
      </c>
    </row>
    <row r="1114">
      <c r="A1114" s="2" t="inlineStr">
        <is>
          <t>68572</t>
        </is>
      </c>
      <c r="B1114" s="2" t="inlineStr">
        <is>
          <t>Sicredi SNI</t>
        </is>
      </c>
      <c r="C1114" s="2" t="inlineStr">
        <is>
          <t>11/06/2026</t>
        </is>
      </c>
      <c r="D1114" s="2" t="inlineStr">
        <is>
          <t>11/06/2026</t>
        </is>
      </c>
      <c r="E1114" s="2" t="inlineStr">
        <is>
          <t>PIX</t>
        </is>
      </c>
      <c r="F1114" s="2" t="inlineStr">
        <is>
          <t>Boleto "67095" do cliente "DORIVAL MODESTO DA SILVA"</t>
        </is>
      </c>
      <c r="G1114" s="2" t="inlineStr">
        <is>
          <t>system</t>
        </is>
      </c>
      <c r="H1114" s="2" t="inlineStr">
        <is>
          <t>02.03.02.01 : Cobrança Bancaria</t>
        </is>
      </c>
      <c r="I1114" s="2" t="n"/>
      <c r="J1114" s="3" t="n">
        <v>-0.49</v>
      </c>
      <c r="K1114" s="2">
        <f>IF(H1114="02.09 : Outras Saídas", IF(OR(ISNUMBER(SEARCH("CHEQUE COMPE SICREDI", F1114)), ISNUMBER(SEARCH("aniversario", F1114)), ISNUMBER(SEARCH("churrasco", F1114)), ISNUMBER(SEARCH("bolo", F1114)), ISNUMBER(SEARCH("SUPERMERCADO", F1114))), "6.1 Despesas Administrativas (Pessoal)", IF(OR(ISNUMBER(SEARCH("DLKNET", F1114)), ISNUMBER(SEARCH("TESTE", F1114))), "6.1 Despesas Administrativas (Gerais)", IFERROR(VLOOKUP(H1114, De_Para!A:B, 2, FALSE), "NÃO MAPEADO"))), IFERROR(VLOOKUP(H1114, De_Para!A:B, 2, FALSE), "NÃO MAPEADO"))</f>
        <v/>
      </c>
    </row>
    <row r="1115">
      <c r="A1115" s="2" t="inlineStr">
        <is>
          <t>68571</t>
        </is>
      </c>
      <c r="B1115" s="2" t="inlineStr">
        <is>
          <t>Sicredi SNI</t>
        </is>
      </c>
      <c r="C1115" s="2" t="inlineStr">
        <is>
          <t>11/06/2026</t>
        </is>
      </c>
      <c r="D1115" s="2" t="inlineStr">
        <is>
          <t>11/06/2026</t>
        </is>
      </c>
      <c r="E1115" s="2" t="inlineStr">
        <is>
          <t>PIX</t>
        </is>
      </c>
      <c r="F1115" s="2" t="inlineStr">
        <is>
          <t>Boleto "67095" do cliente "DORIVAL MODESTO DA SILVA"</t>
        </is>
      </c>
      <c r="G1115" s="2" t="inlineStr">
        <is>
          <t>system</t>
        </is>
      </c>
      <c r="H1115" s="2" t="inlineStr">
        <is>
          <t>01.03.01 : Mensalidade</t>
        </is>
      </c>
      <c r="I1115" s="3" t="n">
        <v>69.90000000000001</v>
      </c>
      <c r="J1115" s="2" t="n"/>
      <c r="K1115" s="2">
        <f>IF(H1115="02.09 : Outras Saídas", IF(OR(ISNUMBER(SEARCH("CHEQUE COMPE SICREDI", F1115)), ISNUMBER(SEARCH("aniversario", F1115)), ISNUMBER(SEARCH("churrasco", F1115)), ISNUMBER(SEARCH("bolo", F1115)), ISNUMBER(SEARCH("SUPERMERCADO", F1115))), "6.1 Despesas Administrativas (Pessoal)", IF(OR(ISNUMBER(SEARCH("DLKNET", F1115)), ISNUMBER(SEARCH("TESTE", F1115))), "6.1 Despesas Administrativas (Gerais)", IFERROR(VLOOKUP(H1115, De_Para!A:B, 2, FALSE), "NÃO MAPEADO"))), IFERROR(VLOOKUP(H1115, De_Para!A:B, 2, FALSE), "NÃO MAPEADO"))</f>
        <v/>
      </c>
    </row>
    <row r="1116">
      <c r="A1116" s="2" t="inlineStr">
        <is>
          <t>68570</t>
        </is>
      </c>
      <c r="B1116" s="2" t="inlineStr">
        <is>
          <t>Sicredi SNI</t>
        </is>
      </c>
      <c r="C1116" s="2" t="inlineStr">
        <is>
          <t>11/06/2026</t>
        </is>
      </c>
      <c r="D1116" s="2" t="inlineStr">
        <is>
          <t>11/06/2026</t>
        </is>
      </c>
      <c r="E1116" s="2" t="inlineStr">
        <is>
          <t>PIX</t>
        </is>
      </c>
      <c r="F1116" s="2" t="inlineStr">
        <is>
          <t>Boleto "62068" do cliente "CARLOS VALENTIN TANGERINO FILHO"</t>
        </is>
      </c>
      <c r="G1116" s="2" t="inlineStr">
        <is>
          <t>system</t>
        </is>
      </c>
      <c r="H1116" s="2" t="inlineStr">
        <is>
          <t>02.03.02.01 : Cobrança Bancaria</t>
        </is>
      </c>
      <c r="I1116" s="2" t="n"/>
      <c r="J1116" s="3" t="n">
        <v>-0.49</v>
      </c>
      <c r="K1116" s="2">
        <f>IF(H1116="02.09 : Outras Saídas", IF(OR(ISNUMBER(SEARCH("CHEQUE COMPE SICREDI", F1116)), ISNUMBER(SEARCH("aniversario", F1116)), ISNUMBER(SEARCH("churrasco", F1116)), ISNUMBER(SEARCH("bolo", F1116)), ISNUMBER(SEARCH("SUPERMERCADO", F1116))), "6.1 Despesas Administrativas (Pessoal)", IF(OR(ISNUMBER(SEARCH("DLKNET", F1116)), ISNUMBER(SEARCH("TESTE", F1116))), "6.1 Despesas Administrativas (Gerais)", IFERROR(VLOOKUP(H1116, De_Para!A:B, 2, FALSE), "NÃO MAPEADO"))), IFERROR(VLOOKUP(H1116, De_Para!A:B, 2, FALSE), "NÃO MAPEADO"))</f>
        <v/>
      </c>
    </row>
    <row r="1117">
      <c r="A1117" s="2" t="inlineStr">
        <is>
          <t>68569</t>
        </is>
      </c>
      <c r="B1117" s="2" t="inlineStr">
        <is>
          <t>Sicredi SNI</t>
        </is>
      </c>
      <c r="C1117" s="2" t="inlineStr">
        <is>
          <t>11/06/2026</t>
        </is>
      </c>
      <c r="D1117" s="2" t="inlineStr">
        <is>
          <t>11/06/2026</t>
        </is>
      </c>
      <c r="E1117" s="2" t="inlineStr">
        <is>
          <t>PIX</t>
        </is>
      </c>
      <c r="F1117" s="2" t="inlineStr">
        <is>
          <t>Boleto "62068" do cliente "CARLOS VALENTIN TANGERINO FILHO"</t>
        </is>
      </c>
      <c r="G1117" s="2" t="inlineStr">
        <is>
          <t>system</t>
        </is>
      </c>
      <c r="H1117" s="2" t="inlineStr">
        <is>
          <t>01.03.01 : Mensalidade</t>
        </is>
      </c>
      <c r="I1117" s="3" t="n">
        <v>107.14</v>
      </c>
      <c r="J1117" s="2" t="n"/>
      <c r="K1117" s="2">
        <f>IF(H1117="02.09 : Outras Saídas", IF(OR(ISNUMBER(SEARCH("CHEQUE COMPE SICREDI", F1117)), ISNUMBER(SEARCH("aniversario", F1117)), ISNUMBER(SEARCH("churrasco", F1117)), ISNUMBER(SEARCH("bolo", F1117)), ISNUMBER(SEARCH("SUPERMERCADO", F1117))), "6.1 Despesas Administrativas (Pessoal)", IF(OR(ISNUMBER(SEARCH("DLKNET", F1117)), ISNUMBER(SEARCH("TESTE", F1117))), "6.1 Despesas Administrativas (Gerais)", IFERROR(VLOOKUP(H1117, De_Para!A:B, 2, FALSE), "NÃO MAPEADO"))), IFERROR(VLOOKUP(H1117, De_Para!A:B, 2, FALSE), "NÃO MAPEADO"))</f>
        <v/>
      </c>
    </row>
    <row r="1118">
      <c r="A1118" s="2" t="inlineStr">
        <is>
          <t>68568</t>
        </is>
      </c>
      <c r="B1118" s="2" t="inlineStr">
        <is>
          <t>Sicredi SNI</t>
        </is>
      </c>
      <c r="C1118" s="2" t="inlineStr">
        <is>
          <t>11/06/2026</t>
        </is>
      </c>
      <c r="D1118" s="2" t="inlineStr">
        <is>
          <t>11/06/2026</t>
        </is>
      </c>
      <c r="E1118" s="2" t="inlineStr">
        <is>
          <t>PIX</t>
        </is>
      </c>
      <c r="F1118" s="2" t="inlineStr">
        <is>
          <t>Boleto "62101" do cliente "ANTONIO CARLOS JEPP"</t>
        </is>
      </c>
      <c r="G1118" s="2" t="inlineStr">
        <is>
          <t>system</t>
        </is>
      </c>
      <c r="H1118" s="2" t="inlineStr">
        <is>
          <t>02.03.02.01 : Cobrança Bancaria</t>
        </is>
      </c>
      <c r="I1118" s="2" t="n"/>
      <c r="J1118" s="3" t="n">
        <v>-0.49</v>
      </c>
      <c r="K1118" s="2">
        <f>IF(H1118="02.09 : Outras Saídas", IF(OR(ISNUMBER(SEARCH("CHEQUE COMPE SICREDI", F1118)), ISNUMBER(SEARCH("aniversario", F1118)), ISNUMBER(SEARCH("churrasco", F1118)), ISNUMBER(SEARCH("bolo", F1118)), ISNUMBER(SEARCH("SUPERMERCADO", F1118))), "6.1 Despesas Administrativas (Pessoal)", IF(OR(ISNUMBER(SEARCH("DLKNET", F1118)), ISNUMBER(SEARCH("TESTE", F1118))), "6.1 Despesas Administrativas (Gerais)", IFERROR(VLOOKUP(H1118, De_Para!A:B, 2, FALSE), "NÃO MAPEADO"))), IFERROR(VLOOKUP(H1118, De_Para!A:B, 2, FALSE), "NÃO MAPEADO"))</f>
        <v/>
      </c>
    </row>
    <row r="1119">
      <c r="A1119" s="2" t="inlineStr">
        <is>
          <t>68567</t>
        </is>
      </c>
      <c r="B1119" s="2" t="inlineStr">
        <is>
          <t>Sicredi SNI</t>
        </is>
      </c>
      <c r="C1119" s="2" t="inlineStr">
        <is>
          <t>11/06/2026</t>
        </is>
      </c>
      <c r="D1119" s="2" t="inlineStr">
        <is>
          <t>11/06/2026</t>
        </is>
      </c>
      <c r="E1119" s="2" t="inlineStr">
        <is>
          <t>PIX</t>
        </is>
      </c>
      <c r="F1119" s="2" t="inlineStr">
        <is>
          <t>Boleto "62101" do cliente "ANTONIO CARLOS JEPP"</t>
        </is>
      </c>
      <c r="G1119" s="2" t="inlineStr">
        <is>
          <t>system</t>
        </is>
      </c>
      <c r="H1119" s="2" t="inlineStr">
        <is>
          <t>01.01.01 : Mensalidade</t>
        </is>
      </c>
      <c r="I1119" s="3" t="n">
        <v>107.14</v>
      </c>
      <c r="J1119" s="2" t="n"/>
      <c r="K1119" s="2">
        <f>IF(H1119="02.09 : Outras Saídas", IF(OR(ISNUMBER(SEARCH("CHEQUE COMPE SICREDI", F1119)), ISNUMBER(SEARCH("aniversario", F1119)), ISNUMBER(SEARCH("churrasco", F1119)), ISNUMBER(SEARCH("bolo", F1119)), ISNUMBER(SEARCH("SUPERMERCADO", F1119))), "6.1 Despesas Administrativas (Pessoal)", IF(OR(ISNUMBER(SEARCH("DLKNET", F1119)), ISNUMBER(SEARCH("TESTE", F1119))), "6.1 Despesas Administrativas (Gerais)", IFERROR(VLOOKUP(H1119, De_Para!A:B, 2, FALSE), "NÃO MAPEADO"))), IFERROR(VLOOKUP(H1119, De_Para!A:B, 2, FALSE), "NÃO MAPEADO"))</f>
        <v/>
      </c>
    </row>
    <row r="1120">
      <c r="A1120" s="2" t="inlineStr">
        <is>
          <t>68566</t>
        </is>
      </c>
      <c r="B1120" s="2" t="inlineStr">
        <is>
          <t>Sicredi SNI</t>
        </is>
      </c>
      <c r="C1120" s="2" t="inlineStr">
        <is>
          <t>11/06/2026</t>
        </is>
      </c>
      <c r="D1120" s="2" t="inlineStr">
        <is>
          <t>10/06/2026</t>
        </is>
      </c>
      <c r="E1120" s="2" t="inlineStr">
        <is>
          <t>Dinheiro</t>
        </is>
      </c>
      <c r="F1120" s="2" t="inlineStr">
        <is>
          <t>Boleto "64009" do cliente "KARLA JULIANA TOMAZI"</t>
        </is>
      </c>
      <c r="G1120" s="2" t="inlineStr">
        <is>
          <t>system</t>
        </is>
      </c>
      <c r="H1120" s="2" t="inlineStr">
        <is>
          <t>02.03.02.01 : Cobrança Bancaria</t>
        </is>
      </c>
      <c r="I1120" s="2" t="n"/>
      <c r="J1120" s="3" t="n">
        <v>-1.08</v>
      </c>
      <c r="K1120" s="2">
        <f>IF(H1120="02.09 : Outras Saídas", IF(OR(ISNUMBER(SEARCH("CHEQUE COMPE SICREDI", F1120)), ISNUMBER(SEARCH("aniversario", F1120)), ISNUMBER(SEARCH("churrasco", F1120)), ISNUMBER(SEARCH("bolo", F1120)), ISNUMBER(SEARCH("SUPERMERCADO", F1120))), "6.1 Despesas Administrativas (Pessoal)", IF(OR(ISNUMBER(SEARCH("DLKNET", F1120)), ISNUMBER(SEARCH("TESTE", F1120))), "6.1 Despesas Administrativas (Gerais)", IFERROR(VLOOKUP(H1120, De_Para!A:B, 2, FALSE), "NÃO MAPEADO"))), IFERROR(VLOOKUP(H1120, De_Para!A:B, 2, FALSE), "NÃO MAPEADO"))</f>
        <v/>
      </c>
    </row>
    <row r="1121">
      <c r="A1121" s="2" t="inlineStr">
        <is>
          <t>68565</t>
        </is>
      </c>
      <c r="B1121" s="2" t="inlineStr">
        <is>
          <t>Sicredi SNI</t>
        </is>
      </c>
      <c r="C1121" s="2" t="inlineStr">
        <is>
          <t>11/06/2026</t>
        </is>
      </c>
      <c r="D1121" s="2" t="inlineStr">
        <is>
          <t>10/06/2026</t>
        </is>
      </c>
      <c r="E1121" s="2" t="inlineStr">
        <is>
          <t>Dinheiro</t>
        </is>
      </c>
      <c r="F1121" s="2" t="inlineStr">
        <is>
          <t>Boleto "64009" do cliente "KARLA JULIANA TOMAZI"</t>
        </is>
      </c>
      <c r="G1121" s="2" t="inlineStr">
        <is>
          <t>system</t>
        </is>
      </c>
      <c r="H1121" s="2" t="inlineStr">
        <is>
          <t>01.01.01 : Mensalidade</t>
        </is>
      </c>
      <c r="I1121" s="3" t="n">
        <v>104.9</v>
      </c>
      <c r="J1121" s="2" t="n"/>
      <c r="K1121" s="2">
        <f>IF(H1121="02.09 : Outras Saídas", IF(OR(ISNUMBER(SEARCH("CHEQUE COMPE SICREDI", F1121)), ISNUMBER(SEARCH("aniversario", F1121)), ISNUMBER(SEARCH("churrasco", F1121)), ISNUMBER(SEARCH("bolo", F1121)), ISNUMBER(SEARCH("SUPERMERCADO", F1121))), "6.1 Despesas Administrativas (Pessoal)", IF(OR(ISNUMBER(SEARCH("DLKNET", F1121)), ISNUMBER(SEARCH("TESTE", F1121))), "6.1 Despesas Administrativas (Gerais)", IFERROR(VLOOKUP(H1121, De_Para!A:B, 2, FALSE), "NÃO MAPEADO"))), IFERROR(VLOOKUP(H1121, De_Para!A:B, 2, FALSE), "NÃO MAPEADO"))</f>
        <v/>
      </c>
    </row>
    <row r="1122">
      <c r="A1122" s="2" t="inlineStr">
        <is>
          <t>68564</t>
        </is>
      </c>
      <c r="B1122" s="2" t="inlineStr">
        <is>
          <t>Sicoob</t>
        </is>
      </c>
      <c r="C1122" s="2" t="inlineStr">
        <is>
          <t>11/06/2026</t>
        </is>
      </c>
      <c r="D1122" s="2" t="inlineStr">
        <is>
          <t>10/06/2026</t>
        </is>
      </c>
      <c r="E1122" s="2" t="inlineStr">
        <is>
          <t>Dinheiro</t>
        </is>
      </c>
      <c r="F1122" s="2" t="inlineStr">
        <is>
          <t>Boleto "66579" do cliente "JEVERSON VIEIRA TERSOLD"</t>
        </is>
      </c>
      <c r="G1122" s="2" t="inlineStr">
        <is>
          <t>system</t>
        </is>
      </c>
      <c r="H1122" s="2" t="inlineStr">
        <is>
          <t>02.03.02.01 : Cobrança Bancaria</t>
        </is>
      </c>
      <c r="I1122" s="2" t="n"/>
      <c r="J1122" s="3" t="n">
        <v>-0.88</v>
      </c>
      <c r="K1122" s="2">
        <f>IF(H1122="02.09 : Outras Saídas", IF(OR(ISNUMBER(SEARCH("CHEQUE COMPE SICREDI", F1122)), ISNUMBER(SEARCH("aniversario", F1122)), ISNUMBER(SEARCH("churrasco", F1122)), ISNUMBER(SEARCH("bolo", F1122)), ISNUMBER(SEARCH("SUPERMERCADO", F1122))), "6.1 Despesas Administrativas (Pessoal)", IF(OR(ISNUMBER(SEARCH("DLKNET", F1122)), ISNUMBER(SEARCH("TESTE", F1122))), "6.1 Despesas Administrativas (Gerais)", IFERROR(VLOOKUP(H1122, De_Para!A:B, 2, FALSE), "NÃO MAPEADO"))), IFERROR(VLOOKUP(H1122, De_Para!A:B, 2, FALSE), "NÃO MAPEADO"))</f>
        <v/>
      </c>
    </row>
    <row r="1123">
      <c r="A1123" s="2" t="inlineStr">
        <is>
          <t>68563</t>
        </is>
      </c>
      <c r="B1123" s="2" t="inlineStr">
        <is>
          <t>Sicoob</t>
        </is>
      </c>
      <c r="C1123" s="2" t="inlineStr">
        <is>
          <t>11/06/2026</t>
        </is>
      </c>
      <c r="D1123" s="2" t="inlineStr">
        <is>
          <t>10/06/2026</t>
        </is>
      </c>
      <c r="E1123" s="2" t="inlineStr">
        <is>
          <t>Dinheiro</t>
        </is>
      </c>
      <c r="F1123" s="2" t="inlineStr">
        <is>
          <t>Boleto "66579" do cliente "JEVERSON VIEIRA TERSOLD"</t>
        </is>
      </c>
      <c r="G1123" s="2" t="inlineStr">
        <is>
          <t>system</t>
        </is>
      </c>
      <c r="H1123" s="2" t="inlineStr">
        <is>
          <t>01.50.02 : Equipamentos</t>
        </is>
      </c>
      <c r="I1123" s="3" t="n">
        <v>100</v>
      </c>
      <c r="J1123" s="2" t="n"/>
      <c r="K1123" s="2">
        <f>IF(H1123="02.09 : Outras Saídas", IF(OR(ISNUMBER(SEARCH("CHEQUE COMPE SICREDI", F1123)), ISNUMBER(SEARCH("aniversario", F1123)), ISNUMBER(SEARCH("churrasco", F1123)), ISNUMBER(SEARCH("bolo", F1123)), ISNUMBER(SEARCH("SUPERMERCADO", F1123))), "6.1 Despesas Administrativas (Pessoal)", IF(OR(ISNUMBER(SEARCH("DLKNET", F1123)), ISNUMBER(SEARCH("TESTE", F1123))), "6.1 Despesas Administrativas (Gerais)", IFERROR(VLOOKUP(H1123, De_Para!A:B, 2, FALSE), "NÃO MAPEADO"))), IFERROR(VLOOKUP(H1123, De_Para!A:B, 2, FALSE), "NÃO MAPEADO"))</f>
        <v/>
      </c>
    </row>
    <row r="1124">
      <c r="A1124" s="2" t="inlineStr">
        <is>
          <t>68562</t>
        </is>
      </c>
      <c r="B1124" s="2" t="inlineStr">
        <is>
          <t>Sicoob</t>
        </is>
      </c>
      <c r="C1124" s="2" t="inlineStr">
        <is>
          <t>11/06/2026</t>
        </is>
      </c>
      <c r="D1124" s="2" t="inlineStr">
        <is>
          <t>10/06/2026</t>
        </is>
      </c>
      <c r="E1124" s="2" t="inlineStr">
        <is>
          <t>Dinheiro</t>
        </is>
      </c>
      <c r="F1124" s="2" t="inlineStr">
        <is>
          <t>Boleto "64417" do cliente "CLAUDEMIR MUTCIELL PINTO"</t>
        </is>
      </c>
      <c r="G1124" s="2" t="inlineStr">
        <is>
          <t>system</t>
        </is>
      </c>
      <c r="H1124" s="2" t="inlineStr">
        <is>
          <t>02.03.02.01 : Cobrança Bancaria</t>
        </is>
      </c>
      <c r="I1124" s="2" t="n"/>
      <c r="J1124" s="3" t="n">
        <v>-0.3</v>
      </c>
      <c r="K1124" s="2">
        <f>IF(H1124="02.09 : Outras Saídas", IF(OR(ISNUMBER(SEARCH("CHEQUE COMPE SICREDI", F1124)), ISNUMBER(SEARCH("aniversario", F1124)), ISNUMBER(SEARCH("churrasco", F1124)), ISNUMBER(SEARCH("bolo", F1124)), ISNUMBER(SEARCH("SUPERMERCADO", F1124))), "6.1 Despesas Administrativas (Pessoal)", IF(OR(ISNUMBER(SEARCH("DLKNET", F1124)), ISNUMBER(SEARCH("TESTE", F1124))), "6.1 Despesas Administrativas (Gerais)", IFERROR(VLOOKUP(H1124, De_Para!A:B, 2, FALSE), "NÃO MAPEADO"))), IFERROR(VLOOKUP(H1124, De_Para!A:B, 2, FALSE), "NÃO MAPEADO"))</f>
        <v/>
      </c>
    </row>
    <row r="1125">
      <c r="A1125" s="2" t="inlineStr">
        <is>
          <t>68561</t>
        </is>
      </c>
      <c r="B1125" s="2" t="inlineStr">
        <is>
          <t>Sicoob</t>
        </is>
      </c>
      <c r="C1125" s="2" t="inlineStr">
        <is>
          <t>11/06/2026</t>
        </is>
      </c>
      <c r="D1125" s="2" t="inlineStr">
        <is>
          <t>10/06/2026</t>
        </is>
      </c>
      <c r="E1125" s="2" t="inlineStr">
        <is>
          <t>Dinheiro</t>
        </is>
      </c>
      <c r="F1125" s="2" t="inlineStr">
        <is>
          <t>Boleto "64417" do cliente "CLAUDEMIR MUTCIELL PINTO"</t>
        </is>
      </c>
      <c r="G1125" s="2" t="inlineStr">
        <is>
          <t>system</t>
        </is>
      </c>
      <c r="H1125" s="2" t="inlineStr">
        <is>
          <t>01.01.01 : Mensalidade</t>
        </is>
      </c>
      <c r="I1125" s="3" t="n">
        <v>99.90000000000001</v>
      </c>
      <c r="J1125" s="2" t="n"/>
      <c r="K1125" s="2">
        <f>IF(H1125="02.09 : Outras Saídas", IF(OR(ISNUMBER(SEARCH("CHEQUE COMPE SICREDI", F1125)), ISNUMBER(SEARCH("aniversario", F1125)), ISNUMBER(SEARCH("churrasco", F1125)), ISNUMBER(SEARCH("bolo", F1125)), ISNUMBER(SEARCH("SUPERMERCADO", F1125))), "6.1 Despesas Administrativas (Pessoal)", IF(OR(ISNUMBER(SEARCH("DLKNET", F1125)), ISNUMBER(SEARCH("TESTE", F1125))), "6.1 Despesas Administrativas (Gerais)", IFERROR(VLOOKUP(H1125, De_Para!A:B, 2, FALSE), "NÃO MAPEADO"))), IFERROR(VLOOKUP(H1125, De_Para!A:B, 2, FALSE), "NÃO MAPEADO"))</f>
        <v/>
      </c>
    </row>
    <row r="1126">
      <c r="A1126" s="2" t="inlineStr">
        <is>
          <t>68560</t>
        </is>
      </c>
      <c r="B1126" s="2" t="inlineStr">
        <is>
          <t>Sicoob</t>
        </is>
      </c>
      <c r="C1126" s="2" t="inlineStr">
        <is>
          <t>11/06/2026</t>
        </is>
      </c>
      <c r="D1126" s="2" t="inlineStr">
        <is>
          <t>10/06/2026</t>
        </is>
      </c>
      <c r="E1126" s="2" t="inlineStr">
        <is>
          <t>Dinheiro</t>
        </is>
      </c>
      <c r="F1126" s="2" t="inlineStr">
        <is>
          <t>Boleto "61743" do cliente "DIEGO RODRIGUES"</t>
        </is>
      </c>
      <c r="G1126" s="2" t="inlineStr">
        <is>
          <t>system</t>
        </is>
      </c>
      <c r="H1126" s="2" t="inlineStr">
        <is>
          <t>02.03.02.01 : Cobrança Bancaria</t>
        </is>
      </c>
      <c r="I1126" s="2" t="n"/>
      <c r="J1126" s="3" t="n">
        <v>-0.3</v>
      </c>
      <c r="K1126" s="2">
        <f>IF(H1126="02.09 : Outras Saídas", IF(OR(ISNUMBER(SEARCH("CHEQUE COMPE SICREDI", F1126)), ISNUMBER(SEARCH("aniversario", F1126)), ISNUMBER(SEARCH("churrasco", F1126)), ISNUMBER(SEARCH("bolo", F1126)), ISNUMBER(SEARCH("SUPERMERCADO", F1126))), "6.1 Despesas Administrativas (Pessoal)", IF(OR(ISNUMBER(SEARCH("DLKNET", F1126)), ISNUMBER(SEARCH("TESTE", F1126))), "6.1 Despesas Administrativas (Gerais)", IFERROR(VLOOKUP(H1126, De_Para!A:B, 2, FALSE), "NÃO MAPEADO"))), IFERROR(VLOOKUP(H1126, De_Para!A:B, 2, FALSE), "NÃO MAPEADO"))</f>
        <v/>
      </c>
    </row>
    <row r="1127">
      <c r="A1127" s="2" t="inlineStr">
        <is>
          <t>68559</t>
        </is>
      </c>
      <c r="B1127" s="2" t="inlineStr">
        <is>
          <t>Sicoob</t>
        </is>
      </c>
      <c r="C1127" s="2" t="inlineStr">
        <is>
          <t>11/06/2026</t>
        </is>
      </c>
      <c r="D1127" s="2" t="inlineStr">
        <is>
          <t>10/06/2026</t>
        </is>
      </c>
      <c r="E1127" s="2" t="inlineStr">
        <is>
          <t>Dinheiro</t>
        </is>
      </c>
      <c r="F1127" s="2" t="inlineStr">
        <is>
          <t>Boleto "61743" do cliente "DIEGO RODRIGUES"</t>
        </is>
      </c>
      <c r="G1127" s="2" t="inlineStr">
        <is>
          <t>system</t>
        </is>
      </c>
      <c r="H1127" s="2" t="inlineStr">
        <is>
          <t>01.03.01 : Mensalidade</t>
        </is>
      </c>
      <c r="I1127" s="3" t="n">
        <v>105</v>
      </c>
      <c r="J1127" s="2" t="n"/>
      <c r="K1127" s="2">
        <f>IF(H1127="02.09 : Outras Saídas", IF(OR(ISNUMBER(SEARCH("CHEQUE COMPE SICREDI", F1127)), ISNUMBER(SEARCH("aniversario", F1127)), ISNUMBER(SEARCH("churrasco", F1127)), ISNUMBER(SEARCH("bolo", F1127)), ISNUMBER(SEARCH("SUPERMERCADO", F1127))), "6.1 Despesas Administrativas (Pessoal)", IF(OR(ISNUMBER(SEARCH("DLKNET", F1127)), ISNUMBER(SEARCH("TESTE", F1127))), "6.1 Despesas Administrativas (Gerais)", IFERROR(VLOOKUP(H1127, De_Para!A:B, 2, FALSE), "NÃO MAPEADO"))), IFERROR(VLOOKUP(H1127, De_Para!A:B, 2, FALSE), "NÃO MAPEADO"))</f>
        <v/>
      </c>
    </row>
    <row r="1128">
      <c r="A1128" s="2" t="inlineStr">
        <is>
          <t>68558</t>
        </is>
      </c>
      <c r="B1128" s="2" t="inlineStr">
        <is>
          <t>Sicoob</t>
        </is>
      </c>
      <c r="C1128" s="2" t="inlineStr">
        <is>
          <t>11/06/2026</t>
        </is>
      </c>
      <c r="D1128" s="2" t="inlineStr">
        <is>
          <t>10/06/2026</t>
        </is>
      </c>
      <c r="E1128" s="2" t="inlineStr">
        <is>
          <t>Dinheiro</t>
        </is>
      </c>
      <c r="F1128" s="2" t="inlineStr">
        <is>
          <t>Boleto "58354" do cliente "BERNADETE RODRIGUES DA SILVA"</t>
        </is>
      </c>
      <c r="G1128" s="2" t="inlineStr">
        <is>
          <t>system</t>
        </is>
      </c>
      <c r="H1128" s="2" t="inlineStr">
        <is>
          <t>02.03.02.01 : Cobrança Bancaria</t>
        </is>
      </c>
      <c r="I1128" s="2" t="n"/>
      <c r="J1128" s="3" t="n">
        <v>-0.3</v>
      </c>
      <c r="K1128" s="2">
        <f>IF(H1128="02.09 : Outras Saídas", IF(OR(ISNUMBER(SEARCH("CHEQUE COMPE SICREDI", F1128)), ISNUMBER(SEARCH("aniversario", F1128)), ISNUMBER(SEARCH("churrasco", F1128)), ISNUMBER(SEARCH("bolo", F1128)), ISNUMBER(SEARCH("SUPERMERCADO", F1128))), "6.1 Despesas Administrativas (Pessoal)", IF(OR(ISNUMBER(SEARCH("DLKNET", F1128)), ISNUMBER(SEARCH("TESTE", F1128))), "6.1 Despesas Administrativas (Gerais)", IFERROR(VLOOKUP(H1128, De_Para!A:B, 2, FALSE), "NÃO MAPEADO"))), IFERROR(VLOOKUP(H1128, De_Para!A:B, 2, FALSE), "NÃO MAPEADO"))</f>
        <v/>
      </c>
    </row>
    <row r="1129">
      <c r="A1129" s="2" t="inlineStr">
        <is>
          <t>68557</t>
        </is>
      </c>
      <c r="B1129" s="2" t="inlineStr">
        <is>
          <t>Sicoob</t>
        </is>
      </c>
      <c r="C1129" s="2" t="inlineStr">
        <is>
          <t>11/06/2026</t>
        </is>
      </c>
      <c r="D1129" s="2" t="inlineStr">
        <is>
          <t>10/06/2026</t>
        </is>
      </c>
      <c r="E1129" s="2" t="inlineStr">
        <is>
          <t>Dinheiro</t>
        </is>
      </c>
      <c r="F1129" s="2" t="inlineStr">
        <is>
          <t>Boleto "58354" do cliente "BERNADETE RODRIGUES DA SILVA"</t>
        </is>
      </c>
      <c r="G1129" s="2" t="inlineStr">
        <is>
          <t>system</t>
        </is>
      </c>
      <c r="H1129" s="2" t="inlineStr">
        <is>
          <t>01.01.01 : Mensalidade</t>
        </is>
      </c>
      <c r="I1129" s="3" t="n">
        <v>105</v>
      </c>
      <c r="J1129" s="2" t="n"/>
      <c r="K1129" s="2">
        <f>IF(H1129="02.09 : Outras Saídas", IF(OR(ISNUMBER(SEARCH("CHEQUE COMPE SICREDI", F1129)), ISNUMBER(SEARCH("aniversario", F1129)), ISNUMBER(SEARCH("churrasco", F1129)), ISNUMBER(SEARCH("bolo", F1129)), ISNUMBER(SEARCH("SUPERMERCADO", F1129))), "6.1 Despesas Administrativas (Pessoal)", IF(OR(ISNUMBER(SEARCH("DLKNET", F1129)), ISNUMBER(SEARCH("TESTE", F1129))), "6.1 Despesas Administrativas (Gerais)", IFERROR(VLOOKUP(H1129, De_Para!A:B, 2, FALSE), "NÃO MAPEADO"))), IFERROR(VLOOKUP(H1129, De_Para!A:B, 2, FALSE), "NÃO MAPEADO"))</f>
        <v/>
      </c>
    </row>
    <row r="1130">
      <c r="A1130" s="2" t="inlineStr">
        <is>
          <t>68556</t>
        </is>
      </c>
      <c r="B1130" s="2" t="inlineStr">
        <is>
          <t>Sicoob</t>
        </is>
      </c>
      <c r="C1130" s="2" t="inlineStr">
        <is>
          <t>11/06/2026</t>
        </is>
      </c>
      <c r="D1130" s="2" t="inlineStr">
        <is>
          <t>10/06/2026</t>
        </is>
      </c>
      <c r="E1130" s="2" t="inlineStr">
        <is>
          <t>Dinheiro</t>
        </is>
      </c>
      <c r="F1130" s="2" t="inlineStr">
        <is>
          <t>Boleto "57601" do cliente "APARECIDA ROZANA TEREZA DA LUZ"</t>
        </is>
      </c>
      <c r="G1130" s="2" t="inlineStr">
        <is>
          <t>system</t>
        </is>
      </c>
      <c r="H1130" s="2" t="inlineStr">
        <is>
          <t>02.03.02.01 : Cobrança Bancaria</t>
        </is>
      </c>
      <c r="I1130" s="2" t="n"/>
      <c r="J1130" s="3" t="n">
        <v>-0.3</v>
      </c>
      <c r="K1130" s="2">
        <f>IF(H1130="02.09 : Outras Saídas", IF(OR(ISNUMBER(SEARCH("CHEQUE COMPE SICREDI", F1130)), ISNUMBER(SEARCH("aniversario", F1130)), ISNUMBER(SEARCH("churrasco", F1130)), ISNUMBER(SEARCH("bolo", F1130)), ISNUMBER(SEARCH("SUPERMERCADO", F1130))), "6.1 Despesas Administrativas (Pessoal)", IF(OR(ISNUMBER(SEARCH("DLKNET", F1130)), ISNUMBER(SEARCH("TESTE", F1130))), "6.1 Despesas Administrativas (Gerais)", IFERROR(VLOOKUP(H1130, De_Para!A:B, 2, FALSE), "NÃO MAPEADO"))), IFERROR(VLOOKUP(H1130, De_Para!A:B, 2, FALSE), "NÃO MAPEADO"))</f>
        <v/>
      </c>
    </row>
    <row r="1131">
      <c r="A1131" s="2" t="inlineStr">
        <is>
          <t>68555</t>
        </is>
      </c>
      <c r="B1131" s="2" t="inlineStr">
        <is>
          <t>Sicoob</t>
        </is>
      </c>
      <c r="C1131" s="2" t="inlineStr">
        <is>
          <t>11/06/2026</t>
        </is>
      </c>
      <c r="D1131" s="2" t="inlineStr">
        <is>
          <t>10/06/2026</t>
        </is>
      </c>
      <c r="E1131" s="2" t="inlineStr">
        <is>
          <t>Dinheiro</t>
        </is>
      </c>
      <c r="F1131" s="2" t="inlineStr">
        <is>
          <t>Boleto "57601" do cliente "APARECIDA ROZANA TEREZA DA LUZ"</t>
        </is>
      </c>
      <c r="G1131" s="2" t="inlineStr">
        <is>
          <t>system</t>
        </is>
      </c>
      <c r="H1131" s="2" t="inlineStr">
        <is>
          <t>01.03.01 : Mensalidade</t>
        </is>
      </c>
      <c r="I1131" s="3" t="n">
        <v>105</v>
      </c>
      <c r="J1131" s="2" t="n"/>
      <c r="K1131" s="2">
        <f>IF(H1131="02.09 : Outras Saídas", IF(OR(ISNUMBER(SEARCH("CHEQUE COMPE SICREDI", F1131)), ISNUMBER(SEARCH("aniversario", F1131)), ISNUMBER(SEARCH("churrasco", F1131)), ISNUMBER(SEARCH("bolo", F1131)), ISNUMBER(SEARCH("SUPERMERCADO", F1131))), "6.1 Despesas Administrativas (Pessoal)", IF(OR(ISNUMBER(SEARCH("DLKNET", F1131)), ISNUMBER(SEARCH("TESTE", F1131))), "6.1 Despesas Administrativas (Gerais)", IFERROR(VLOOKUP(H1131, De_Para!A:B, 2, FALSE), "NÃO MAPEADO"))), IFERROR(VLOOKUP(H1131, De_Para!A:B, 2, FALSE), "NÃO MAPEADO"))</f>
        <v/>
      </c>
    </row>
    <row r="1132">
      <c r="A1132" s="2" t="inlineStr">
        <is>
          <t>68554</t>
        </is>
      </c>
      <c r="B1132" s="2" t="inlineStr">
        <is>
          <t>Sicoob</t>
        </is>
      </c>
      <c r="C1132" s="2" t="inlineStr">
        <is>
          <t>11/06/2026</t>
        </is>
      </c>
      <c r="D1132" s="2" t="inlineStr">
        <is>
          <t>10/06/2026</t>
        </is>
      </c>
      <c r="E1132" s="2" t="inlineStr">
        <is>
          <t>Dinheiro</t>
        </is>
      </c>
      <c r="F1132" s="2" t="inlineStr">
        <is>
          <t>Boleto "57381" do cliente "JOSE CARLOS DOS SANTOS"</t>
        </is>
      </c>
      <c r="G1132" s="2" t="inlineStr">
        <is>
          <t>system</t>
        </is>
      </c>
      <c r="H1132" s="2" t="inlineStr">
        <is>
          <t>02.03.02.01 : Cobrança Bancaria</t>
        </is>
      </c>
      <c r="I1132" s="2" t="n"/>
      <c r="J1132" s="3" t="n">
        <v>-0.3</v>
      </c>
      <c r="K1132" s="2">
        <f>IF(H1132="02.09 : Outras Saídas", IF(OR(ISNUMBER(SEARCH("CHEQUE COMPE SICREDI", F1132)), ISNUMBER(SEARCH("aniversario", F1132)), ISNUMBER(SEARCH("churrasco", F1132)), ISNUMBER(SEARCH("bolo", F1132)), ISNUMBER(SEARCH("SUPERMERCADO", F1132))), "6.1 Despesas Administrativas (Pessoal)", IF(OR(ISNUMBER(SEARCH("DLKNET", F1132)), ISNUMBER(SEARCH("TESTE", F1132))), "6.1 Despesas Administrativas (Gerais)", IFERROR(VLOOKUP(H1132, De_Para!A:B, 2, FALSE), "NÃO MAPEADO"))), IFERROR(VLOOKUP(H1132, De_Para!A:B, 2, FALSE), "NÃO MAPEADO"))</f>
        <v/>
      </c>
    </row>
    <row r="1133">
      <c r="A1133" s="2" t="inlineStr">
        <is>
          <t>68553</t>
        </is>
      </c>
      <c r="B1133" s="2" t="inlineStr">
        <is>
          <t>Sicoob</t>
        </is>
      </c>
      <c r="C1133" s="2" t="inlineStr">
        <is>
          <t>11/06/2026</t>
        </is>
      </c>
      <c r="D1133" s="2" t="inlineStr">
        <is>
          <t>10/06/2026</t>
        </is>
      </c>
      <c r="E1133" s="2" t="inlineStr">
        <is>
          <t>Dinheiro</t>
        </is>
      </c>
      <c r="F1133" s="2" t="inlineStr">
        <is>
          <t>Boleto "57381" do cliente "JOSE CARLOS DOS SANTOS"</t>
        </is>
      </c>
      <c r="G1133" s="2" t="inlineStr">
        <is>
          <t>system</t>
        </is>
      </c>
      <c r="H1133" s="2" t="inlineStr">
        <is>
          <t>01.01.01 : Mensalidade</t>
        </is>
      </c>
      <c r="I1133" s="3" t="n">
        <v>105</v>
      </c>
      <c r="J1133" s="2" t="n"/>
      <c r="K1133" s="2">
        <f>IF(H1133="02.09 : Outras Saídas", IF(OR(ISNUMBER(SEARCH("CHEQUE COMPE SICREDI", F1133)), ISNUMBER(SEARCH("aniversario", F1133)), ISNUMBER(SEARCH("churrasco", F1133)), ISNUMBER(SEARCH("bolo", F1133)), ISNUMBER(SEARCH("SUPERMERCADO", F1133))), "6.1 Despesas Administrativas (Pessoal)", IF(OR(ISNUMBER(SEARCH("DLKNET", F1133)), ISNUMBER(SEARCH("TESTE", F1133))), "6.1 Despesas Administrativas (Gerais)", IFERROR(VLOOKUP(H1133, De_Para!A:B, 2, FALSE), "NÃO MAPEADO"))), IFERROR(VLOOKUP(H1133, De_Para!A:B, 2, FALSE), "NÃO MAPEADO"))</f>
        <v/>
      </c>
    </row>
    <row r="1134">
      <c r="A1134" s="2" t="inlineStr">
        <is>
          <t>68552</t>
        </is>
      </c>
      <c r="B1134" s="2" t="inlineStr">
        <is>
          <t>Sicoob</t>
        </is>
      </c>
      <c r="C1134" s="2" t="inlineStr">
        <is>
          <t>11/06/2026</t>
        </is>
      </c>
      <c r="D1134" s="2" t="inlineStr">
        <is>
          <t>10/06/2026</t>
        </is>
      </c>
      <c r="E1134" s="2" t="inlineStr">
        <is>
          <t>Dinheiro</t>
        </is>
      </c>
      <c r="F1134" s="2" t="inlineStr">
        <is>
          <t>Boleto "57139" do cliente "FLAVIA CRISTINA COUTO MARIOTO"</t>
        </is>
      </c>
      <c r="G1134" s="2" t="inlineStr">
        <is>
          <t>system</t>
        </is>
      </c>
      <c r="H1134" s="2" t="inlineStr">
        <is>
          <t>02.03.02.01 : Cobrança Bancaria</t>
        </is>
      </c>
      <c r="I1134" s="2" t="n"/>
      <c r="J1134" s="3" t="n">
        <v>-0.3</v>
      </c>
      <c r="K1134" s="2">
        <f>IF(H1134="02.09 : Outras Saídas", IF(OR(ISNUMBER(SEARCH("CHEQUE COMPE SICREDI", F1134)), ISNUMBER(SEARCH("aniversario", F1134)), ISNUMBER(SEARCH("churrasco", F1134)), ISNUMBER(SEARCH("bolo", F1134)), ISNUMBER(SEARCH("SUPERMERCADO", F1134))), "6.1 Despesas Administrativas (Pessoal)", IF(OR(ISNUMBER(SEARCH("DLKNET", F1134)), ISNUMBER(SEARCH("TESTE", F1134))), "6.1 Despesas Administrativas (Gerais)", IFERROR(VLOOKUP(H1134, De_Para!A:B, 2, FALSE), "NÃO MAPEADO"))), IFERROR(VLOOKUP(H1134, De_Para!A:B, 2, FALSE), "NÃO MAPEADO"))</f>
        <v/>
      </c>
    </row>
    <row r="1135">
      <c r="A1135" s="2" t="inlineStr">
        <is>
          <t>68551</t>
        </is>
      </c>
      <c r="B1135" s="2" t="inlineStr">
        <is>
          <t>Sicoob</t>
        </is>
      </c>
      <c r="C1135" s="2" t="inlineStr">
        <is>
          <t>11/06/2026</t>
        </is>
      </c>
      <c r="D1135" s="2" t="inlineStr">
        <is>
          <t>10/06/2026</t>
        </is>
      </c>
      <c r="E1135" s="2" t="inlineStr">
        <is>
          <t>Dinheiro</t>
        </is>
      </c>
      <c r="F1135" s="2" t="inlineStr">
        <is>
          <t>Boleto "57139" do cliente "FLAVIA CRISTINA COUTO MARIOTO"</t>
        </is>
      </c>
      <c r="G1135" s="2" t="inlineStr">
        <is>
          <t>system</t>
        </is>
      </c>
      <c r="H1135" s="2" t="inlineStr">
        <is>
          <t>01.01.01 : Mensalidade</t>
        </is>
      </c>
      <c r="I1135" s="3" t="n">
        <v>112.53</v>
      </c>
      <c r="J1135" s="2" t="n"/>
      <c r="K1135" s="2">
        <f>IF(H1135="02.09 : Outras Saídas", IF(OR(ISNUMBER(SEARCH("CHEQUE COMPE SICREDI", F1135)), ISNUMBER(SEARCH("aniversario", F1135)), ISNUMBER(SEARCH("churrasco", F1135)), ISNUMBER(SEARCH("bolo", F1135)), ISNUMBER(SEARCH("SUPERMERCADO", F1135))), "6.1 Despesas Administrativas (Pessoal)", IF(OR(ISNUMBER(SEARCH("DLKNET", F1135)), ISNUMBER(SEARCH("TESTE", F1135))), "6.1 Despesas Administrativas (Gerais)", IFERROR(VLOOKUP(H1135, De_Para!A:B, 2, FALSE), "NÃO MAPEADO"))), IFERROR(VLOOKUP(H1135, De_Para!A:B, 2, FALSE), "NÃO MAPEADO"))</f>
        <v/>
      </c>
    </row>
    <row r="1136">
      <c r="A1136" s="2" t="inlineStr">
        <is>
          <t>68550</t>
        </is>
      </c>
      <c r="B1136" s="2" t="inlineStr">
        <is>
          <t>Sicoob</t>
        </is>
      </c>
      <c r="C1136" s="2" t="inlineStr">
        <is>
          <t>11/06/2026</t>
        </is>
      </c>
      <c r="D1136" s="2" t="inlineStr">
        <is>
          <t>10/06/2026</t>
        </is>
      </c>
      <c r="E1136" s="2" t="inlineStr">
        <is>
          <t>Dinheiro</t>
        </is>
      </c>
      <c r="F1136" s="2" t="inlineStr">
        <is>
          <t>Boleto "56315" do cliente "JOSE MARIANO PINTO"</t>
        </is>
      </c>
      <c r="G1136" s="2" t="inlineStr">
        <is>
          <t>system</t>
        </is>
      </c>
      <c r="H1136" s="2" t="inlineStr">
        <is>
          <t>02.03.02.01 : Cobrança Bancaria</t>
        </is>
      </c>
      <c r="I1136" s="2" t="n"/>
      <c r="J1136" s="3" t="n">
        <v>-0.3</v>
      </c>
      <c r="K1136" s="2">
        <f>IF(H1136="02.09 : Outras Saídas", IF(OR(ISNUMBER(SEARCH("CHEQUE COMPE SICREDI", F1136)), ISNUMBER(SEARCH("aniversario", F1136)), ISNUMBER(SEARCH("churrasco", F1136)), ISNUMBER(SEARCH("bolo", F1136)), ISNUMBER(SEARCH("SUPERMERCADO", F1136))), "6.1 Despesas Administrativas (Pessoal)", IF(OR(ISNUMBER(SEARCH("DLKNET", F1136)), ISNUMBER(SEARCH("TESTE", F1136))), "6.1 Despesas Administrativas (Gerais)", IFERROR(VLOOKUP(H1136, De_Para!A:B, 2, FALSE), "NÃO MAPEADO"))), IFERROR(VLOOKUP(H1136, De_Para!A:B, 2, FALSE), "NÃO MAPEADO"))</f>
        <v/>
      </c>
    </row>
    <row r="1137">
      <c r="A1137" s="2" t="inlineStr">
        <is>
          <t>68549</t>
        </is>
      </c>
      <c r="B1137" s="2" t="inlineStr">
        <is>
          <t>Sicoob</t>
        </is>
      </c>
      <c r="C1137" s="2" t="inlineStr">
        <is>
          <t>11/06/2026</t>
        </is>
      </c>
      <c r="D1137" s="2" t="inlineStr">
        <is>
          <t>10/06/2026</t>
        </is>
      </c>
      <c r="E1137" s="2" t="inlineStr">
        <is>
          <t>Dinheiro</t>
        </is>
      </c>
      <c r="F1137" s="2" t="inlineStr">
        <is>
          <t>Boleto "56315" do cliente "JOSE MARIANO PINTO"</t>
        </is>
      </c>
      <c r="G1137" s="2" t="inlineStr">
        <is>
          <t>system</t>
        </is>
      </c>
      <c r="H1137" s="2" t="inlineStr">
        <is>
          <t>01.01.01 : Mensalidade</t>
        </is>
      </c>
      <c r="I1137" s="3" t="n">
        <v>105</v>
      </c>
      <c r="J1137" s="2" t="n"/>
      <c r="K1137" s="2">
        <f>IF(H1137="02.09 : Outras Saídas", IF(OR(ISNUMBER(SEARCH("CHEQUE COMPE SICREDI", F1137)), ISNUMBER(SEARCH("aniversario", F1137)), ISNUMBER(SEARCH("churrasco", F1137)), ISNUMBER(SEARCH("bolo", F1137)), ISNUMBER(SEARCH("SUPERMERCADO", F1137))), "6.1 Despesas Administrativas (Pessoal)", IF(OR(ISNUMBER(SEARCH("DLKNET", F1137)), ISNUMBER(SEARCH("TESTE", F1137))), "6.1 Despesas Administrativas (Gerais)", IFERROR(VLOOKUP(H1137, De_Para!A:B, 2, FALSE), "NÃO MAPEADO"))), IFERROR(VLOOKUP(H1137, De_Para!A:B, 2, FALSE), "NÃO MAPEADO"))</f>
        <v/>
      </c>
    </row>
    <row r="1138">
      <c r="A1138" s="2" t="inlineStr">
        <is>
          <t>68548</t>
        </is>
      </c>
      <c r="B1138" s="2" t="inlineStr">
        <is>
          <t>Sicoob</t>
        </is>
      </c>
      <c r="C1138" s="2" t="inlineStr">
        <is>
          <t>11/06/2026</t>
        </is>
      </c>
      <c r="D1138" s="2" t="inlineStr">
        <is>
          <t>10/06/2026</t>
        </is>
      </c>
      <c r="E1138" s="2" t="inlineStr">
        <is>
          <t>Dinheiro</t>
        </is>
      </c>
      <c r="F1138" s="2" t="inlineStr">
        <is>
          <t>Boleto "56219" do cliente "ESMAEL PEREIRA JUNIOR"</t>
        </is>
      </c>
      <c r="G1138" s="2" t="inlineStr">
        <is>
          <t>system</t>
        </is>
      </c>
      <c r="H1138" s="2" t="inlineStr">
        <is>
          <t>02.03.02.01 : Cobrança Bancaria</t>
        </is>
      </c>
      <c r="I1138" s="2" t="n"/>
      <c r="J1138" s="3" t="n">
        <v>-0.3</v>
      </c>
      <c r="K1138" s="2">
        <f>IF(H1138="02.09 : Outras Saídas", IF(OR(ISNUMBER(SEARCH("CHEQUE COMPE SICREDI", F1138)), ISNUMBER(SEARCH("aniversario", F1138)), ISNUMBER(SEARCH("churrasco", F1138)), ISNUMBER(SEARCH("bolo", F1138)), ISNUMBER(SEARCH("SUPERMERCADO", F1138))), "6.1 Despesas Administrativas (Pessoal)", IF(OR(ISNUMBER(SEARCH("DLKNET", F1138)), ISNUMBER(SEARCH("TESTE", F1138))), "6.1 Despesas Administrativas (Gerais)", IFERROR(VLOOKUP(H1138, De_Para!A:B, 2, FALSE), "NÃO MAPEADO"))), IFERROR(VLOOKUP(H1138, De_Para!A:B, 2, FALSE), "NÃO MAPEADO"))</f>
        <v/>
      </c>
    </row>
    <row r="1139">
      <c r="A1139" s="2" t="inlineStr">
        <is>
          <t>68547</t>
        </is>
      </c>
      <c r="B1139" s="2" t="inlineStr">
        <is>
          <t>Sicoob</t>
        </is>
      </c>
      <c r="C1139" s="2" t="inlineStr">
        <is>
          <t>11/06/2026</t>
        </is>
      </c>
      <c r="D1139" s="2" t="inlineStr">
        <is>
          <t>10/06/2026</t>
        </is>
      </c>
      <c r="E1139" s="2" t="inlineStr">
        <is>
          <t>Dinheiro</t>
        </is>
      </c>
      <c r="F1139" s="2" t="inlineStr">
        <is>
          <t>Boleto "56219" do cliente "ESMAEL PEREIRA JUNIOR"</t>
        </is>
      </c>
      <c r="G1139" s="2" t="inlineStr">
        <is>
          <t>system</t>
        </is>
      </c>
      <c r="H1139" s="2" t="inlineStr">
        <is>
          <t>01.01.01 : Mensalidade</t>
        </is>
      </c>
      <c r="I1139" s="3" t="n">
        <v>105</v>
      </c>
      <c r="J1139" s="2" t="n"/>
      <c r="K1139" s="2">
        <f>IF(H1139="02.09 : Outras Saídas", IF(OR(ISNUMBER(SEARCH("CHEQUE COMPE SICREDI", F1139)), ISNUMBER(SEARCH("aniversario", F1139)), ISNUMBER(SEARCH("churrasco", F1139)), ISNUMBER(SEARCH("bolo", F1139)), ISNUMBER(SEARCH("SUPERMERCADO", F1139))), "6.1 Despesas Administrativas (Pessoal)", IF(OR(ISNUMBER(SEARCH("DLKNET", F1139)), ISNUMBER(SEARCH("TESTE", F1139))), "6.1 Despesas Administrativas (Gerais)", IFERROR(VLOOKUP(H1139, De_Para!A:B, 2, FALSE), "NÃO MAPEADO"))), IFERROR(VLOOKUP(H1139, De_Para!A:B, 2, FALSE), "NÃO MAPEADO"))</f>
        <v/>
      </c>
    </row>
    <row r="1140">
      <c r="A1140" s="2" t="inlineStr">
        <is>
          <t>68546</t>
        </is>
      </c>
      <c r="B1140" s="2" t="inlineStr">
        <is>
          <t>Sicoob</t>
        </is>
      </c>
      <c r="C1140" s="2" t="inlineStr">
        <is>
          <t>11/06/2026</t>
        </is>
      </c>
      <c r="D1140" s="2" t="inlineStr">
        <is>
          <t>10/06/2026</t>
        </is>
      </c>
      <c r="E1140" s="2" t="inlineStr">
        <is>
          <t>Dinheiro</t>
        </is>
      </c>
      <c r="F1140" s="2" t="inlineStr">
        <is>
          <t>Boleto "55581" do cliente "ADEMIR DOMINGOS DE MIRANDA"</t>
        </is>
      </c>
      <c r="G1140" s="2" t="inlineStr">
        <is>
          <t>system</t>
        </is>
      </c>
      <c r="H1140" s="2" t="inlineStr">
        <is>
          <t>02.03.02.01 : Cobrança Bancaria</t>
        </is>
      </c>
      <c r="I1140" s="2" t="n"/>
      <c r="J1140" s="3" t="n">
        <v>-0.3</v>
      </c>
      <c r="K1140" s="2">
        <f>IF(H1140="02.09 : Outras Saídas", IF(OR(ISNUMBER(SEARCH("CHEQUE COMPE SICREDI", F1140)), ISNUMBER(SEARCH("aniversario", F1140)), ISNUMBER(SEARCH("churrasco", F1140)), ISNUMBER(SEARCH("bolo", F1140)), ISNUMBER(SEARCH("SUPERMERCADO", F1140))), "6.1 Despesas Administrativas (Pessoal)", IF(OR(ISNUMBER(SEARCH("DLKNET", F1140)), ISNUMBER(SEARCH("TESTE", F1140))), "6.1 Despesas Administrativas (Gerais)", IFERROR(VLOOKUP(H1140, De_Para!A:B, 2, FALSE), "NÃO MAPEADO"))), IFERROR(VLOOKUP(H1140, De_Para!A:B, 2, FALSE), "NÃO MAPEADO"))</f>
        <v/>
      </c>
    </row>
    <row r="1141">
      <c r="A1141" s="2" t="inlineStr">
        <is>
          <t>68545</t>
        </is>
      </c>
      <c r="B1141" s="2" t="inlineStr">
        <is>
          <t>Sicoob</t>
        </is>
      </c>
      <c r="C1141" s="2" t="inlineStr">
        <is>
          <t>11/06/2026</t>
        </is>
      </c>
      <c r="D1141" s="2" t="inlineStr">
        <is>
          <t>10/06/2026</t>
        </is>
      </c>
      <c r="E1141" s="2" t="inlineStr">
        <is>
          <t>Dinheiro</t>
        </is>
      </c>
      <c r="F1141" s="2" t="inlineStr">
        <is>
          <t>Boleto "55581" do cliente "ADEMIR DOMINGOS DE MIRANDA"</t>
        </is>
      </c>
      <c r="G1141" s="2" t="inlineStr">
        <is>
          <t>system</t>
        </is>
      </c>
      <c r="H1141" s="2" t="inlineStr">
        <is>
          <t>01.01.01 : Mensalidade</t>
        </is>
      </c>
      <c r="I1141" s="3" t="n">
        <v>102.3</v>
      </c>
      <c r="J1141" s="2" t="n"/>
      <c r="K1141" s="2">
        <f>IF(H1141="02.09 : Outras Saídas", IF(OR(ISNUMBER(SEARCH("CHEQUE COMPE SICREDI", F1141)), ISNUMBER(SEARCH("aniversario", F1141)), ISNUMBER(SEARCH("churrasco", F1141)), ISNUMBER(SEARCH("bolo", F1141)), ISNUMBER(SEARCH("SUPERMERCADO", F1141))), "6.1 Despesas Administrativas (Pessoal)", IF(OR(ISNUMBER(SEARCH("DLKNET", F1141)), ISNUMBER(SEARCH("TESTE", F1141))), "6.1 Despesas Administrativas (Gerais)", IFERROR(VLOOKUP(H1141, De_Para!A:B, 2, FALSE), "NÃO MAPEADO"))), IFERROR(VLOOKUP(H1141, De_Para!A:B, 2, FALSE), "NÃO MAPEADO"))</f>
        <v/>
      </c>
    </row>
    <row r="1142">
      <c r="A1142" s="2" t="inlineStr">
        <is>
          <t>68544</t>
        </is>
      </c>
      <c r="B1142" s="2" t="inlineStr">
        <is>
          <t>Sicoob</t>
        </is>
      </c>
      <c r="C1142" s="2" t="inlineStr">
        <is>
          <t>11/06/2026</t>
        </is>
      </c>
      <c r="D1142" s="2" t="inlineStr">
        <is>
          <t>10/06/2026</t>
        </is>
      </c>
      <c r="E1142" s="2" t="inlineStr">
        <is>
          <t>Dinheiro</t>
        </is>
      </c>
      <c r="F1142" s="2" t="inlineStr">
        <is>
          <t>Boleto "53658" do cliente "DELLAI &amp; DELLAI  LTDA"</t>
        </is>
      </c>
      <c r="G1142" s="2" t="inlineStr">
        <is>
          <t>system</t>
        </is>
      </c>
      <c r="H1142" s="2" t="inlineStr">
        <is>
          <t>02.03.02.01 : Cobrança Bancaria</t>
        </is>
      </c>
      <c r="I1142" s="2" t="n"/>
      <c r="J1142" s="3" t="n">
        <v>-0.88</v>
      </c>
      <c r="K1142" s="2">
        <f>IF(H1142="02.09 : Outras Saídas", IF(OR(ISNUMBER(SEARCH("CHEQUE COMPE SICREDI", F1142)), ISNUMBER(SEARCH("aniversario", F1142)), ISNUMBER(SEARCH("churrasco", F1142)), ISNUMBER(SEARCH("bolo", F1142)), ISNUMBER(SEARCH("SUPERMERCADO", F1142))), "6.1 Despesas Administrativas (Pessoal)", IF(OR(ISNUMBER(SEARCH("DLKNET", F1142)), ISNUMBER(SEARCH("TESTE", F1142))), "6.1 Despesas Administrativas (Gerais)", IFERROR(VLOOKUP(H1142, De_Para!A:B, 2, FALSE), "NÃO MAPEADO"))), IFERROR(VLOOKUP(H1142, De_Para!A:B, 2, FALSE), "NÃO MAPEADO"))</f>
        <v/>
      </c>
    </row>
    <row r="1143">
      <c r="A1143" s="2" t="inlineStr">
        <is>
          <t>68543</t>
        </is>
      </c>
      <c r="B1143" s="2" t="inlineStr">
        <is>
          <t>Sicoob</t>
        </is>
      </c>
      <c r="C1143" s="2" t="inlineStr">
        <is>
          <t>11/06/2026</t>
        </is>
      </c>
      <c r="D1143" s="2" t="inlineStr">
        <is>
          <t>10/06/2026</t>
        </is>
      </c>
      <c r="E1143" s="2" t="inlineStr">
        <is>
          <t>Dinheiro</t>
        </is>
      </c>
      <c r="F1143" s="2" t="inlineStr">
        <is>
          <t>Boleto "53658" do cliente "DELLAI &amp; DELLAI  LTDA"</t>
        </is>
      </c>
      <c r="G1143" s="2" t="inlineStr">
        <is>
          <t>system</t>
        </is>
      </c>
      <c r="H1143" s="2" t="inlineStr">
        <is>
          <t>01.01.01 : Mensalidade</t>
        </is>
      </c>
      <c r="I1143" s="3" t="n">
        <v>110</v>
      </c>
      <c r="J1143" s="2" t="n"/>
      <c r="K1143" s="2">
        <f>IF(H1143="02.09 : Outras Saídas", IF(OR(ISNUMBER(SEARCH("CHEQUE COMPE SICREDI", F1143)), ISNUMBER(SEARCH("aniversario", F1143)), ISNUMBER(SEARCH("churrasco", F1143)), ISNUMBER(SEARCH("bolo", F1143)), ISNUMBER(SEARCH("SUPERMERCADO", F1143))), "6.1 Despesas Administrativas (Pessoal)", IF(OR(ISNUMBER(SEARCH("DLKNET", F1143)), ISNUMBER(SEARCH("TESTE", F1143))), "6.1 Despesas Administrativas (Gerais)", IFERROR(VLOOKUP(H1143, De_Para!A:B, 2, FALSE), "NÃO MAPEADO"))), IFERROR(VLOOKUP(H1143, De_Para!A:B, 2, FALSE), "NÃO MAPEADO"))</f>
        <v/>
      </c>
    </row>
    <row r="1144">
      <c r="A1144" s="2" t="inlineStr">
        <is>
          <t>68542</t>
        </is>
      </c>
      <c r="B1144" s="2" t="inlineStr">
        <is>
          <t>Sicredi SNI</t>
        </is>
      </c>
      <c r="C1144" s="2" t="inlineStr">
        <is>
          <t>11/06/2026</t>
        </is>
      </c>
      <c r="D1144" s="2" t="inlineStr">
        <is>
          <t>11/06/2026</t>
        </is>
      </c>
      <c r="E1144" s="2" t="inlineStr">
        <is>
          <t>PIX</t>
        </is>
      </c>
      <c r="F1144" s="2" t="inlineStr">
        <is>
          <t>Boleto "54268" do cliente "LUZIA APARECIDA TONIETTE"</t>
        </is>
      </c>
      <c r="G1144" s="2" t="inlineStr">
        <is>
          <t>system</t>
        </is>
      </c>
      <c r="H1144" s="2" t="inlineStr">
        <is>
          <t>02.03.02.01 : Cobrança Bancaria</t>
        </is>
      </c>
      <c r="I1144" s="2" t="n"/>
      <c r="J1144" s="3" t="n">
        <v>-0.49</v>
      </c>
      <c r="K1144" s="2">
        <f>IF(H1144="02.09 : Outras Saídas", IF(OR(ISNUMBER(SEARCH("CHEQUE COMPE SICREDI", F1144)), ISNUMBER(SEARCH("aniversario", F1144)), ISNUMBER(SEARCH("churrasco", F1144)), ISNUMBER(SEARCH("bolo", F1144)), ISNUMBER(SEARCH("SUPERMERCADO", F1144))), "6.1 Despesas Administrativas (Pessoal)", IF(OR(ISNUMBER(SEARCH("DLKNET", F1144)), ISNUMBER(SEARCH("TESTE", F1144))), "6.1 Despesas Administrativas (Gerais)", IFERROR(VLOOKUP(H1144, De_Para!A:B, 2, FALSE), "NÃO MAPEADO"))), IFERROR(VLOOKUP(H1144, De_Para!A:B, 2, FALSE), "NÃO MAPEADO"))</f>
        <v/>
      </c>
    </row>
    <row r="1145">
      <c r="A1145" s="2" t="inlineStr">
        <is>
          <t>68541</t>
        </is>
      </c>
      <c r="B1145" s="2" t="inlineStr">
        <is>
          <t>Sicredi SNI</t>
        </is>
      </c>
      <c r="C1145" s="2" t="inlineStr">
        <is>
          <t>11/06/2026</t>
        </is>
      </c>
      <c r="D1145" s="2" t="inlineStr">
        <is>
          <t>11/06/2026</t>
        </is>
      </c>
      <c r="E1145" s="2" t="inlineStr">
        <is>
          <t>PIX</t>
        </is>
      </c>
      <c r="F1145" s="2" t="inlineStr">
        <is>
          <t>Boleto "54268" do cliente "LUZIA APARECIDA TONIETTE"</t>
        </is>
      </c>
      <c r="G1145" s="2" t="inlineStr">
        <is>
          <t>system</t>
        </is>
      </c>
      <c r="H1145" s="2" t="inlineStr">
        <is>
          <t>01.01.01 : Mensalidade</t>
        </is>
      </c>
      <c r="I1145" s="3" t="n">
        <v>100</v>
      </c>
      <c r="J1145" s="2" t="n"/>
      <c r="K1145" s="2">
        <f>IF(H1145="02.09 : Outras Saídas", IF(OR(ISNUMBER(SEARCH("CHEQUE COMPE SICREDI", F1145)), ISNUMBER(SEARCH("aniversario", F1145)), ISNUMBER(SEARCH("churrasco", F1145)), ISNUMBER(SEARCH("bolo", F1145)), ISNUMBER(SEARCH("SUPERMERCADO", F1145))), "6.1 Despesas Administrativas (Pessoal)", IF(OR(ISNUMBER(SEARCH("DLKNET", F1145)), ISNUMBER(SEARCH("TESTE", F1145))), "6.1 Despesas Administrativas (Gerais)", IFERROR(VLOOKUP(H1145, De_Para!A:B, 2, FALSE), "NÃO MAPEADO"))), IFERROR(VLOOKUP(H1145, De_Para!A:B, 2, FALSE), "NÃO MAPEADO"))</f>
        <v/>
      </c>
    </row>
    <row r="1146">
      <c r="A1146" s="2" t="inlineStr">
        <is>
          <t>68540</t>
        </is>
      </c>
      <c r="B1146" s="2" t="inlineStr">
        <is>
          <t>Sicredi SNI</t>
        </is>
      </c>
      <c r="C1146" s="2" t="inlineStr">
        <is>
          <t>10/06/2026</t>
        </is>
      </c>
      <c r="D1146" s="2" t="inlineStr">
        <is>
          <t>10/06/2026</t>
        </is>
      </c>
      <c r="E1146" s="2" t="inlineStr">
        <is>
          <t>PIX</t>
        </is>
      </c>
      <c r="F1146" s="2" t="inlineStr">
        <is>
          <t>Boleto "60724" do cliente "ISADORA LIMA DE OLIVEIRA DOS SANTOS"</t>
        </is>
      </c>
      <c r="G1146" s="2" t="inlineStr">
        <is>
          <t>system</t>
        </is>
      </c>
      <c r="H1146" s="2" t="inlineStr">
        <is>
          <t>02.03.02.01 : Cobrança Bancaria</t>
        </is>
      </c>
      <c r="I1146" s="2" t="n"/>
      <c r="J1146" s="3" t="n">
        <v>-0.49</v>
      </c>
      <c r="K1146" s="2">
        <f>IF(H1146="02.09 : Outras Saídas", IF(OR(ISNUMBER(SEARCH("CHEQUE COMPE SICREDI", F1146)), ISNUMBER(SEARCH("aniversario", F1146)), ISNUMBER(SEARCH("churrasco", F1146)), ISNUMBER(SEARCH("bolo", F1146)), ISNUMBER(SEARCH("SUPERMERCADO", F1146))), "6.1 Despesas Administrativas (Pessoal)", IF(OR(ISNUMBER(SEARCH("DLKNET", F1146)), ISNUMBER(SEARCH("TESTE", F1146))), "6.1 Despesas Administrativas (Gerais)", IFERROR(VLOOKUP(H1146, De_Para!A:B, 2, FALSE), "NÃO MAPEADO"))), IFERROR(VLOOKUP(H1146, De_Para!A:B, 2, FALSE), "NÃO MAPEADO"))</f>
        <v/>
      </c>
    </row>
    <row r="1147">
      <c r="A1147" s="2" t="inlineStr">
        <is>
          <t>68539</t>
        </is>
      </c>
      <c r="B1147" s="2" t="inlineStr">
        <is>
          <t>Sicredi SNI</t>
        </is>
      </c>
      <c r="C1147" s="2" t="inlineStr">
        <is>
          <t>10/06/2026</t>
        </is>
      </c>
      <c r="D1147" s="2" t="inlineStr">
        <is>
          <t>10/06/2026</t>
        </is>
      </c>
      <c r="E1147" s="2" t="inlineStr">
        <is>
          <t>PIX</t>
        </is>
      </c>
      <c r="F1147" s="2" t="inlineStr">
        <is>
          <t>Boleto "60724" do cliente "ISADORA LIMA DE OLIVEIRA DOS SANTOS"</t>
        </is>
      </c>
      <c r="G1147" s="2" t="inlineStr">
        <is>
          <t>system</t>
        </is>
      </c>
      <c r="H1147" s="2" t="inlineStr">
        <is>
          <t>01.01.01 : Mensalidade</t>
        </is>
      </c>
      <c r="I1147" s="3" t="n">
        <v>105</v>
      </c>
      <c r="J1147" s="2" t="n"/>
      <c r="K1147" s="2">
        <f>IF(H1147="02.09 : Outras Saídas", IF(OR(ISNUMBER(SEARCH("CHEQUE COMPE SICREDI", F1147)), ISNUMBER(SEARCH("aniversario", F1147)), ISNUMBER(SEARCH("churrasco", F1147)), ISNUMBER(SEARCH("bolo", F1147)), ISNUMBER(SEARCH("SUPERMERCADO", F1147))), "6.1 Despesas Administrativas (Pessoal)", IF(OR(ISNUMBER(SEARCH("DLKNET", F1147)), ISNUMBER(SEARCH("TESTE", F1147))), "6.1 Despesas Administrativas (Gerais)", IFERROR(VLOOKUP(H1147, De_Para!A:B, 2, FALSE), "NÃO MAPEADO"))), IFERROR(VLOOKUP(H1147, De_Para!A:B, 2, FALSE), "NÃO MAPEADO"))</f>
        <v/>
      </c>
    </row>
    <row r="1148">
      <c r="A1148" s="2" t="inlineStr">
        <is>
          <t>68538</t>
        </is>
      </c>
      <c r="B1148" s="2" t="inlineStr">
        <is>
          <t>Sicredi SNI</t>
        </is>
      </c>
      <c r="C1148" s="2" t="inlineStr">
        <is>
          <t>10/06/2026</t>
        </is>
      </c>
      <c r="D1148" s="2" t="inlineStr">
        <is>
          <t>10/06/2026</t>
        </is>
      </c>
      <c r="E1148" s="2" t="inlineStr">
        <is>
          <t>PIX</t>
        </is>
      </c>
      <c r="F1148" s="2" t="inlineStr">
        <is>
          <t>Boleto "60786" do cliente "EDERSON NUNES DE OLIVEIRA"</t>
        </is>
      </c>
      <c r="G1148" s="2" t="inlineStr">
        <is>
          <t>system</t>
        </is>
      </c>
      <c r="H1148" s="2" t="inlineStr">
        <is>
          <t>02.03.02.01 : Cobrança Bancaria</t>
        </is>
      </c>
      <c r="I1148" s="2" t="n"/>
      <c r="J1148" s="3" t="n">
        <v>-0.49</v>
      </c>
      <c r="K1148" s="2">
        <f>IF(H1148="02.09 : Outras Saídas", IF(OR(ISNUMBER(SEARCH("CHEQUE COMPE SICREDI", F1148)), ISNUMBER(SEARCH("aniversario", F1148)), ISNUMBER(SEARCH("churrasco", F1148)), ISNUMBER(SEARCH("bolo", F1148)), ISNUMBER(SEARCH("SUPERMERCADO", F1148))), "6.1 Despesas Administrativas (Pessoal)", IF(OR(ISNUMBER(SEARCH("DLKNET", F1148)), ISNUMBER(SEARCH("TESTE", F1148))), "6.1 Despesas Administrativas (Gerais)", IFERROR(VLOOKUP(H1148, De_Para!A:B, 2, FALSE), "NÃO MAPEADO"))), IFERROR(VLOOKUP(H1148, De_Para!A:B, 2, FALSE), "NÃO MAPEADO"))</f>
        <v/>
      </c>
    </row>
    <row r="1149">
      <c r="A1149" s="2" t="inlineStr">
        <is>
          <t>68537</t>
        </is>
      </c>
      <c r="B1149" s="2" t="inlineStr">
        <is>
          <t>Sicredi SNI</t>
        </is>
      </c>
      <c r="C1149" s="2" t="inlineStr">
        <is>
          <t>10/06/2026</t>
        </is>
      </c>
      <c r="D1149" s="2" t="inlineStr">
        <is>
          <t>10/06/2026</t>
        </is>
      </c>
      <c r="E1149" s="2" t="inlineStr">
        <is>
          <t>PIX</t>
        </is>
      </c>
      <c r="F1149" s="2" t="inlineStr">
        <is>
          <t>Boleto "60786" do cliente "EDERSON NUNES DE OLIVEIRA"</t>
        </is>
      </c>
      <c r="G1149" s="2" t="inlineStr">
        <is>
          <t>system</t>
        </is>
      </c>
      <c r="H1149" s="2" t="inlineStr">
        <is>
          <t>01.01.01 : Mensalidade</t>
        </is>
      </c>
      <c r="I1149" s="3" t="n">
        <v>100</v>
      </c>
      <c r="J1149" s="2" t="n"/>
      <c r="K1149" s="2">
        <f>IF(H1149="02.09 : Outras Saídas", IF(OR(ISNUMBER(SEARCH("CHEQUE COMPE SICREDI", F1149)), ISNUMBER(SEARCH("aniversario", F1149)), ISNUMBER(SEARCH("churrasco", F1149)), ISNUMBER(SEARCH("bolo", F1149)), ISNUMBER(SEARCH("SUPERMERCADO", F1149))), "6.1 Despesas Administrativas (Pessoal)", IF(OR(ISNUMBER(SEARCH("DLKNET", F1149)), ISNUMBER(SEARCH("TESTE", F1149))), "6.1 Despesas Administrativas (Gerais)", IFERROR(VLOOKUP(H1149, De_Para!A:B, 2, FALSE), "NÃO MAPEADO"))), IFERROR(VLOOKUP(H1149, De_Para!A:B, 2, FALSE), "NÃO MAPEADO"))</f>
        <v/>
      </c>
    </row>
    <row r="1150">
      <c r="A1150" s="2" t="inlineStr">
        <is>
          <t>68536</t>
        </is>
      </c>
      <c r="B1150" s="2" t="inlineStr">
        <is>
          <t>Sicredi SNI</t>
        </is>
      </c>
      <c r="C1150" s="2" t="inlineStr">
        <is>
          <t>10/06/2026</t>
        </is>
      </c>
      <c r="D1150" s="2" t="inlineStr">
        <is>
          <t>10/06/2026</t>
        </is>
      </c>
      <c r="E1150" s="2" t="inlineStr">
        <is>
          <t>PIX</t>
        </is>
      </c>
      <c r="F1150" s="2" t="inlineStr">
        <is>
          <t>Boleto "56843" do cliente "ALINE ROBERTA FERRAZ"</t>
        </is>
      </c>
      <c r="G1150" s="2" t="inlineStr">
        <is>
          <t>system</t>
        </is>
      </c>
      <c r="H1150" s="2" t="inlineStr">
        <is>
          <t>02.03.02.01 : Cobrança Bancaria</t>
        </is>
      </c>
      <c r="I1150" s="2" t="n"/>
      <c r="J1150" s="3" t="n">
        <v>-0.49</v>
      </c>
      <c r="K1150" s="2">
        <f>IF(H1150="02.09 : Outras Saídas", IF(OR(ISNUMBER(SEARCH("CHEQUE COMPE SICREDI", F1150)), ISNUMBER(SEARCH("aniversario", F1150)), ISNUMBER(SEARCH("churrasco", F1150)), ISNUMBER(SEARCH("bolo", F1150)), ISNUMBER(SEARCH("SUPERMERCADO", F1150))), "6.1 Despesas Administrativas (Pessoal)", IF(OR(ISNUMBER(SEARCH("DLKNET", F1150)), ISNUMBER(SEARCH("TESTE", F1150))), "6.1 Despesas Administrativas (Gerais)", IFERROR(VLOOKUP(H1150, De_Para!A:B, 2, FALSE), "NÃO MAPEADO"))), IFERROR(VLOOKUP(H1150, De_Para!A:B, 2, FALSE), "NÃO MAPEADO"))</f>
        <v/>
      </c>
    </row>
    <row r="1151">
      <c r="A1151" s="2" t="inlineStr">
        <is>
          <t>68535</t>
        </is>
      </c>
      <c r="B1151" s="2" t="inlineStr">
        <is>
          <t>Sicredi SNI</t>
        </is>
      </c>
      <c r="C1151" s="2" t="inlineStr">
        <is>
          <t>10/06/2026</t>
        </is>
      </c>
      <c r="D1151" s="2" t="inlineStr">
        <is>
          <t>10/06/2026</t>
        </is>
      </c>
      <c r="E1151" s="2" t="inlineStr">
        <is>
          <t>PIX</t>
        </is>
      </c>
      <c r="F1151" s="2" t="inlineStr">
        <is>
          <t>Boleto "56843" do cliente "ALINE ROBERTA FERRAZ"</t>
        </is>
      </c>
      <c r="G1151" s="2" t="inlineStr">
        <is>
          <t>system</t>
        </is>
      </c>
      <c r="H1151" s="2" t="inlineStr">
        <is>
          <t>01.01.01 : Mensalidade</t>
        </is>
      </c>
      <c r="I1151" s="3" t="n">
        <v>100</v>
      </c>
      <c r="J1151" s="2" t="n"/>
      <c r="K1151" s="2">
        <f>IF(H1151="02.09 : Outras Saídas", IF(OR(ISNUMBER(SEARCH("CHEQUE COMPE SICREDI", F1151)), ISNUMBER(SEARCH("aniversario", F1151)), ISNUMBER(SEARCH("churrasco", F1151)), ISNUMBER(SEARCH("bolo", F1151)), ISNUMBER(SEARCH("SUPERMERCADO", F1151))), "6.1 Despesas Administrativas (Pessoal)", IF(OR(ISNUMBER(SEARCH("DLKNET", F1151)), ISNUMBER(SEARCH("TESTE", F1151))), "6.1 Despesas Administrativas (Gerais)", IFERROR(VLOOKUP(H1151, De_Para!A:B, 2, FALSE), "NÃO MAPEADO"))), IFERROR(VLOOKUP(H1151, De_Para!A:B, 2, FALSE), "NÃO MAPEADO"))</f>
        <v/>
      </c>
    </row>
    <row r="1152">
      <c r="A1152" s="2" t="inlineStr">
        <is>
          <t>68534</t>
        </is>
      </c>
      <c r="B1152" s="2" t="inlineStr">
        <is>
          <t>Sicredi SNI</t>
        </is>
      </c>
      <c r="C1152" s="2" t="inlineStr">
        <is>
          <t>10/06/2026</t>
        </is>
      </c>
      <c r="D1152" s="2" t="inlineStr">
        <is>
          <t>10/06/2026</t>
        </is>
      </c>
      <c r="E1152" s="2" t="inlineStr">
        <is>
          <t>Dinheiro</t>
        </is>
      </c>
      <c r="F1152" s="2" t="inlineStr">
        <is>
          <t>Boleto "61907" do cliente "ELSO BICUDO DE OLIVEIRA"</t>
        </is>
      </c>
      <c r="G1152" s="2" t="inlineStr">
        <is>
          <t>system</t>
        </is>
      </c>
      <c r="H1152" s="2" t="inlineStr">
        <is>
          <t>02.03.02.01 : Cobrança Bancaria</t>
        </is>
      </c>
      <c r="I1152" s="2" t="n"/>
      <c r="J1152" s="3" t="n">
        <v>-1.08</v>
      </c>
      <c r="K1152" s="2">
        <f>IF(H1152="02.09 : Outras Saídas", IF(OR(ISNUMBER(SEARCH("CHEQUE COMPE SICREDI", F1152)), ISNUMBER(SEARCH("aniversario", F1152)), ISNUMBER(SEARCH("churrasco", F1152)), ISNUMBER(SEARCH("bolo", F1152)), ISNUMBER(SEARCH("SUPERMERCADO", F1152))), "6.1 Despesas Administrativas (Pessoal)", IF(OR(ISNUMBER(SEARCH("DLKNET", F1152)), ISNUMBER(SEARCH("TESTE", F1152))), "6.1 Despesas Administrativas (Gerais)", IFERROR(VLOOKUP(H1152, De_Para!A:B, 2, FALSE), "NÃO MAPEADO"))), IFERROR(VLOOKUP(H1152, De_Para!A:B, 2, FALSE), "NÃO MAPEADO"))</f>
        <v/>
      </c>
    </row>
    <row r="1153">
      <c r="A1153" s="2" t="inlineStr">
        <is>
          <t>68533</t>
        </is>
      </c>
      <c r="B1153" s="2" t="inlineStr">
        <is>
          <t>Sicredi SNI</t>
        </is>
      </c>
      <c r="C1153" s="2" t="inlineStr">
        <is>
          <t>10/06/2026</t>
        </is>
      </c>
      <c r="D1153" s="2" t="inlineStr">
        <is>
          <t>10/06/2026</t>
        </is>
      </c>
      <c r="E1153" s="2" t="inlineStr">
        <is>
          <t>Dinheiro</t>
        </is>
      </c>
      <c r="F1153" s="2" t="inlineStr">
        <is>
          <t>Boleto "61907" do cliente "ELSO BICUDO DE OLIVEIRA"</t>
        </is>
      </c>
      <c r="G1153" s="2" t="inlineStr">
        <is>
          <t>system</t>
        </is>
      </c>
      <c r="H1153" s="2" t="inlineStr">
        <is>
          <t>01.01.01 : Mensalidade</t>
        </is>
      </c>
      <c r="I1153" s="3" t="n">
        <v>105</v>
      </c>
      <c r="J1153" s="2" t="n"/>
      <c r="K1153" s="2">
        <f>IF(H1153="02.09 : Outras Saídas", IF(OR(ISNUMBER(SEARCH("CHEQUE COMPE SICREDI", F1153)), ISNUMBER(SEARCH("aniversario", F1153)), ISNUMBER(SEARCH("churrasco", F1153)), ISNUMBER(SEARCH("bolo", F1153)), ISNUMBER(SEARCH("SUPERMERCADO", F1153))), "6.1 Despesas Administrativas (Pessoal)", IF(OR(ISNUMBER(SEARCH("DLKNET", F1153)), ISNUMBER(SEARCH("TESTE", F1153))), "6.1 Despesas Administrativas (Gerais)", IFERROR(VLOOKUP(H1153, De_Para!A:B, 2, FALSE), "NÃO MAPEADO"))), IFERROR(VLOOKUP(H1153, De_Para!A:B, 2, FALSE), "NÃO MAPEADO"))</f>
        <v/>
      </c>
    </row>
    <row r="1154">
      <c r="A1154" s="2" t="inlineStr">
        <is>
          <t>68532</t>
        </is>
      </c>
      <c r="B1154" s="2" t="inlineStr">
        <is>
          <t>Sicredi SNI</t>
        </is>
      </c>
      <c r="C1154" s="2" t="inlineStr">
        <is>
          <t>10/06/2026</t>
        </is>
      </c>
      <c r="D1154" s="2" t="inlineStr">
        <is>
          <t>10/06/2026</t>
        </is>
      </c>
      <c r="E1154" s="2" t="inlineStr">
        <is>
          <t>Dinheiro</t>
        </is>
      </c>
      <c r="F1154" s="2" t="inlineStr">
        <is>
          <t>Boleto "56832" do cliente "RENAN TADEU DE SOUZA"</t>
        </is>
      </c>
      <c r="G1154" s="2" t="inlineStr">
        <is>
          <t>system</t>
        </is>
      </c>
      <c r="H1154" s="2" t="inlineStr">
        <is>
          <t>02.03.02.01 : Cobrança Bancaria</t>
        </is>
      </c>
      <c r="I1154" s="2" t="n"/>
      <c r="J1154" s="3" t="n">
        <v>-1.08</v>
      </c>
      <c r="K1154" s="2">
        <f>IF(H1154="02.09 : Outras Saídas", IF(OR(ISNUMBER(SEARCH("CHEQUE COMPE SICREDI", F1154)), ISNUMBER(SEARCH("aniversario", F1154)), ISNUMBER(SEARCH("churrasco", F1154)), ISNUMBER(SEARCH("bolo", F1154)), ISNUMBER(SEARCH("SUPERMERCADO", F1154))), "6.1 Despesas Administrativas (Pessoal)", IF(OR(ISNUMBER(SEARCH("DLKNET", F1154)), ISNUMBER(SEARCH("TESTE", F1154))), "6.1 Despesas Administrativas (Gerais)", IFERROR(VLOOKUP(H1154, De_Para!A:B, 2, FALSE), "NÃO MAPEADO"))), IFERROR(VLOOKUP(H1154, De_Para!A:B, 2, FALSE), "NÃO MAPEADO"))</f>
        <v/>
      </c>
    </row>
    <row r="1155">
      <c r="A1155" s="2" t="inlineStr">
        <is>
          <t>68531</t>
        </is>
      </c>
      <c r="B1155" s="2" t="inlineStr">
        <is>
          <t>Sicredi SNI</t>
        </is>
      </c>
      <c r="C1155" s="2" t="inlineStr">
        <is>
          <t>10/06/2026</t>
        </is>
      </c>
      <c r="D1155" s="2" t="inlineStr">
        <is>
          <t>10/06/2026</t>
        </is>
      </c>
      <c r="E1155" s="2" t="inlineStr">
        <is>
          <t>Dinheiro</t>
        </is>
      </c>
      <c r="F1155" s="2" t="inlineStr">
        <is>
          <t>Boleto "56832" do cliente "RENAN TADEU DE SOUZA"</t>
        </is>
      </c>
      <c r="G1155" s="2" t="inlineStr">
        <is>
          <t>system</t>
        </is>
      </c>
      <c r="H1155" s="2" t="inlineStr">
        <is>
          <t>01.01.01 : Mensalidade</t>
        </is>
      </c>
      <c r="I1155" s="3" t="n">
        <v>100</v>
      </c>
      <c r="J1155" s="2" t="n"/>
      <c r="K1155" s="2">
        <f>IF(H1155="02.09 : Outras Saídas", IF(OR(ISNUMBER(SEARCH("CHEQUE COMPE SICREDI", F1155)), ISNUMBER(SEARCH("aniversario", F1155)), ISNUMBER(SEARCH("churrasco", F1155)), ISNUMBER(SEARCH("bolo", F1155)), ISNUMBER(SEARCH("SUPERMERCADO", F1155))), "6.1 Despesas Administrativas (Pessoal)", IF(OR(ISNUMBER(SEARCH("DLKNET", F1155)), ISNUMBER(SEARCH("TESTE", F1155))), "6.1 Despesas Administrativas (Gerais)", IFERROR(VLOOKUP(H1155, De_Para!A:B, 2, FALSE), "NÃO MAPEADO"))), IFERROR(VLOOKUP(H1155, De_Para!A:B, 2, FALSE), "NÃO MAPEADO"))</f>
        <v/>
      </c>
    </row>
    <row r="1156">
      <c r="A1156" s="2" t="inlineStr">
        <is>
          <t>68530</t>
        </is>
      </c>
      <c r="B1156" s="2" t="inlineStr">
        <is>
          <t>Sicredi SNI</t>
        </is>
      </c>
      <c r="C1156" s="2" t="inlineStr">
        <is>
          <t>10/06/2026</t>
        </is>
      </c>
      <c r="D1156" s="2" t="inlineStr">
        <is>
          <t>10/06/2026</t>
        </is>
      </c>
      <c r="E1156" s="2" t="inlineStr">
        <is>
          <t>Dinheiro</t>
        </is>
      </c>
      <c r="F1156" s="2" t="inlineStr">
        <is>
          <t>Boleto "56788" do cliente "REVERSON MARTINEZ E CIA LTDA"</t>
        </is>
      </c>
      <c r="G1156" s="2" t="inlineStr">
        <is>
          <t>system</t>
        </is>
      </c>
      <c r="H1156" s="2" t="inlineStr">
        <is>
          <t>02.03.02.01 : Cobrança Bancaria</t>
        </is>
      </c>
      <c r="I1156" s="2" t="n"/>
      <c r="J1156" s="3" t="n">
        <v>-1.08</v>
      </c>
      <c r="K1156" s="2">
        <f>IF(H1156="02.09 : Outras Saídas", IF(OR(ISNUMBER(SEARCH("CHEQUE COMPE SICREDI", F1156)), ISNUMBER(SEARCH("aniversario", F1156)), ISNUMBER(SEARCH("churrasco", F1156)), ISNUMBER(SEARCH("bolo", F1156)), ISNUMBER(SEARCH("SUPERMERCADO", F1156))), "6.1 Despesas Administrativas (Pessoal)", IF(OR(ISNUMBER(SEARCH("DLKNET", F1156)), ISNUMBER(SEARCH("TESTE", F1156))), "6.1 Despesas Administrativas (Gerais)", IFERROR(VLOOKUP(H1156, De_Para!A:B, 2, FALSE), "NÃO MAPEADO"))), IFERROR(VLOOKUP(H1156, De_Para!A:B, 2, FALSE), "NÃO MAPEADO"))</f>
        <v/>
      </c>
    </row>
    <row r="1157">
      <c r="A1157" s="2" t="inlineStr">
        <is>
          <t>68529</t>
        </is>
      </c>
      <c r="B1157" s="2" t="inlineStr">
        <is>
          <t>Sicredi SNI</t>
        </is>
      </c>
      <c r="C1157" s="2" t="inlineStr">
        <is>
          <t>10/06/2026</t>
        </is>
      </c>
      <c r="D1157" s="2" t="inlineStr">
        <is>
          <t>10/06/2026</t>
        </is>
      </c>
      <c r="E1157" s="2" t="inlineStr">
        <is>
          <t>Dinheiro</t>
        </is>
      </c>
      <c r="F1157" s="2" t="inlineStr">
        <is>
          <t>Boleto "56788" do cliente "REVERSON MARTINEZ E CIA LTDA"</t>
        </is>
      </c>
      <c r="G1157" s="2" t="inlineStr">
        <is>
          <t>system</t>
        </is>
      </c>
      <c r="H1157" s="2" t="inlineStr">
        <is>
          <t>01.01.01 : Mensalidade</t>
        </is>
      </c>
      <c r="I1157" s="3" t="n">
        <v>110</v>
      </c>
      <c r="J1157" s="2" t="n"/>
      <c r="K1157" s="2">
        <f>IF(H1157="02.09 : Outras Saídas", IF(OR(ISNUMBER(SEARCH("CHEQUE COMPE SICREDI", F1157)), ISNUMBER(SEARCH("aniversario", F1157)), ISNUMBER(SEARCH("churrasco", F1157)), ISNUMBER(SEARCH("bolo", F1157)), ISNUMBER(SEARCH("SUPERMERCADO", F1157))), "6.1 Despesas Administrativas (Pessoal)", IF(OR(ISNUMBER(SEARCH("DLKNET", F1157)), ISNUMBER(SEARCH("TESTE", F1157))), "6.1 Despesas Administrativas (Gerais)", IFERROR(VLOOKUP(H1157, De_Para!A:B, 2, FALSE), "NÃO MAPEADO"))), IFERROR(VLOOKUP(H1157, De_Para!A:B, 2, FALSE), "NÃO MAPEADO"))</f>
        <v/>
      </c>
    </row>
    <row r="1158">
      <c r="A1158" s="2" t="inlineStr">
        <is>
          <t>68528</t>
        </is>
      </c>
      <c r="B1158" s="2" t="inlineStr">
        <is>
          <t>Sicredi SNI</t>
        </is>
      </c>
      <c r="C1158" s="2" t="inlineStr">
        <is>
          <t>10/06/2026</t>
        </is>
      </c>
      <c r="D1158" s="2" t="inlineStr">
        <is>
          <t>10/06/2026</t>
        </is>
      </c>
      <c r="E1158" s="2" t="inlineStr">
        <is>
          <t>Dinheiro</t>
        </is>
      </c>
      <c r="F1158" s="2" t="inlineStr">
        <is>
          <t>Boleto "55838" do cliente "ANTONIO CARLOS BRANDELIK"</t>
        </is>
      </c>
      <c r="G1158" s="2" t="inlineStr">
        <is>
          <t>system</t>
        </is>
      </c>
      <c r="H1158" s="2" t="inlineStr">
        <is>
          <t>02.03.02.01 : Cobrança Bancaria</t>
        </is>
      </c>
      <c r="I1158" s="2" t="n"/>
      <c r="J1158" s="3" t="n">
        <v>-1.08</v>
      </c>
      <c r="K1158" s="2">
        <f>IF(H1158="02.09 : Outras Saídas", IF(OR(ISNUMBER(SEARCH("CHEQUE COMPE SICREDI", F1158)), ISNUMBER(SEARCH("aniversario", F1158)), ISNUMBER(SEARCH("churrasco", F1158)), ISNUMBER(SEARCH("bolo", F1158)), ISNUMBER(SEARCH("SUPERMERCADO", F1158))), "6.1 Despesas Administrativas (Pessoal)", IF(OR(ISNUMBER(SEARCH("DLKNET", F1158)), ISNUMBER(SEARCH("TESTE", F1158))), "6.1 Despesas Administrativas (Gerais)", IFERROR(VLOOKUP(H1158, De_Para!A:B, 2, FALSE), "NÃO MAPEADO"))), IFERROR(VLOOKUP(H1158, De_Para!A:B, 2, FALSE), "NÃO MAPEADO"))</f>
        <v/>
      </c>
    </row>
    <row r="1159">
      <c r="A1159" s="2" t="inlineStr">
        <is>
          <t>68527</t>
        </is>
      </c>
      <c r="B1159" s="2" t="inlineStr">
        <is>
          <t>Sicredi SNI</t>
        </is>
      </c>
      <c r="C1159" s="2" t="inlineStr">
        <is>
          <t>10/06/2026</t>
        </is>
      </c>
      <c r="D1159" s="2" t="inlineStr">
        <is>
          <t>10/06/2026</t>
        </is>
      </c>
      <c r="E1159" s="2" t="inlineStr">
        <is>
          <t>Dinheiro</t>
        </is>
      </c>
      <c r="F1159" s="2" t="inlineStr">
        <is>
          <t>Boleto "55838" do cliente "ANTONIO CARLOS BRANDELIK"</t>
        </is>
      </c>
      <c r="G1159" s="2" t="inlineStr">
        <is>
          <t>system</t>
        </is>
      </c>
      <c r="H1159" s="2" t="inlineStr">
        <is>
          <t>01.01.01 : Mensalidade</t>
        </is>
      </c>
      <c r="I1159" s="3" t="n">
        <v>80</v>
      </c>
      <c r="J1159" s="2" t="n"/>
      <c r="K1159" s="2">
        <f>IF(H1159="02.09 : Outras Saídas", IF(OR(ISNUMBER(SEARCH("CHEQUE COMPE SICREDI", F1159)), ISNUMBER(SEARCH("aniversario", F1159)), ISNUMBER(SEARCH("churrasco", F1159)), ISNUMBER(SEARCH("bolo", F1159)), ISNUMBER(SEARCH("SUPERMERCADO", F1159))), "6.1 Despesas Administrativas (Pessoal)", IF(OR(ISNUMBER(SEARCH("DLKNET", F1159)), ISNUMBER(SEARCH("TESTE", F1159))), "6.1 Despesas Administrativas (Gerais)", IFERROR(VLOOKUP(H1159, De_Para!A:B, 2, FALSE), "NÃO MAPEADO"))), IFERROR(VLOOKUP(H1159, De_Para!A:B, 2, FALSE), "NÃO MAPEADO"))</f>
        <v/>
      </c>
    </row>
    <row r="1160">
      <c r="A1160" s="2" t="inlineStr">
        <is>
          <t>68526</t>
        </is>
      </c>
      <c r="B1160" s="2" t="inlineStr">
        <is>
          <t>Sicoob</t>
        </is>
      </c>
      <c r="C1160" s="2" t="inlineStr">
        <is>
          <t>10/06/2026</t>
        </is>
      </c>
      <c r="D1160" s="2" t="inlineStr">
        <is>
          <t>10/06/2026</t>
        </is>
      </c>
      <c r="E1160" s="2" t="inlineStr">
        <is>
          <t>Dinheiro</t>
        </is>
      </c>
      <c r="F1160" s="2" t="inlineStr">
        <is>
          <t>Boleto "66654" do cliente "PATRICIA ZANLORENZI MARINOSKI NOGUEIRA"</t>
        </is>
      </c>
      <c r="G1160" s="2" t="inlineStr">
        <is>
          <t>system</t>
        </is>
      </c>
      <c r="H1160" s="2" t="inlineStr">
        <is>
          <t>02.03.02.01 : Cobrança Bancaria</t>
        </is>
      </c>
      <c r="I1160" s="2" t="n"/>
      <c r="J1160" s="3" t="n">
        <v>-0.88</v>
      </c>
      <c r="K1160" s="2">
        <f>IF(H1160="02.09 : Outras Saídas", IF(OR(ISNUMBER(SEARCH("CHEQUE COMPE SICREDI", F1160)), ISNUMBER(SEARCH("aniversario", F1160)), ISNUMBER(SEARCH("churrasco", F1160)), ISNUMBER(SEARCH("bolo", F1160)), ISNUMBER(SEARCH("SUPERMERCADO", F1160))), "6.1 Despesas Administrativas (Pessoal)", IF(OR(ISNUMBER(SEARCH("DLKNET", F1160)), ISNUMBER(SEARCH("TESTE", F1160))), "6.1 Despesas Administrativas (Gerais)", IFERROR(VLOOKUP(H1160, De_Para!A:B, 2, FALSE), "NÃO MAPEADO"))), IFERROR(VLOOKUP(H1160, De_Para!A:B, 2, FALSE), "NÃO MAPEADO"))</f>
        <v/>
      </c>
    </row>
    <row r="1161">
      <c r="A1161" s="2" t="inlineStr">
        <is>
          <t>68525</t>
        </is>
      </c>
      <c r="B1161" s="2" t="inlineStr">
        <is>
          <t>Sicoob</t>
        </is>
      </c>
      <c r="C1161" s="2" t="inlineStr">
        <is>
          <t>10/06/2026</t>
        </is>
      </c>
      <c r="D1161" s="2" t="inlineStr">
        <is>
          <t>10/06/2026</t>
        </is>
      </c>
      <c r="E1161" s="2" t="inlineStr">
        <is>
          <t>Dinheiro</t>
        </is>
      </c>
      <c r="F1161" s="2" t="inlineStr">
        <is>
          <t>Boleto "66654" do cliente "PATRICIA ZANLORENZI MARINOSKI NOGUEIRA"</t>
        </is>
      </c>
      <c r="G1161" s="2" t="inlineStr">
        <is>
          <t>system</t>
        </is>
      </c>
      <c r="H1161" s="2" t="inlineStr">
        <is>
          <t>01.01.01 : Mensalidade</t>
        </is>
      </c>
      <c r="I1161" s="3" t="n">
        <v>112.49</v>
      </c>
      <c r="J1161" s="2" t="n"/>
      <c r="K1161" s="2">
        <f>IF(H1161="02.09 : Outras Saídas", IF(OR(ISNUMBER(SEARCH("CHEQUE COMPE SICREDI", F1161)), ISNUMBER(SEARCH("aniversario", F1161)), ISNUMBER(SEARCH("churrasco", F1161)), ISNUMBER(SEARCH("bolo", F1161)), ISNUMBER(SEARCH("SUPERMERCADO", F1161))), "6.1 Despesas Administrativas (Pessoal)", IF(OR(ISNUMBER(SEARCH("DLKNET", F1161)), ISNUMBER(SEARCH("TESTE", F1161))), "6.1 Despesas Administrativas (Gerais)", IFERROR(VLOOKUP(H1161, De_Para!A:B, 2, FALSE), "NÃO MAPEADO"))), IFERROR(VLOOKUP(H1161, De_Para!A:B, 2, FALSE), "NÃO MAPEADO"))</f>
        <v/>
      </c>
    </row>
    <row r="1162">
      <c r="A1162" s="2" t="inlineStr">
        <is>
          <t>68524</t>
        </is>
      </c>
      <c r="B1162" s="2" t="inlineStr">
        <is>
          <t>Sicoob</t>
        </is>
      </c>
      <c r="C1162" s="2" t="inlineStr">
        <is>
          <t>10/06/2026</t>
        </is>
      </c>
      <c r="D1162" s="2" t="inlineStr">
        <is>
          <t>10/06/2026</t>
        </is>
      </c>
      <c r="E1162" s="2" t="inlineStr">
        <is>
          <t>Dinheiro</t>
        </is>
      </c>
      <c r="F1162" s="2" t="inlineStr">
        <is>
          <t>Boleto "65817" do cliente "JOSE CARLOS RIBEIRO DA SILVA"</t>
        </is>
      </c>
      <c r="G1162" s="2" t="inlineStr">
        <is>
          <t>system</t>
        </is>
      </c>
      <c r="H1162" s="2" t="inlineStr">
        <is>
          <t>02.03.02.01 : Cobrança Bancaria</t>
        </is>
      </c>
      <c r="I1162" s="2" t="n"/>
      <c r="J1162" s="3" t="n">
        <v>-0.88</v>
      </c>
      <c r="K1162" s="2">
        <f>IF(H1162="02.09 : Outras Saídas", IF(OR(ISNUMBER(SEARCH("CHEQUE COMPE SICREDI", F1162)), ISNUMBER(SEARCH("aniversario", F1162)), ISNUMBER(SEARCH("churrasco", F1162)), ISNUMBER(SEARCH("bolo", F1162)), ISNUMBER(SEARCH("SUPERMERCADO", F1162))), "6.1 Despesas Administrativas (Pessoal)", IF(OR(ISNUMBER(SEARCH("DLKNET", F1162)), ISNUMBER(SEARCH("TESTE", F1162))), "6.1 Despesas Administrativas (Gerais)", IFERROR(VLOOKUP(H1162, De_Para!A:B, 2, FALSE), "NÃO MAPEADO"))), IFERROR(VLOOKUP(H1162, De_Para!A:B, 2, FALSE), "NÃO MAPEADO"))</f>
        <v/>
      </c>
    </row>
    <row r="1163">
      <c r="A1163" s="2" t="inlineStr">
        <is>
          <t>68523</t>
        </is>
      </c>
      <c r="B1163" s="2" t="inlineStr">
        <is>
          <t>Sicoob</t>
        </is>
      </c>
      <c r="C1163" s="2" t="inlineStr">
        <is>
          <t>10/06/2026</t>
        </is>
      </c>
      <c r="D1163" s="2" t="inlineStr">
        <is>
          <t>10/06/2026</t>
        </is>
      </c>
      <c r="E1163" s="2" t="inlineStr">
        <is>
          <t>Dinheiro</t>
        </is>
      </c>
      <c r="F1163" s="2" t="inlineStr">
        <is>
          <t>Boleto "65817" do cliente "JOSE CARLOS RIBEIRO DA SILVA"</t>
        </is>
      </c>
      <c r="G1163" s="2" t="inlineStr">
        <is>
          <t>system</t>
        </is>
      </c>
      <c r="H1163" s="2" t="inlineStr">
        <is>
          <t>01.01.01 : Mensalidade</t>
        </is>
      </c>
      <c r="I1163" s="3" t="n">
        <v>109.9</v>
      </c>
      <c r="J1163" s="2" t="n"/>
      <c r="K1163" s="2">
        <f>IF(H1163="02.09 : Outras Saídas", IF(OR(ISNUMBER(SEARCH("CHEQUE COMPE SICREDI", F1163)), ISNUMBER(SEARCH("aniversario", F1163)), ISNUMBER(SEARCH("churrasco", F1163)), ISNUMBER(SEARCH("bolo", F1163)), ISNUMBER(SEARCH("SUPERMERCADO", F1163))), "6.1 Despesas Administrativas (Pessoal)", IF(OR(ISNUMBER(SEARCH("DLKNET", F1163)), ISNUMBER(SEARCH("TESTE", F1163))), "6.1 Despesas Administrativas (Gerais)", IFERROR(VLOOKUP(H1163, De_Para!A:B, 2, FALSE), "NÃO MAPEADO"))), IFERROR(VLOOKUP(H1163, De_Para!A:B, 2, FALSE), "NÃO MAPEADO"))</f>
        <v/>
      </c>
    </row>
    <row r="1164">
      <c r="A1164" s="2" t="inlineStr">
        <is>
          <t>68522</t>
        </is>
      </c>
      <c r="B1164" s="2" t="inlineStr">
        <is>
          <t>Sicoob</t>
        </is>
      </c>
      <c r="C1164" s="2" t="inlineStr">
        <is>
          <t>10/06/2026</t>
        </is>
      </c>
      <c r="D1164" s="2" t="inlineStr">
        <is>
          <t>10/06/2026</t>
        </is>
      </c>
      <c r="E1164" s="2" t="inlineStr">
        <is>
          <t>Dinheiro</t>
        </is>
      </c>
      <c r="F1164" s="2" t="inlineStr">
        <is>
          <t>Boleto "65221" do cliente "FRANCIELI BATISTA DA SILVA"</t>
        </is>
      </c>
      <c r="G1164" s="2" t="inlineStr">
        <is>
          <t>system</t>
        </is>
      </c>
      <c r="H1164" s="2" t="inlineStr">
        <is>
          <t>02.03.02.01 : Cobrança Bancaria</t>
        </is>
      </c>
      <c r="I1164" s="2" t="n"/>
      <c r="J1164" s="3" t="n">
        <v>-0.88</v>
      </c>
      <c r="K1164" s="2">
        <f>IF(H1164="02.09 : Outras Saídas", IF(OR(ISNUMBER(SEARCH("CHEQUE COMPE SICREDI", F1164)), ISNUMBER(SEARCH("aniversario", F1164)), ISNUMBER(SEARCH("churrasco", F1164)), ISNUMBER(SEARCH("bolo", F1164)), ISNUMBER(SEARCH("SUPERMERCADO", F1164))), "6.1 Despesas Administrativas (Pessoal)", IF(OR(ISNUMBER(SEARCH("DLKNET", F1164)), ISNUMBER(SEARCH("TESTE", F1164))), "6.1 Despesas Administrativas (Gerais)", IFERROR(VLOOKUP(H1164, De_Para!A:B, 2, FALSE), "NÃO MAPEADO"))), IFERROR(VLOOKUP(H1164, De_Para!A:B, 2, FALSE), "NÃO MAPEADO"))</f>
        <v/>
      </c>
    </row>
    <row r="1165">
      <c r="A1165" s="2" t="inlineStr">
        <is>
          <t>68521</t>
        </is>
      </c>
      <c r="B1165" s="2" t="inlineStr">
        <is>
          <t>Sicoob</t>
        </is>
      </c>
      <c r="C1165" s="2" t="inlineStr">
        <is>
          <t>10/06/2026</t>
        </is>
      </c>
      <c r="D1165" s="2" t="inlineStr">
        <is>
          <t>10/06/2026</t>
        </is>
      </c>
      <c r="E1165" s="2" t="inlineStr">
        <is>
          <t>Dinheiro</t>
        </is>
      </c>
      <c r="F1165" s="2" t="inlineStr">
        <is>
          <t>Boleto "65221" do cliente "FRANCIELI BATISTA DA SILVA"</t>
        </is>
      </c>
      <c r="G1165" s="2" t="inlineStr">
        <is>
          <t>system</t>
        </is>
      </c>
      <c r="H1165" s="2" t="inlineStr">
        <is>
          <t>01.01.01 : Mensalidade</t>
        </is>
      </c>
      <c r="I1165" s="3" t="n">
        <v>107.72</v>
      </c>
      <c r="J1165" s="2" t="n"/>
      <c r="K1165" s="2">
        <f>IF(H1165="02.09 : Outras Saídas", IF(OR(ISNUMBER(SEARCH("CHEQUE COMPE SICREDI", F1165)), ISNUMBER(SEARCH("aniversario", F1165)), ISNUMBER(SEARCH("churrasco", F1165)), ISNUMBER(SEARCH("bolo", F1165)), ISNUMBER(SEARCH("SUPERMERCADO", F1165))), "6.1 Despesas Administrativas (Pessoal)", IF(OR(ISNUMBER(SEARCH("DLKNET", F1165)), ISNUMBER(SEARCH("TESTE", F1165))), "6.1 Despesas Administrativas (Gerais)", IFERROR(VLOOKUP(H1165, De_Para!A:B, 2, FALSE), "NÃO MAPEADO"))), IFERROR(VLOOKUP(H1165, De_Para!A:B, 2, FALSE), "NÃO MAPEADO"))</f>
        <v/>
      </c>
    </row>
    <row r="1166">
      <c r="A1166" s="2" t="inlineStr">
        <is>
          <t>68520</t>
        </is>
      </c>
      <c r="B1166" s="2" t="inlineStr">
        <is>
          <t>Sicoob</t>
        </is>
      </c>
      <c r="C1166" s="2" t="inlineStr">
        <is>
          <t>10/06/2026</t>
        </is>
      </c>
      <c r="D1166" s="2" t="inlineStr">
        <is>
          <t>10/06/2026</t>
        </is>
      </c>
      <c r="E1166" s="2" t="inlineStr">
        <is>
          <t>Dinheiro</t>
        </is>
      </c>
      <c r="F1166" s="2" t="inlineStr">
        <is>
          <t>Boleto "64959" do cliente "EDUARDA OLIVEIRA"</t>
        </is>
      </c>
      <c r="G1166" s="2" t="inlineStr">
        <is>
          <t>system</t>
        </is>
      </c>
      <c r="H1166" s="2" t="inlineStr">
        <is>
          <t>02.03.02.01 : Cobrança Bancaria</t>
        </is>
      </c>
      <c r="I1166" s="2" t="n"/>
      <c r="J1166" s="3" t="n">
        <v>-0.88</v>
      </c>
      <c r="K1166" s="2">
        <f>IF(H1166="02.09 : Outras Saídas", IF(OR(ISNUMBER(SEARCH("CHEQUE COMPE SICREDI", F1166)), ISNUMBER(SEARCH("aniversario", F1166)), ISNUMBER(SEARCH("churrasco", F1166)), ISNUMBER(SEARCH("bolo", F1166)), ISNUMBER(SEARCH("SUPERMERCADO", F1166))), "6.1 Despesas Administrativas (Pessoal)", IF(OR(ISNUMBER(SEARCH("DLKNET", F1166)), ISNUMBER(SEARCH("TESTE", F1166))), "6.1 Despesas Administrativas (Gerais)", IFERROR(VLOOKUP(H1166, De_Para!A:B, 2, FALSE), "NÃO MAPEADO"))), IFERROR(VLOOKUP(H1166, De_Para!A:B, 2, FALSE), "NÃO MAPEADO"))</f>
        <v/>
      </c>
    </row>
    <row r="1167">
      <c r="A1167" s="2" t="inlineStr">
        <is>
          <t>68519</t>
        </is>
      </c>
      <c r="B1167" s="2" t="inlineStr">
        <is>
          <t>Sicoob</t>
        </is>
      </c>
      <c r="C1167" s="2" t="inlineStr">
        <is>
          <t>10/06/2026</t>
        </is>
      </c>
      <c r="D1167" s="2" t="inlineStr">
        <is>
          <t>10/06/2026</t>
        </is>
      </c>
      <c r="E1167" s="2" t="inlineStr">
        <is>
          <t>Dinheiro</t>
        </is>
      </c>
      <c r="F1167" s="2" t="inlineStr">
        <is>
          <t>Boleto "64959" do cliente "EDUARDA OLIVEIRA"</t>
        </is>
      </c>
      <c r="G1167" s="2" t="inlineStr">
        <is>
          <t>system</t>
        </is>
      </c>
      <c r="H1167" s="2" t="inlineStr">
        <is>
          <t>01.01.01 : Mensalidade</t>
        </is>
      </c>
      <c r="I1167" s="3" t="n">
        <v>104.9</v>
      </c>
      <c r="J1167" s="2" t="n"/>
      <c r="K1167" s="2">
        <f>IF(H1167="02.09 : Outras Saídas", IF(OR(ISNUMBER(SEARCH("CHEQUE COMPE SICREDI", F1167)), ISNUMBER(SEARCH("aniversario", F1167)), ISNUMBER(SEARCH("churrasco", F1167)), ISNUMBER(SEARCH("bolo", F1167)), ISNUMBER(SEARCH("SUPERMERCADO", F1167))), "6.1 Despesas Administrativas (Pessoal)", IF(OR(ISNUMBER(SEARCH("DLKNET", F1167)), ISNUMBER(SEARCH("TESTE", F1167))), "6.1 Despesas Administrativas (Gerais)", IFERROR(VLOOKUP(H1167, De_Para!A:B, 2, FALSE), "NÃO MAPEADO"))), IFERROR(VLOOKUP(H1167, De_Para!A:B, 2, FALSE), "NÃO MAPEADO"))</f>
        <v/>
      </c>
    </row>
    <row r="1168">
      <c r="A1168" s="2" t="inlineStr">
        <is>
          <t>68518</t>
        </is>
      </c>
      <c r="B1168" s="2" t="inlineStr">
        <is>
          <t>Sicoob</t>
        </is>
      </c>
      <c r="C1168" s="2" t="inlineStr">
        <is>
          <t>10/06/2026</t>
        </is>
      </c>
      <c r="D1168" s="2" t="inlineStr">
        <is>
          <t>10/06/2026</t>
        </is>
      </c>
      <c r="E1168" s="2" t="inlineStr">
        <is>
          <t>Dinheiro</t>
        </is>
      </c>
      <c r="F1168" s="2" t="inlineStr">
        <is>
          <t>Boleto "63867" do cliente "DINOIR SOARES DE MELO"</t>
        </is>
      </c>
      <c r="G1168" s="2" t="inlineStr">
        <is>
          <t>system</t>
        </is>
      </c>
      <c r="H1168" s="2" t="inlineStr">
        <is>
          <t>02.03.02.01 : Cobrança Bancaria</t>
        </is>
      </c>
      <c r="I1168" s="2" t="n"/>
      <c r="J1168" s="3" t="n">
        <v>-0.88</v>
      </c>
      <c r="K1168" s="2">
        <f>IF(H1168="02.09 : Outras Saídas", IF(OR(ISNUMBER(SEARCH("CHEQUE COMPE SICREDI", F1168)), ISNUMBER(SEARCH("aniversario", F1168)), ISNUMBER(SEARCH("churrasco", F1168)), ISNUMBER(SEARCH("bolo", F1168)), ISNUMBER(SEARCH("SUPERMERCADO", F1168))), "6.1 Despesas Administrativas (Pessoal)", IF(OR(ISNUMBER(SEARCH("DLKNET", F1168)), ISNUMBER(SEARCH("TESTE", F1168))), "6.1 Despesas Administrativas (Gerais)", IFERROR(VLOOKUP(H1168, De_Para!A:B, 2, FALSE), "NÃO MAPEADO"))), IFERROR(VLOOKUP(H1168, De_Para!A:B, 2, FALSE), "NÃO MAPEADO"))</f>
        <v/>
      </c>
    </row>
    <row r="1169">
      <c r="A1169" s="2" t="inlineStr">
        <is>
          <t>68517</t>
        </is>
      </c>
      <c r="B1169" s="2" t="inlineStr">
        <is>
          <t>Sicoob</t>
        </is>
      </c>
      <c r="C1169" s="2" t="inlineStr">
        <is>
          <t>10/06/2026</t>
        </is>
      </c>
      <c r="D1169" s="2" t="inlineStr">
        <is>
          <t>10/06/2026</t>
        </is>
      </c>
      <c r="E1169" s="2" t="inlineStr">
        <is>
          <t>Dinheiro</t>
        </is>
      </c>
      <c r="F1169" s="2" t="inlineStr">
        <is>
          <t>Boleto "63867" do cliente "DINOIR SOARES DE MELO"</t>
        </is>
      </c>
      <c r="G1169" s="2" t="inlineStr">
        <is>
          <t>system</t>
        </is>
      </c>
      <c r="H1169" s="2" t="inlineStr">
        <is>
          <t>01.01.01 : Mensalidade</t>
        </is>
      </c>
      <c r="I1169" s="3" t="n">
        <v>104.9</v>
      </c>
      <c r="J1169" s="2" t="n"/>
      <c r="K1169" s="2">
        <f>IF(H1169="02.09 : Outras Saídas", IF(OR(ISNUMBER(SEARCH("CHEQUE COMPE SICREDI", F1169)), ISNUMBER(SEARCH("aniversario", F1169)), ISNUMBER(SEARCH("churrasco", F1169)), ISNUMBER(SEARCH("bolo", F1169)), ISNUMBER(SEARCH("SUPERMERCADO", F1169))), "6.1 Despesas Administrativas (Pessoal)", IF(OR(ISNUMBER(SEARCH("DLKNET", F1169)), ISNUMBER(SEARCH("TESTE", F1169))), "6.1 Despesas Administrativas (Gerais)", IFERROR(VLOOKUP(H1169, De_Para!A:B, 2, FALSE), "NÃO MAPEADO"))), IFERROR(VLOOKUP(H1169, De_Para!A:B, 2, FALSE), "NÃO MAPEADO"))</f>
        <v/>
      </c>
    </row>
    <row r="1170">
      <c r="A1170" s="2" t="inlineStr">
        <is>
          <t>68516</t>
        </is>
      </c>
      <c r="B1170" s="2" t="inlineStr">
        <is>
          <t>Sicoob</t>
        </is>
      </c>
      <c r="C1170" s="2" t="inlineStr">
        <is>
          <t>10/06/2026</t>
        </is>
      </c>
      <c r="D1170" s="2" t="inlineStr">
        <is>
          <t>10/06/2026</t>
        </is>
      </c>
      <c r="E1170" s="2" t="inlineStr">
        <is>
          <t>Dinheiro</t>
        </is>
      </c>
      <c r="F1170" s="2" t="inlineStr">
        <is>
          <t>Boleto "63193" do cliente "LUIS CARLOS GONÇALVES"</t>
        </is>
      </c>
      <c r="G1170" s="2" t="inlineStr">
        <is>
          <t>system</t>
        </is>
      </c>
      <c r="H1170" s="2" t="inlineStr">
        <is>
          <t>02.03.02.01 : Cobrança Bancaria</t>
        </is>
      </c>
      <c r="I1170" s="2" t="n"/>
      <c r="J1170" s="3" t="n">
        <v>-0.88</v>
      </c>
      <c r="K1170" s="2">
        <f>IF(H1170="02.09 : Outras Saídas", IF(OR(ISNUMBER(SEARCH("CHEQUE COMPE SICREDI", F1170)), ISNUMBER(SEARCH("aniversario", F1170)), ISNUMBER(SEARCH("churrasco", F1170)), ISNUMBER(SEARCH("bolo", F1170)), ISNUMBER(SEARCH("SUPERMERCADO", F1170))), "6.1 Despesas Administrativas (Pessoal)", IF(OR(ISNUMBER(SEARCH("DLKNET", F1170)), ISNUMBER(SEARCH("TESTE", F1170))), "6.1 Despesas Administrativas (Gerais)", IFERROR(VLOOKUP(H1170, De_Para!A:B, 2, FALSE), "NÃO MAPEADO"))), IFERROR(VLOOKUP(H1170, De_Para!A:B, 2, FALSE), "NÃO MAPEADO"))</f>
        <v/>
      </c>
    </row>
    <row r="1171">
      <c r="A1171" s="2" t="inlineStr">
        <is>
          <t>68515</t>
        </is>
      </c>
      <c r="B1171" s="2" t="inlineStr">
        <is>
          <t>Sicoob</t>
        </is>
      </c>
      <c r="C1171" s="2" t="inlineStr">
        <is>
          <t>10/06/2026</t>
        </is>
      </c>
      <c r="D1171" s="2" t="inlineStr">
        <is>
          <t>10/06/2026</t>
        </is>
      </c>
      <c r="E1171" s="2" t="inlineStr">
        <is>
          <t>Dinheiro</t>
        </is>
      </c>
      <c r="F1171" s="2" t="inlineStr">
        <is>
          <t>Boleto "63193" do cliente "LUIS CARLOS GONÇALVES"</t>
        </is>
      </c>
      <c r="G1171" s="2" t="inlineStr">
        <is>
          <t>system</t>
        </is>
      </c>
      <c r="H1171" s="2" t="inlineStr">
        <is>
          <t>01.03.01 : Mensalidade</t>
        </is>
      </c>
      <c r="I1171" s="3" t="n">
        <v>105</v>
      </c>
      <c r="J1171" s="2" t="n"/>
      <c r="K1171" s="2">
        <f>IF(H1171="02.09 : Outras Saídas", IF(OR(ISNUMBER(SEARCH("CHEQUE COMPE SICREDI", F1171)), ISNUMBER(SEARCH("aniversario", F1171)), ISNUMBER(SEARCH("churrasco", F1171)), ISNUMBER(SEARCH("bolo", F1171)), ISNUMBER(SEARCH("SUPERMERCADO", F1171))), "6.1 Despesas Administrativas (Pessoal)", IF(OR(ISNUMBER(SEARCH("DLKNET", F1171)), ISNUMBER(SEARCH("TESTE", F1171))), "6.1 Despesas Administrativas (Gerais)", IFERROR(VLOOKUP(H1171, De_Para!A:B, 2, FALSE), "NÃO MAPEADO"))), IFERROR(VLOOKUP(H1171, De_Para!A:B, 2, FALSE), "NÃO MAPEADO"))</f>
        <v/>
      </c>
    </row>
    <row r="1172">
      <c r="A1172" s="2" t="inlineStr">
        <is>
          <t>68514</t>
        </is>
      </c>
      <c r="B1172" s="2" t="inlineStr">
        <is>
          <t>Sicoob</t>
        </is>
      </c>
      <c r="C1172" s="2" t="inlineStr">
        <is>
          <t>10/06/2026</t>
        </is>
      </c>
      <c r="D1172" s="2" t="inlineStr">
        <is>
          <t>10/06/2026</t>
        </is>
      </c>
      <c r="E1172" s="2" t="inlineStr">
        <is>
          <t>Dinheiro</t>
        </is>
      </c>
      <c r="F1172" s="2" t="inlineStr">
        <is>
          <t>Boleto "61341" do cliente "LUIZ CESAR FERREIRA LIMA"</t>
        </is>
      </c>
      <c r="G1172" s="2" t="inlineStr">
        <is>
          <t>system</t>
        </is>
      </c>
      <c r="H1172" s="2" t="inlineStr">
        <is>
          <t>02.03.02.01 : Cobrança Bancaria</t>
        </is>
      </c>
      <c r="I1172" s="2" t="n"/>
      <c r="J1172" s="3" t="n">
        <v>-0.88</v>
      </c>
      <c r="K1172" s="2">
        <f>IF(H1172="02.09 : Outras Saídas", IF(OR(ISNUMBER(SEARCH("CHEQUE COMPE SICREDI", F1172)), ISNUMBER(SEARCH("aniversario", F1172)), ISNUMBER(SEARCH("churrasco", F1172)), ISNUMBER(SEARCH("bolo", F1172)), ISNUMBER(SEARCH("SUPERMERCADO", F1172))), "6.1 Despesas Administrativas (Pessoal)", IF(OR(ISNUMBER(SEARCH("DLKNET", F1172)), ISNUMBER(SEARCH("TESTE", F1172))), "6.1 Despesas Administrativas (Gerais)", IFERROR(VLOOKUP(H1172, De_Para!A:B, 2, FALSE), "NÃO MAPEADO"))), IFERROR(VLOOKUP(H1172, De_Para!A:B, 2, FALSE), "NÃO MAPEADO"))</f>
        <v/>
      </c>
    </row>
    <row r="1173">
      <c r="A1173" s="2" t="inlineStr">
        <is>
          <t>68513</t>
        </is>
      </c>
      <c r="B1173" s="2" t="inlineStr">
        <is>
          <t>Sicoob</t>
        </is>
      </c>
      <c r="C1173" s="2" t="inlineStr">
        <is>
          <t>10/06/2026</t>
        </is>
      </c>
      <c r="D1173" s="2" t="inlineStr">
        <is>
          <t>10/06/2026</t>
        </is>
      </c>
      <c r="E1173" s="2" t="inlineStr">
        <is>
          <t>Dinheiro</t>
        </is>
      </c>
      <c r="F1173" s="2" t="inlineStr">
        <is>
          <t>Boleto "61341" do cliente "LUIZ CESAR FERREIRA LIMA"</t>
        </is>
      </c>
      <c r="G1173" s="2" t="inlineStr">
        <is>
          <t>system</t>
        </is>
      </c>
      <c r="H1173" s="2" t="inlineStr">
        <is>
          <t>01.01.01 : Mensalidade</t>
        </is>
      </c>
      <c r="I1173" s="3" t="n">
        <v>99.90000000000001</v>
      </c>
      <c r="J1173" s="2" t="n"/>
      <c r="K1173" s="2">
        <f>IF(H1173="02.09 : Outras Saídas", IF(OR(ISNUMBER(SEARCH("CHEQUE COMPE SICREDI", F1173)), ISNUMBER(SEARCH("aniversario", F1173)), ISNUMBER(SEARCH("churrasco", F1173)), ISNUMBER(SEARCH("bolo", F1173)), ISNUMBER(SEARCH("SUPERMERCADO", F1173))), "6.1 Despesas Administrativas (Pessoal)", IF(OR(ISNUMBER(SEARCH("DLKNET", F1173)), ISNUMBER(SEARCH("TESTE", F1173))), "6.1 Despesas Administrativas (Gerais)", IFERROR(VLOOKUP(H1173, De_Para!A:B, 2, FALSE), "NÃO MAPEADO"))), IFERROR(VLOOKUP(H1173, De_Para!A:B, 2, FALSE), "NÃO MAPEADO"))</f>
        <v/>
      </c>
    </row>
    <row r="1174">
      <c r="A1174" s="2" t="inlineStr">
        <is>
          <t>68512</t>
        </is>
      </c>
      <c r="B1174" s="2" t="inlineStr">
        <is>
          <t>Sicoob</t>
        </is>
      </c>
      <c r="C1174" s="2" t="inlineStr">
        <is>
          <t>10/06/2026</t>
        </is>
      </c>
      <c r="D1174" s="2" t="inlineStr">
        <is>
          <t>10/06/2026</t>
        </is>
      </c>
      <c r="E1174" s="2" t="inlineStr">
        <is>
          <t>Dinheiro</t>
        </is>
      </c>
      <c r="F1174" s="2" t="inlineStr">
        <is>
          <t>Boleto "60100" do cliente "GIUVAM JOSE GALDINO"</t>
        </is>
      </c>
      <c r="G1174" s="2" t="inlineStr">
        <is>
          <t>system</t>
        </is>
      </c>
      <c r="H1174" s="2" t="inlineStr">
        <is>
          <t>02.03.02.01 : Cobrança Bancaria</t>
        </is>
      </c>
      <c r="I1174" s="2" t="n"/>
      <c r="J1174" s="3" t="n">
        <v>-0.88</v>
      </c>
      <c r="K1174" s="2">
        <f>IF(H1174="02.09 : Outras Saídas", IF(OR(ISNUMBER(SEARCH("CHEQUE COMPE SICREDI", F1174)), ISNUMBER(SEARCH("aniversario", F1174)), ISNUMBER(SEARCH("churrasco", F1174)), ISNUMBER(SEARCH("bolo", F1174)), ISNUMBER(SEARCH("SUPERMERCADO", F1174))), "6.1 Despesas Administrativas (Pessoal)", IF(OR(ISNUMBER(SEARCH("DLKNET", F1174)), ISNUMBER(SEARCH("TESTE", F1174))), "6.1 Despesas Administrativas (Gerais)", IFERROR(VLOOKUP(H1174, De_Para!A:B, 2, FALSE), "NÃO MAPEADO"))), IFERROR(VLOOKUP(H1174, De_Para!A:B, 2, FALSE), "NÃO MAPEADO"))</f>
        <v/>
      </c>
    </row>
    <row r="1175">
      <c r="A1175" s="2" t="inlineStr">
        <is>
          <t>68511</t>
        </is>
      </c>
      <c r="B1175" s="2" t="inlineStr">
        <is>
          <t>Sicoob</t>
        </is>
      </c>
      <c r="C1175" s="2" t="inlineStr">
        <is>
          <t>10/06/2026</t>
        </is>
      </c>
      <c r="D1175" s="2" t="inlineStr">
        <is>
          <t>10/06/2026</t>
        </is>
      </c>
      <c r="E1175" s="2" t="inlineStr">
        <is>
          <t>Dinheiro</t>
        </is>
      </c>
      <c r="F1175" s="2" t="inlineStr">
        <is>
          <t>Boleto "60100" do cliente "GIUVAM JOSE GALDINO"</t>
        </is>
      </c>
      <c r="G1175" s="2" t="inlineStr">
        <is>
          <t>system</t>
        </is>
      </c>
      <c r="H1175" s="2" t="inlineStr">
        <is>
          <t>01.01.01 : Mensalidade</t>
        </is>
      </c>
      <c r="I1175" s="3" t="n">
        <v>110</v>
      </c>
      <c r="J1175" s="2" t="n"/>
      <c r="K1175" s="2">
        <f>IF(H1175="02.09 : Outras Saídas", IF(OR(ISNUMBER(SEARCH("CHEQUE COMPE SICREDI", F1175)), ISNUMBER(SEARCH("aniversario", F1175)), ISNUMBER(SEARCH("churrasco", F1175)), ISNUMBER(SEARCH("bolo", F1175)), ISNUMBER(SEARCH("SUPERMERCADO", F1175))), "6.1 Despesas Administrativas (Pessoal)", IF(OR(ISNUMBER(SEARCH("DLKNET", F1175)), ISNUMBER(SEARCH("TESTE", F1175))), "6.1 Despesas Administrativas (Gerais)", IFERROR(VLOOKUP(H1175, De_Para!A:B, 2, FALSE), "NÃO MAPEADO"))), IFERROR(VLOOKUP(H1175, De_Para!A:B, 2, FALSE), "NÃO MAPEADO"))</f>
        <v/>
      </c>
    </row>
    <row r="1176">
      <c r="A1176" s="2" t="inlineStr">
        <is>
          <t>68510</t>
        </is>
      </c>
      <c r="B1176" s="2" t="inlineStr">
        <is>
          <t>Sicoob</t>
        </is>
      </c>
      <c r="C1176" s="2" t="inlineStr">
        <is>
          <t>10/06/2026</t>
        </is>
      </c>
      <c r="D1176" s="2" t="inlineStr">
        <is>
          <t>10/06/2026</t>
        </is>
      </c>
      <c r="E1176" s="2" t="inlineStr">
        <is>
          <t>Dinheiro</t>
        </is>
      </c>
      <c r="F1176" s="2" t="inlineStr">
        <is>
          <t>Boleto "59544" do cliente "MARCOS ROBERTO DE FARIA"</t>
        </is>
      </c>
      <c r="G1176" s="2" t="inlineStr">
        <is>
          <t>system</t>
        </is>
      </c>
      <c r="H1176" s="2" t="inlineStr">
        <is>
          <t>02.03.02.01 : Cobrança Bancaria</t>
        </is>
      </c>
      <c r="I1176" s="2" t="n"/>
      <c r="J1176" s="3" t="n">
        <v>-0.88</v>
      </c>
      <c r="K1176" s="2">
        <f>IF(H1176="02.09 : Outras Saídas", IF(OR(ISNUMBER(SEARCH("CHEQUE COMPE SICREDI", F1176)), ISNUMBER(SEARCH("aniversario", F1176)), ISNUMBER(SEARCH("churrasco", F1176)), ISNUMBER(SEARCH("bolo", F1176)), ISNUMBER(SEARCH("SUPERMERCADO", F1176))), "6.1 Despesas Administrativas (Pessoal)", IF(OR(ISNUMBER(SEARCH("DLKNET", F1176)), ISNUMBER(SEARCH("TESTE", F1176))), "6.1 Despesas Administrativas (Gerais)", IFERROR(VLOOKUP(H1176, De_Para!A:B, 2, FALSE), "NÃO MAPEADO"))), IFERROR(VLOOKUP(H1176, De_Para!A:B, 2, FALSE), "NÃO MAPEADO"))</f>
        <v/>
      </c>
    </row>
    <row r="1177">
      <c r="A1177" s="2" t="inlineStr">
        <is>
          <t>68509</t>
        </is>
      </c>
      <c r="B1177" s="2" t="inlineStr">
        <is>
          <t>Sicoob</t>
        </is>
      </c>
      <c r="C1177" s="2" t="inlineStr">
        <is>
          <t>10/06/2026</t>
        </is>
      </c>
      <c r="D1177" s="2" t="inlineStr">
        <is>
          <t>10/06/2026</t>
        </is>
      </c>
      <c r="E1177" s="2" t="inlineStr">
        <is>
          <t>Dinheiro</t>
        </is>
      </c>
      <c r="F1177" s="2" t="inlineStr">
        <is>
          <t>Boleto "59544" do cliente "MARCOS ROBERTO DE FARIA"</t>
        </is>
      </c>
      <c r="G1177" s="2" t="inlineStr">
        <is>
          <t>system</t>
        </is>
      </c>
      <c r="H1177" s="2" t="inlineStr">
        <is>
          <t>01.01.01 : Mensalidade</t>
        </is>
      </c>
      <c r="I1177" s="3" t="n">
        <v>107.41</v>
      </c>
      <c r="J1177" s="2" t="n"/>
      <c r="K1177" s="2">
        <f>IF(H1177="02.09 : Outras Saídas", IF(OR(ISNUMBER(SEARCH("CHEQUE COMPE SICREDI", F1177)), ISNUMBER(SEARCH("aniversario", F1177)), ISNUMBER(SEARCH("churrasco", F1177)), ISNUMBER(SEARCH("bolo", F1177)), ISNUMBER(SEARCH("SUPERMERCADO", F1177))), "6.1 Despesas Administrativas (Pessoal)", IF(OR(ISNUMBER(SEARCH("DLKNET", F1177)), ISNUMBER(SEARCH("TESTE", F1177))), "6.1 Despesas Administrativas (Gerais)", IFERROR(VLOOKUP(H1177, De_Para!A:B, 2, FALSE), "NÃO MAPEADO"))), IFERROR(VLOOKUP(H1177, De_Para!A:B, 2, FALSE), "NÃO MAPEADO"))</f>
        <v/>
      </c>
    </row>
    <row r="1178">
      <c r="A1178" s="2" t="inlineStr">
        <is>
          <t>68508</t>
        </is>
      </c>
      <c r="B1178" s="2" t="inlineStr">
        <is>
          <t>Sicoob</t>
        </is>
      </c>
      <c r="C1178" s="2" t="inlineStr">
        <is>
          <t>10/06/2026</t>
        </is>
      </c>
      <c r="D1178" s="2" t="inlineStr">
        <is>
          <t>10/06/2026</t>
        </is>
      </c>
      <c r="E1178" s="2" t="inlineStr">
        <is>
          <t>Dinheiro</t>
        </is>
      </c>
      <c r="F1178" s="2" t="inlineStr">
        <is>
          <t>Boleto "58771" do cliente "MARIA ESTER LIMA"</t>
        </is>
      </c>
      <c r="G1178" s="2" t="inlineStr">
        <is>
          <t>system</t>
        </is>
      </c>
      <c r="H1178" s="2" t="inlineStr">
        <is>
          <t>02.03.02.01 : Cobrança Bancaria</t>
        </is>
      </c>
      <c r="I1178" s="2" t="n"/>
      <c r="J1178" s="3" t="n">
        <v>-0.88</v>
      </c>
      <c r="K1178" s="2">
        <f>IF(H1178="02.09 : Outras Saídas", IF(OR(ISNUMBER(SEARCH("CHEQUE COMPE SICREDI", F1178)), ISNUMBER(SEARCH("aniversario", F1178)), ISNUMBER(SEARCH("churrasco", F1178)), ISNUMBER(SEARCH("bolo", F1178)), ISNUMBER(SEARCH("SUPERMERCADO", F1178))), "6.1 Despesas Administrativas (Pessoal)", IF(OR(ISNUMBER(SEARCH("DLKNET", F1178)), ISNUMBER(SEARCH("TESTE", F1178))), "6.1 Despesas Administrativas (Gerais)", IFERROR(VLOOKUP(H1178, De_Para!A:B, 2, FALSE), "NÃO MAPEADO"))), IFERROR(VLOOKUP(H1178, De_Para!A:B, 2, FALSE), "NÃO MAPEADO"))</f>
        <v/>
      </c>
    </row>
    <row r="1179">
      <c r="A1179" s="2" t="inlineStr">
        <is>
          <t>68507</t>
        </is>
      </c>
      <c r="B1179" s="2" t="inlineStr">
        <is>
          <t>Sicoob</t>
        </is>
      </c>
      <c r="C1179" s="2" t="inlineStr">
        <is>
          <t>10/06/2026</t>
        </is>
      </c>
      <c r="D1179" s="2" t="inlineStr">
        <is>
          <t>10/06/2026</t>
        </is>
      </c>
      <c r="E1179" s="2" t="inlineStr">
        <is>
          <t>Dinheiro</t>
        </is>
      </c>
      <c r="F1179" s="2" t="inlineStr">
        <is>
          <t>Boleto "58771" do cliente "MARIA ESTER LIMA"</t>
        </is>
      </c>
      <c r="G1179" s="2" t="inlineStr">
        <is>
          <t>system</t>
        </is>
      </c>
      <c r="H1179" s="2" t="inlineStr">
        <is>
          <t>01.03.01 : Mensalidade</t>
        </is>
      </c>
      <c r="I1179" s="3" t="n">
        <v>105</v>
      </c>
      <c r="J1179" s="2" t="n"/>
      <c r="K1179" s="2">
        <f>IF(H1179="02.09 : Outras Saídas", IF(OR(ISNUMBER(SEARCH("CHEQUE COMPE SICREDI", F1179)), ISNUMBER(SEARCH("aniversario", F1179)), ISNUMBER(SEARCH("churrasco", F1179)), ISNUMBER(SEARCH("bolo", F1179)), ISNUMBER(SEARCH("SUPERMERCADO", F1179))), "6.1 Despesas Administrativas (Pessoal)", IF(OR(ISNUMBER(SEARCH("DLKNET", F1179)), ISNUMBER(SEARCH("TESTE", F1179))), "6.1 Despesas Administrativas (Gerais)", IFERROR(VLOOKUP(H1179, De_Para!A:B, 2, FALSE), "NÃO MAPEADO"))), IFERROR(VLOOKUP(H1179, De_Para!A:B, 2, FALSE), "NÃO MAPEADO"))</f>
        <v/>
      </c>
    </row>
    <row r="1180">
      <c r="A1180" s="2" t="inlineStr">
        <is>
          <t>68506</t>
        </is>
      </c>
      <c r="B1180" s="2" t="inlineStr">
        <is>
          <t>Sicoob</t>
        </is>
      </c>
      <c r="C1180" s="2" t="inlineStr">
        <is>
          <t>10/06/2026</t>
        </is>
      </c>
      <c r="D1180" s="2" t="inlineStr">
        <is>
          <t>10/06/2026</t>
        </is>
      </c>
      <c r="E1180" s="2" t="inlineStr">
        <is>
          <t>Dinheiro</t>
        </is>
      </c>
      <c r="F1180" s="2" t="inlineStr">
        <is>
          <t>Boleto "58607" do cliente "MERCIA BORBA DA ROSA"</t>
        </is>
      </c>
      <c r="G1180" s="2" t="inlineStr">
        <is>
          <t>system</t>
        </is>
      </c>
      <c r="H1180" s="2" t="inlineStr">
        <is>
          <t>02.03.02.01 : Cobrança Bancaria</t>
        </is>
      </c>
      <c r="I1180" s="2" t="n"/>
      <c r="J1180" s="3" t="n">
        <v>-0.88</v>
      </c>
      <c r="K1180" s="2">
        <f>IF(H1180="02.09 : Outras Saídas", IF(OR(ISNUMBER(SEARCH("CHEQUE COMPE SICREDI", F1180)), ISNUMBER(SEARCH("aniversario", F1180)), ISNUMBER(SEARCH("churrasco", F1180)), ISNUMBER(SEARCH("bolo", F1180)), ISNUMBER(SEARCH("SUPERMERCADO", F1180))), "6.1 Despesas Administrativas (Pessoal)", IF(OR(ISNUMBER(SEARCH("DLKNET", F1180)), ISNUMBER(SEARCH("TESTE", F1180))), "6.1 Despesas Administrativas (Gerais)", IFERROR(VLOOKUP(H1180, De_Para!A:B, 2, FALSE), "NÃO MAPEADO"))), IFERROR(VLOOKUP(H1180, De_Para!A:B, 2, FALSE), "NÃO MAPEADO"))</f>
        <v/>
      </c>
    </row>
    <row r="1181">
      <c r="A1181" s="2" t="inlineStr">
        <is>
          <t>68505</t>
        </is>
      </c>
      <c r="B1181" s="2" t="inlineStr">
        <is>
          <t>Sicoob</t>
        </is>
      </c>
      <c r="C1181" s="2" t="inlineStr">
        <is>
          <t>10/06/2026</t>
        </is>
      </c>
      <c r="D1181" s="2" t="inlineStr">
        <is>
          <t>10/06/2026</t>
        </is>
      </c>
      <c r="E1181" s="2" t="inlineStr">
        <is>
          <t>Dinheiro</t>
        </is>
      </c>
      <c r="F1181" s="2" t="inlineStr">
        <is>
          <t>Boleto "58607" do cliente "MERCIA BORBA DA ROSA"</t>
        </is>
      </c>
      <c r="G1181" s="2" t="inlineStr">
        <is>
          <t>system</t>
        </is>
      </c>
      <c r="H1181" s="2" t="inlineStr">
        <is>
          <t>01.01.01 : Mensalidade</t>
        </is>
      </c>
      <c r="I1181" s="3" t="n">
        <v>105</v>
      </c>
      <c r="J1181" s="2" t="n"/>
      <c r="K1181" s="2">
        <f>IF(H1181="02.09 : Outras Saídas", IF(OR(ISNUMBER(SEARCH("CHEQUE COMPE SICREDI", F1181)), ISNUMBER(SEARCH("aniversario", F1181)), ISNUMBER(SEARCH("churrasco", F1181)), ISNUMBER(SEARCH("bolo", F1181)), ISNUMBER(SEARCH("SUPERMERCADO", F1181))), "6.1 Despesas Administrativas (Pessoal)", IF(OR(ISNUMBER(SEARCH("DLKNET", F1181)), ISNUMBER(SEARCH("TESTE", F1181))), "6.1 Despesas Administrativas (Gerais)", IFERROR(VLOOKUP(H1181, De_Para!A:B, 2, FALSE), "NÃO MAPEADO"))), IFERROR(VLOOKUP(H1181, De_Para!A:B, 2, FALSE), "NÃO MAPEADO"))</f>
        <v/>
      </c>
    </row>
    <row r="1182">
      <c r="A1182" s="2" t="inlineStr">
        <is>
          <t>68504</t>
        </is>
      </c>
      <c r="B1182" s="2" t="inlineStr">
        <is>
          <t>Sicoob</t>
        </is>
      </c>
      <c r="C1182" s="2" t="inlineStr">
        <is>
          <t>10/06/2026</t>
        </is>
      </c>
      <c r="D1182" s="2" t="inlineStr">
        <is>
          <t>10/06/2026</t>
        </is>
      </c>
      <c r="E1182" s="2" t="inlineStr">
        <is>
          <t>Dinheiro</t>
        </is>
      </c>
      <c r="F1182" s="2" t="inlineStr">
        <is>
          <t>Boleto "57623" do cliente "JHENNIFER RODRIGUES FRANCISCO"</t>
        </is>
      </c>
      <c r="G1182" s="2" t="inlineStr">
        <is>
          <t>system</t>
        </is>
      </c>
      <c r="H1182" s="2" t="inlineStr">
        <is>
          <t>02.03.02.01 : Cobrança Bancaria</t>
        </is>
      </c>
      <c r="I1182" s="2" t="n"/>
      <c r="J1182" s="3" t="n">
        <v>-0.88</v>
      </c>
      <c r="K1182" s="2">
        <f>IF(H1182="02.09 : Outras Saídas", IF(OR(ISNUMBER(SEARCH("CHEQUE COMPE SICREDI", F1182)), ISNUMBER(SEARCH("aniversario", F1182)), ISNUMBER(SEARCH("churrasco", F1182)), ISNUMBER(SEARCH("bolo", F1182)), ISNUMBER(SEARCH("SUPERMERCADO", F1182))), "6.1 Despesas Administrativas (Pessoal)", IF(OR(ISNUMBER(SEARCH("DLKNET", F1182)), ISNUMBER(SEARCH("TESTE", F1182))), "6.1 Despesas Administrativas (Gerais)", IFERROR(VLOOKUP(H1182, De_Para!A:B, 2, FALSE), "NÃO MAPEADO"))), IFERROR(VLOOKUP(H1182, De_Para!A:B, 2, FALSE), "NÃO MAPEADO"))</f>
        <v/>
      </c>
    </row>
    <row r="1183">
      <c r="A1183" s="2" t="inlineStr">
        <is>
          <t>68503</t>
        </is>
      </c>
      <c r="B1183" s="2" t="inlineStr">
        <is>
          <t>Sicoob</t>
        </is>
      </c>
      <c r="C1183" s="2" t="inlineStr">
        <is>
          <t>10/06/2026</t>
        </is>
      </c>
      <c r="D1183" s="2" t="inlineStr">
        <is>
          <t>10/06/2026</t>
        </is>
      </c>
      <c r="E1183" s="2" t="inlineStr">
        <is>
          <t>Dinheiro</t>
        </is>
      </c>
      <c r="F1183" s="2" t="inlineStr">
        <is>
          <t>Boleto "57623" do cliente "JHENNIFER RODRIGUES FRANCISCO"</t>
        </is>
      </c>
      <c r="G1183" s="2" t="inlineStr">
        <is>
          <t>system</t>
        </is>
      </c>
      <c r="H1183" s="2" t="inlineStr">
        <is>
          <t>01.03.01 : Mensalidade</t>
        </is>
      </c>
      <c r="I1183" s="3" t="n">
        <v>105</v>
      </c>
      <c r="J1183" s="2" t="n"/>
      <c r="K1183" s="2">
        <f>IF(H1183="02.09 : Outras Saídas", IF(OR(ISNUMBER(SEARCH("CHEQUE COMPE SICREDI", F1183)), ISNUMBER(SEARCH("aniversario", F1183)), ISNUMBER(SEARCH("churrasco", F1183)), ISNUMBER(SEARCH("bolo", F1183)), ISNUMBER(SEARCH("SUPERMERCADO", F1183))), "6.1 Despesas Administrativas (Pessoal)", IF(OR(ISNUMBER(SEARCH("DLKNET", F1183)), ISNUMBER(SEARCH("TESTE", F1183))), "6.1 Despesas Administrativas (Gerais)", IFERROR(VLOOKUP(H1183, De_Para!A:B, 2, FALSE), "NÃO MAPEADO"))), IFERROR(VLOOKUP(H1183, De_Para!A:B, 2, FALSE), "NÃO MAPEADO"))</f>
        <v/>
      </c>
    </row>
    <row r="1184">
      <c r="A1184" s="2" t="inlineStr">
        <is>
          <t>68502</t>
        </is>
      </c>
      <c r="B1184" s="2" t="inlineStr">
        <is>
          <t>Sicoob</t>
        </is>
      </c>
      <c r="C1184" s="2" t="inlineStr">
        <is>
          <t>10/06/2026</t>
        </is>
      </c>
      <c r="D1184" s="2" t="inlineStr">
        <is>
          <t>10/06/2026</t>
        </is>
      </c>
      <c r="E1184" s="2" t="inlineStr">
        <is>
          <t>Dinheiro</t>
        </is>
      </c>
      <c r="F1184" s="2" t="inlineStr">
        <is>
          <t>Boleto "57590" do cliente "DANIELA OLIVEIRA DA SILVA"</t>
        </is>
      </c>
      <c r="G1184" s="2" t="inlineStr">
        <is>
          <t>system</t>
        </is>
      </c>
      <c r="H1184" s="2" t="inlineStr">
        <is>
          <t>02.03.02.01 : Cobrança Bancaria</t>
        </is>
      </c>
      <c r="I1184" s="2" t="n"/>
      <c r="J1184" s="3" t="n">
        <v>-0.88</v>
      </c>
      <c r="K1184" s="2">
        <f>IF(H1184="02.09 : Outras Saídas", IF(OR(ISNUMBER(SEARCH("CHEQUE COMPE SICREDI", F1184)), ISNUMBER(SEARCH("aniversario", F1184)), ISNUMBER(SEARCH("churrasco", F1184)), ISNUMBER(SEARCH("bolo", F1184)), ISNUMBER(SEARCH("SUPERMERCADO", F1184))), "6.1 Despesas Administrativas (Pessoal)", IF(OR(ISNUMBER(SEARCH("DLKNET", F1184)), ISNUMBER(SEARCH("TESTE", F1184))), "6.1 Despesas Administrativas (Gerais)", IFERROR(VLOOKUP(H1184, De_Para!A:B, 2, FALSE), "NÃO MAPEADO"))), IFERROR(VLOOKUP(H1184, De_Para!A:B, 2, FALSE), "NÃO MAPEADO"))</f>
        <v/>
      </c>
    </row>
    <row r="1185">
      <c r="A1185" s="2" t="inlineStr">
        <is>
          <t>68501</t>
        </is>
      </c>
      <c r="B1185" s="2" t="inlineStr">
        <is>
          <t>Sicoob</t>
        </is>
      </c>
      <c r="C1185" s="2" t="inlineStr">
        <is>
          <t>10/06/2026</t>
        </is>
      </c>
      <c r="D1185" s="2" t="inlineStr">
        <is>
          <t>10/06/2026</t>
        </is>
      </c>
      <c r="E1185" s="2" t="inlineStr">
        <is>
          <t>Dinheiro</t>
        </is>
      </c>
      <c r="F1185" s="2" t="inlineStr">
        <is>
          <t>Boleto "57590" do cliente "DANIELA OLIVEIRA DA SILVA"</t>
        </is>
      </c>
      <c r="G1185" s="2" t="inlineStr">
        <is>
          <t>system</t>
        </is>
      </c>
      <c r="H1185" s="2" t="inlineStr">
        <is>
          <t>01.01.01 : Mensalidade</t>
        </is>
      </c>
      <c r="I1185" s="3" t="n">
        <v>105</v>
      </c>
      <c r="J1185" s="2" t="n"/>
      <c r="K1185" s="2">
        <f>IF(H1185="02.09 : Outras Saídas", IF(OR(ISNUMBER(SEARCH("CHEQUE COMPE SICREDI", F1185)), ISNUMBER(SEARCH("aniversario", F1185)), ISNUMBER(SEARCH("churrasco", F1185)), ISNUMBER(SEARCH("bolo", F1185)), ISNUMBER(SEARCH("SUPERMERCADO", F1185))), "6.1 Despesas Administrativas (Pessoal)", IF(OR(ISNUMBER(SEARCH("DLKNET", F1185)), ISNUMBER(SEARCH("TESTE", F1185))), "6.1 Despesas Administrativas (Gerais)", IFERROR(VLOOKUP(H1185, De_Para!A:B, 2, FALSE), "NÃO MAPEADO"))), IFERROR(VLOOKUP(H1185, De_Para!A:B, 2, FALSE), "NÃO MAPEADO"))</f>
        <v/>
      </c>
    </row>
    <row r="1186">
      <c r="A1186" s="2" t="inlineStr">
        <is>
          <t>68500</t>
        </is>
      </c>
      <c r="B1186" s="2" t="inlineStr">
        <is>
          <t>Sicoob</t>
        </is>
      </c>
      <c r="C1186" s="2" t="inlineStr">
        <is>
          <t>10/06/2026</t>
        </is>
      </c>
      <c r="D1186" s="2" t="inlineStr">
        <is>
          <t>10/06/2026</t>
        </is>
      </c>
      <c r="E1186" s="2" t="inlineStr">
        <is>
          <t>Dinheiro</t>
        </is>
      </c>
      <c r="F1186" s="2" t="inlineStr">
        <is>
          <t>Boleto "57293" do cliente "GIUVAM JOSE GALDINO"</t>
        </is>
      </c>
      <c r="G1186" s="2" t="inlineStr">
        <is>
          <t>system</t>
        </is>
      </c>
      <c r="H1186" s="2" t="inlineStr">
        <is>
          <t>02.03.02.01 : Cobrança Bancaria</t>
        </is>
      </c>
      <c r="I1186" s="2" t="n"/>
      <c r="J1186" s="3" t="n">
        <v>-0.88</v>
      </c>
      <c r="K1186" s="2">
        <f>IF(H1186="02.09 : Outras Saídas", IF(OR(ISNUMBER(SEARCH("CHEQUE COMPE SICREDI", F1186)), ISNUMBER(SEARCH("aniversario", F1186)), ISNUMBER(SEARCH("churrasco", F1186)), ISNUMBER(SEARCH("bolo", F1186)), ISNUMBER(SEARCH("SUPERMERCADO", F1186))), "6.1 Despesas Administrativas (Pessoal)", IF(OR(ISNUMBER(SEARCH("DLKNET", F1186)), ISNUMBER(SEARCH("TESTE", F1186))), "6.1 Despesas Administrativas (Gerais)", IFERROR(VLOOKUP(H1186, De_Para!A:B, 2, FALSE), "NÃO MAPEADO"))), IFERROR(VLOOKUP(H1186, De_Para!A:B, 2, FALSE), "NÃO MAPEADO"))</f>
        <v/>
      </c>
    </row>
    <row r="1187">
      <c r="A1187" s="2" t="inlineStr">
        <is>
          <t>68499</t>
        </is>
      </c>
      <c r="B1187" s="2" t="inlineStr">
        <is>
          <t>Sicoob</t>
        </is>
      </c>
      <c r="C1187" s="2" t="inlineStr">
        <is>
          <t>10/06/2026</t>
        </is>
      </c>
      <c r="D1187" s="2" t="inlineStr">
        <is>
          <t>10/06/2026</t>
        </is>
      </c>
      <c r="E1187" s="2" t="inlineStr">
        <is>
          <t>Dinheiro</t>
        </is>
      </c>
      <c r="F1187" s="2" t="inlineStr">
        <is>
          <t>Boleto "57293" do cliente "GIUVAM JOSE GALDINO"</t>
        </is>
      </c>
      <c r="G1187" s="2" t="inlineStr">
        <is>
          <t>system</t>
        </is>
      </c>
      <c r="H1187" s="2" t="inlineStr">
        <is>
          <t>01.01.01 : Mensalidade</t>
        </is>
      </c>
      <c r="I1187" s="3" t="n">
        <v>105</v>
      </c>
      <c r="J1187" s="2" t="n"/>
      <c r="K1187" s="2">
        <f>IF(H1187="02.09 : Outras Saídas", IF(OR(ISNUMBER(SEARCH("CHEQUE COMPE SICREDI", F1187)), ISNUMBER(SEARCH("aniversario", F1187)), ISNUMBER(SEARCH("churrasco", F1187)), ISNUMBER(SEARCH("bolo", F1187)), ISNUMBER(SEARCH("SUPERMERCADO", F1187))), "6.1 Despesas Administrativas (Pessoal)", IF(OR(ISNUMBER(SEARCH("DLKNET", F1187)), ISNUMBER(SEARCH("TESTE", F1187))), "6.1 Despesas Administrativas (Gerais)", IFERROR(VLOOKUP(H1187, De_Para!A:B, 2, FALSE), "NÃO MAPEADO"))), IFERROR(VLOOKUP(H1187, De_Para!A:B, 2, FALSE), "NÃO MAPEADO"))</f>
        <v/>
      </c>
    </row>
    <row r="1188">
      <c r="A1188" s="2" t="inlineStr">
        <is>
          <t>68498</t>
        </is>
      </c>
      <c r="B1188" s="2" t="inlineStr">
        <is>
          <t>Sicoob</t>
        </is>
      </c>
      <c r="C1188" s="2" t="inlineStr">
        <is>
          <t>10/06/2026</t>
        </is>
      </c>
      <c r="D1188" s="2" t="inlineStr">
        <is>
          <t>10/06/2026</t>
        </is>
      </c>
      <c r="E1188" s="2" t="inlineStr">
        <is>
          <t>Dinheiro</t>
        </is>
      </c>
      <c r="F1188" s="2" t="inlineStr">
        <is>
          <t>Boleto "55714" do cliente "JOSIAS GONÇALVES DA CUNHA"</t>
        </is>
      </c>
      <c r="G1188" s="2" t="inlineStr">
        <is>
          <t>system</t>
        </is>
      </c>
      <c r="H1188" s="2" t="inlineStr">
        <is>
          <t>02.03.02.01 : Cobrança Bancaria</t>
        </is>
      </c>
      <c r="I1188" s="2" t="n"/>
      <c r="J1188" s="3" t="n">
        <v>-0.88</v>
      </c>
      <c r="K1188" s="2">
        <f>IF(H1188="02.09 : Outras Saídas", IF(OR(ISNUMBER(SEARCH("CHEQUE COMPE SICREDI", F1188)), ISNUMBER(SEARCH("aniversario", F1188)), ISNUMBER(SEARCH("churrasco", F1188)), ISNUMBER(SEARCH("bolo", F1188)), ISNUMBER(SEARCH("SUPERMERCADO", F1188))), "6.1 Despesas Administrativas (Pessoal)", IF(OR(ISNUMBER(SEARCH("DLKNET", F1188)), ISNUMBER(SEARCH("TESTE", F1188))), "6.1 Despesas Administrativas (Gerais)", IFERROR(VLOOKUP(H1188, De_Para!A:B, 2, FALSE), "NÃO MAPEADO"))), IFERROR(VLOOKUP(H1188, De_Para!A:B, 2, FALSE), "NÃO MAPEADO"))</f>
        <v/>
      </c>
    </row>
    <row r="1189">
      <c r="A1189" s="2" t="inlineStr">
        <is>
          <t>68497</t>
        </is>
      </c>
      <c r="B1189" s="2" t="inlineStr">
        <is>
          <t>Sicoob</t>
        </is>
      </c>
      <c r="C1189" s="2" t="inlineStr">
        <is>
          <t>10/06/2026</t>
        </is>
      </c>
      <c r="D1189" s="2" t="inlineStr">
        <is>
          <t>10/06/2026</t>
        </is>
      </c>
      <c r="E1189" s="2" t="inlineStr">
        <is>
          <t>Dinheiro</t>
        </is>
      </c>
      <c r="F1189" s="2" t="inlineStr">
        <is>
          <t>Boleto "55714" do cliente "JOSIAS GONÇALVES DA CUNHA"</t>
        </is>
      </c>
      <c r="G1189" s="2" t="inlineStr">
        <is>
          <t>system</t>
        </is>
      </c>
      <c r="H1189" s="2" t="inlineStr">
        <is>
          <t>01.03.01 : Mensalidade</t>
        </is>
      </c>
      <c r="I1189" s="3" t="n">
        <v>107.48</v>
      </c>
      <c r="J1189" s="2" t="n"/>
      <c r="K1189" s="2">
        <f>IF(H1189="02.09 : Outras Saídas", IF(OR(ISNUMBER(SEARCH("CHEQUE COMPE SICREDI", F1189)), ISNUMBER(SEARCH("aniversario", F1189)), ISNUMBER(SEARCH("churrasco", F1189)), ISNUMBER(SEARCH("bolo", F1189)), ISNUMBER(SEARCH("SUPERMERCADO", F1189))), "6.1 Despesas Administrativas (Pessoal)", IF(OR(ISNUMBER(SEARCH("DLKNET", F1189)), ISNUMBER(SEARCH("TESTE", F1189))), "6.1 Despesas Administrativas (Gerais)", IFERROR(VLOOKUP(H1189, De_Para!A:B, 2, FALSE), "NÃO MAPEADO"))), IFERROR(VLOOKUP(H1189, De_Para!A:B, 2, FALSE), "NÃO MAPEADO"))</f>
        <v/>
      </c>
    </row>
    <row r="1190">
      <c r="A1190" s="2" t="inlineStr">
        <is>
          <t>68496</t>
        </is>
      </c>
      <c r="B1190" s="2" t="inlineStr">
        <is>
          <t>Sicoob</t>
        </is>
      </c>
      <c r="C1190" s="2" t="inlineStr">
        <is>
          <t>10/06/2026</t>
        </is>
      </c>
      <c r="D1190" s="2" t="inlineStr">
        <is>
          <t>10/06/2026</t>
        </is>
      </c>
      <c r="E1190" s="2" t="inlineStr">
        <is>
          <t>Dinheiro</t>
        </is>
      </c>
      <c r="F1190" s="2" t="inlineStr">
        <is>
          <t>Boleto "55092" do cliente "LUIZ MIGUEL VIDAL"</t>
        </is>
      </c>
      <c r="G1190" s="2" t="inlineStr">
        <is>
          <t>system</t>
        </is>
      </c>
      <c r="H1190" s="2" t="inlineStr">
        <is>
          <t>02.03.02.01 : Cobrança Bancaria</t>
        </is>
      </c>
      <c r="I1190" s="2" t="n"/>
      <c r="J1190" s="3" t="n">
        <v>-0.88</v>
      </c>
      <c r="K1190" s="2">
        <f>IF(H1190="02.09 : Outras Saídas", IF(OR(ISNUMBER(SEARCH("CHEQUE COMPE SICREDI", F1190)), ISNUMBER(SEARCH("aniversario", F1190)), ISNUMBER(SEARCH("churrasco", F1190)), ISNUMBER(SEARCH("bolo", F1190)), ISNUMBER(SEARCH("SUPERMERCADO", F1190))), "6.1 Despesas Administrativas (Pessoal)", IF(OR(ISNUMBER(SEARCH("DLKNET", F1190)), ISNUMBER(SEARCH("TESTE", F1190))), "6.1 Despesas Administrativas (Gerais)", IFERROR(VLOOKUP(H1190, De_Para!A:B, 2, FALSE), "NÃO MAPEADO"))), IFERROR(VLOOKUP(H1190, De_Para!A:B, 2, FALSE), "NÃO MAPEADO"))</f>
        <v/>
      </c>
    </row>
    <row r="1191">
      <c r="A1191" s="2" t="inlineStr">
        <is>
          <t>68495</t>
        </is>
      </c>
      <c r="B1191" s="2" t="inlineStr">
        <is>
          <t>Sicoob</t>
        </is>
      </c>
      <c r="C1191" s="2" t="inlineStr">
        <is>
          <t>10/06/2026</t>
        </is>
      </c>
      <c r="D1191" s="2" t="inlineStr">
        <is>
          <t>10/06/2026</t>
        </is>
      </c>
      <c r="E1191" s="2" t="inlineStr">
        <is>
          <t>Dinheiro</t>
        </is>
      </c>
      <c r="F1191" s="2" t="inlineStr">
        <is>
          <t>Boleto "55092" do cliente "LUIZ MIGUEL VIDAL"</t>
        </is>
      </c>
      <c r="G1191" s="2" t="inlineStr">
        <is>
          <t>system</t>
        </is>
      </c>
      <c r="H1191" s="2" t="inlineStr">
        <is>
          <t>01.01.01 : Mensalidade</t>
        </is>
      </c>
      <c r="I1191" s="3" t="n">
        <v>105</v>
      </c>
      <c r="J1191" s="2" t="n"/>
      <c r="K1191" s="2">
        <f>IF(H1191="02.09 : Outras Saídas", IF(OR(ISNUMBER(SEARCH("CHEQUE COMPE SICREDI", F1191)), ISNUMBER(SEARCH("aniversario", F1191)), ISNUMBER(SEARCH("churrasco", F1191)), ISNUMBER(SEARCH("bolo", F1191)), ISNUMBER(SEARCH("SUPERMERCADO", F1191))), "6.1 Despesas Administrativas (Pessoal)", IF(OR(ISNUMBER(SEARCH("DLKNET", F1191)), ISNUMBER(SEARCH("TESTE", F1191))), "6.1 Despesas Administrativas (Gerais)", IFERROR(VLOOKUP(H1191, De_Para!A:B, 2, FALSE), "NÃO MAPEADO"))), IFERROR(VLOOKUP(H1191, De_Para!A:B, 2, FALSE), "NÃO MAPEADO"))</f>
        <v/>
      </c>
    </row>
    <row r="1192">
      <c r="A1192" s="2" t="inlineStr">
        <is>
          <t>68494</t>
        </is>
      </c>
      <c r="B1192" s="2" t="inlineStr">
        <is>
          <t>Sicoob</t>
        </is>
      </c>
      <c r="C1192" s="2" t="inlineStr">
        <is>
          <t>10/06/2026</t>
        </is>
      </c>
      <c r="D1192" s="2" t="inlineStr">
        <is>
          <t>10/06/2026</t>
        </is>
      </c>
      <c r="E1192" s="2" t="inlineStr">
        <is>
          <t>Dinheiro</t>
        </is>
      </c>
      <c r="F1192" s="2" t="inlineStr">
        <is>
          <t>Boleto "67007" do cliente "DERVANIA ALVES DE ARRAES"</t>
        </is>
      </c>
      <c r="G1192" s="2" t="inlineStr">
        <is>
          <t>system</t>
        </is>
      </c>
      <c r="H1192" s="2" t="inlineStr">
        <is>
          <t>02.03.02.01 : Cobrança Bancaria</t>
        </is>
      </c>
      <c r="I1192" s="2" t="n"/>
      <c r="J1192" s="3" t="n">
        <v>-0.88</v>
      </c>
      <c r="K1192" s="2">
        <f>IF(H1192="02.09 : Outras Saídas", IF(OR(ISNUMBER(SEARCH("CHEQUE COMPE SICREDI", F1192)), ISNUMBER(SEARCH("aniversario", F1192)), ISNUMBER(SEARCH("churrasco", F1192)), ISNUMBER(SEARCH("bolo", F1192)), ISNUMBER(SEARCH("SUPERMERCADO", F1192))), "6.1 Despesas Administrativas (Pessoal)", IF(OR(ISNUMBER(SEARCH("DLKNET", F1192)), ISNUMBER(SEARCH("TESTE", F1192))), "6.1 Despesas Administrativas (Gerais)", IFERROR(VLOOKUP(H1192, De_Para!A:B, 2, FALSE), "NÃO MAPEADO"))), IFERROR(VLOOKUP(H1192, De_Para!A:B, 2, FALSE), "NÃO MAPEADO"))</f>
        <v/>
      </c>
    </row>
    <row r="1193">
      <c r="A1193" s="2" t="inlineStr">
        <is>
          <t>68493</t>
        </is>
      </c>
      <c r="B1193" s="2" t="inlineStr">
        <is>
          <t>Sicoob</t>
        </is>
      </c>
      <c r="C1193" s="2" t="inlineStr">
        <is>
          <t>10/06/2026</t>
        </is>
      </c>
      <c r="D1193" s="2" t="inlineStr">
        <is>
          <t>10/06/2026</t>
        </is>
      </c>
      <c r="E1193" s="2" t="inlineStr">
        <is>
          <t>Dinheiro</t>
        </is>
      </c>
      <c r="F1193" s="2" t="inlineStr">
        <is>
          <t>Boleto "67007" do cliente "DERVANIA ALVES DE ARRAES"</t>
        </is>
      </c>
      <c r="G1193" s="2" t="inlineStr">
        <is>
          <t>system</t>
        </is>
      </c>
      <c r="H1193" s="2" t="inlineStr">
        <is>
          <t>01.03.01 : Mensalidade</t>
        </is>
      </c>
      <c r="I1193" s="3" t="n">
        <v>89.14</v>
      </c>
      <c r="J1193" s="2" t="n"/>
      <c r="K1193" s="2">
        <f>IF(H1193="02.09 : Outras Saídas", IF(OR(ISNUMBER(SEARCH("CHEQUE COMPE SICREDI", F1193)), ISNUMBER(SEARCH("aniversario", F1193)), ISNUMBER(SEARCH("churrasco", F1193)), ISNUMBER(SEARCH("bolo", F1193)), ISNUMBER(SEARCH("SUPERMERCADO", F1193))), "6.1 Despesas Administrativas (Pessoal)", IF(OR(ISNUMBER(SEARCH("DLKNET", F1193)), ISNUMBER(SEARCH("TESTE", F1193))), "6.1 Despesas Administrativas (Gerais)", IFERROR(VLOOKUP(H1193, De_Para!A:B, 2, FALSE), "NÃO MAPEADO"))), IFERROR(VLOOKUP(H1193, De_Para!A:B, 2, FALSE), "NÃO MAPEADO"))</f>
        <v/>
      </c>
    </row>
    <row r="1194">
      <c r="A1194" s="2" t="inlineStr">
        <is>
          <t>68492</t>
        </is>
      </c>
      <c r="B1194" s="2" t="inlineStr">
        <is>
          <t>Sicredi SNI</t>
        </is>
      </c>
      <c r="C1194" s="2" t="inlineStr">
        <is>
          <t>10/06/2026</t>
        </is>
      </c>
      <c r="D1194" s="2" t="inlineStr">
        <is>
          <t>10/06/2026</t>
        </is>
      </c>
      <c r="E1194" s="2" t="inlineStr">
        <is>
          <t>PIX</t>
        </is>
      </c>
      <c r="F1194" s="2" t="inlineStr">
        <is>
          <t>Boleto "56975" do cliente "DIRCEU CARLOS DOS SANTOS"</t>
        </is>
      </c>
      <c r="G1194" s="2" t="inlineStr">
        <is>
          <t>system</t>
        </is>
      </c>
      <c r="H1194" s="2" t="inlineStr">
        <is>
          <t>02.03.02.01 : Cobrança Bancaria</t>
        </is>
      </c>
      <c r="I1194" s="2" t="n"/>
      <c r="J1194" s="3" t="n">
        <v>-0.49</v>
      </c>
      <c r="K1194" s="2">
        <f>IF(H1194="02.09 : Outras Saídas", IF(OR(ISNUMBER(SEARCH("CHEQUE COMPE SICREDI", F1194)), ISNUMBER(SEARCH("aniversario", F1194)), ISNUMBER(SEARCH("churrasco", F1194)), ISNUMBER(SEARCH("bolo", F1194)), ISNUMBER(SEARCH("SUPERMERCADO", F1194))), "6.1 Despesas Administrativas (Pessoal)", IF(OR(ISNUMBER(SEARCH("DLKNET", F1194)), ISNUMBER(SEARCH("TESTE", F1194))), "6.1 Despesas Administrativas (Gerais)", IFERROR(VLOOKUP(H1194, De_Para!A:B, 2, FALSE), "NÃO MAPEADO"))), IFERROR(VLOOKUP(H1194, De_Para!A:B, 2, FALSE), "NÃO MAPEADO"))</f>
        <v/>
      </c>
    </row>
    <row r="1195">
      <c r="A1195" s="2" t="inlineStr">
        <is>
          <t>68491</t>
        </is>
      </c>
      <c r="B1195" s="2" t="inlineStr">
        <is>
          <t>Sicredi SNI</t>
        </is>
      </c>
      <c r="C1195" s="2" t="inlineStr">
        <is>
          <t>10/06/2026</t>
        </is>
      </c>
      <c r="D1195" s="2" t="inlineStr">
        <is>
          <t>10/06/2026</t>
        </is>
      </c>
      <c r="E1195" s="2" t="inlineStr">
        <is>
          <t>PIX</t>
        </is>
      </c>
      <c r="F1195" s="2" t="inlineStr">
        <is>
          <t>Boleto "56975" do cliente "DIRCEU CARLOS DOS SANTOS"</t>
        </is>
      </c>
      <c r="G1195" s="2" t="inlineStr">
        <is>
          <t>system</t>
        </is>
      </c>
      <c r="H1195" s="2" t="inlineStr">
        <is>
          <t>01.01.01 : Mensalidade</t>
        </is>
      </c>
      <c r="I1195" s="3" t="n">
        <v>110</v>
      </c>
      <c r="J1195" s="2" t="n"/>
      <c r="K1195" s="2">
        <f>IF(H1195="02.09 : Outras Saídas", IF(OR(ISNUMBER(SEARCH("CHEQUE COMPE SICREDI", F1195)), ISNUMBER(SEARCH("aniversario", F1195)), ISNUMBER(SEARCH("churrasco", F1195)), ISNUMBER(SEARCH("bolo", F1195)), ISNUMBER(SEARCH("SUPERMERCADO", F1195))), "6.1 Despesas Administrativas (Pessoal)", IF(OR(ISNUMBER(SEARCH("DLKNET", F1195)), ISNUMBER(SEARCH("TESTE", F1195))), "6.1 Despesas Administrativas (Gerais)", IFERROR(VLOOKUP(H1195, De_Para!A:B, 2, FALSE), "NÃO MAPEADO"))), IFERROR(VLOOKUP(H1195, De_Para!A:B, 2, FALSE), "NÃO MAPEADO"))</f>
        <v/>
      </c>
    </row>
    <row r="1196">
      <c r="A1196" s="2" t="inlineStr">
        <is>
          <t>68490</t>
        </is>
      </c>
      <c r="B1196" s="2" t="inlineStr">
        <is>
          <t>Sicredi SNI</t>
        </is>
      </c>
      <c r="C1196" s="2" t="inlineStr">
        <is>
          <t>10/06/2026</t>
        </is>
      </c>
      <c r="D1196" s="2" t="inlineStr">
        <is>
          <t>10/06/2026</t>
        </is>
      </c>
      <c r="E1196" s="2" t="inlineStr">
        <is>
          <t>PIX</t>
        </is>
      </c>
      <c r="F1196" s="2" t="inlineStr">
        <is>
          <t>Boleto "60142" do cliente "OLIVIA MARIA VILELA AZARIAS"</t>
        </is>
      </c>
      <c r="G1196" s="2" t="inlineStr">
        <is>
          <t>system</t>
        </is>
      </c>
      <c r="H1196" s="2" t="inlineStr">
        <is>
          <t>02.03.02.01 : Cobrança Bancaria</t>
        </is>
      </c>
      <c r="I1196" s="2" t="n"/>
      <c r="J1196" s="3" t="n">
        <v>-0.49</v>
      </c>
      <c r="K1196" s="2">
        <f>IF(H1196="02.09 : Outras Saídas", IF(OR(ISNUMBER(SEARCH("CHEQUE COMPE SICREDI", F1196)), ISNUMBER(SEARCH("aniversario", F1196)), ISNUMBER(SEARCH("churrasco", F1196)), ISNUMBER(SEARCH("bolo", F1196)), ISNUMBER(SEARCH("SUPERMERCADO", F1196))), "6.1 Despesas Administrativas (Pessoal)", IF(OR(ISNUMBER(SEARCH("DLKNET", F1196)), ISNUMBER(SEARCH("TESTE", F1196))), "6.1 Despesas Administrativas (Gerais)", IFERROR(VLOOKUP(H1196, De_Para!A:B, 2, FALSE), "NÃO MAPEADO"))), IFERROR(VLOOKUP(H1196, De_Para!A:B, 2, FALSE), "NÃO MAPEADO"))</f>
        <v/>
      </c>
    </row>
    <row r="1197">
      <c r="A1197" s="2" t="inlineStr">
        <is>
          <t>68489</t>
        </is>
      </c>
      <c r="B1197" s="2" t="inlineStr">
        <is>
          <t>Sicredi SNI</t>
        </is>
      </c>
      <c r="C1197" s="2" t="inlineStr">
        <is>
          <t>10/06/2026</t>
        </is>
      </c>
      <c r="D1197" s="2" t="inlineStr">
        <is>
          <t>10/06/2026</t>
        </is>
      </c>
      <c r="E1197" s="2" t="inlineStr">
        <is>
          <t>PIX</t>
        </is>
      </c>
      <c r="F1197" s="2" t="inlineStr">
        <is>
          <t>Boleto "60142" do cliente "OLIVIA MARIA VILELA AZARIAS"</t>
        </is>
      </c>
      <c r="G1197" s="2" t="inlineStr">
        <is>
          <t>system</t>
        </is>
      </c>
      <c r="H1197" s="2" t="inlineStr">
        <is>
          <t>01.01.01 : Mensalidade</t>
        </is>
      </c>
      <c r="I1197" s="3" t="n">
        <v>110</v>
      </c>
      <c r="J1197" s="2" t="n"/>
      <c r="K1197" s="2">
        <f>IF(H1197="02.09 : Outras Saídas", IF(OR(ISNUMBER(SEARCH("CHEQUE COMPE SICREDI", F1197)), ISNUMBER(SEARCH("aniversario", F1197)), ISNUMBER(SEARCH("churrasco", F1197)), ISNUMBER(SEARCH("bolo", F1197)), ISNUMBER(SEARCH("SUPERMERCADO", F1197))), "6.1 Despesas Administrativas (Pessoal)", IF(OR(ISNUMBER(SEARCH("DLKNET", F1197)), ISNUMBER(SEARCH("TESTE", F1197))), "6.1 Despesas Administrativas (Gerais)", IFERROR(VLOOKUP(H1197, De_Para!A:B, 2, FALSE), "NÃO MAPEADO"))), IFERROR(VLOOKUP(H1197, De_Para!A:B, 2, FALSE), "NÃO MAPEADO"))</f>
        <v/>
      </c>
    </row>
    <row r="1198">
      <c r="A1198" s="2" t="inlineStr">
        <is>
          <t>68488</t>
        </is>
      </c>
      <c r="B1198" s="2" t="inlineStr">
        <is>
          <t>Sicredi SNI</t>
        </is>
      </c>
      <c r="C1198" s="2" t="inlineStr">
        <is>
          <t>10/06/2026</t>
        </is>
      </c>
      <c r="D1198" s="2" t="inlineStr">
        <is>
          <t>10/06/2026</t>
        </is>
      </c>
      <c r="E1198" s="2" t="inlineStr">
        <is>
          <t>PIX</t>
        </is>
      </c>
      <c r="F1198" s="2" t="inlineStr">
        <is>
          <t>Boleto "58266" do cliente "TEREZINHA DE FATIMA GERALDINO"</t>
        </is>
      </c>
      <c r="G1198" s="2" t="inlineStr">
        <is>
          <t>system</t>
        </is>
      </c>
      <c r="H1198" s="2" t="inlineStr">
        <is>
          <t>02.03.02.01 : Cobrança Bancaria</t>
        </is>
      </c>
      <c r="I1198" s="2" t="n"/>
      <c r="J1198" s="3" t="n">
        <v>-0.49</v>
      </c>
      <c r="K1198" s="2">
        <f>IF(H1198="02.09 : Outras Saídas", IF(OR(ISNUMBER(SEARCH("CHEQUE COMPE SICREDI", F1198)), ISNUMBER(SEARCH("aniversario", F1198)), ISNUMBER(SEARCH("churrasco", F1198)), ISNUMBER(SEARCH("bolo", F1198)), ISNUMBER(SEARCH("SUPERMERCADO", F1198))), "6.1 Despesas Administrativas (Pessoal)", IF(OR(ISNUMBER(SEARCH("DLKNET", F1198)), ISNUMBER(SEARCH("TESTE", F1198))), "6.1 Despesas Administrativas (Gerais)", IFERROR(VLOOKUP(H1198, De_Para!A:B, 2, FALSE), "NÃO MAPEADO"))), IFERROR(VLOOKUP(H1198, De_Para!A:B, 2, FALSE), "NÃO MAPEADO"))</f>
        <v/>
      </c>
    </row>
    <row r="1199">
      <c r="A1199" s="2" t="inlineStr">
        <is>
          <t>68487</t>
        </is>
      </c>
      <c r="B1199" s="2" t="inlineStr">
        <is>
          <t>Sicredi SNI</t>
        </is>
      </c>
      <c r="C1199" s="2" t="inlineStr">
        <is>
          <t>10/06/2026</t>
        </is>
      </c>
      <c r="D1199" s="2" t="inlineStr">
        <is>
          <t>10/06/2026</t>
        </is>
      </c>
      <c r="E1199" s="2" t="inlineStr">
        <is>
          <t>PIX</t>
        </is>
      </c>
      <c r="F1199" s="2" t="inlineStr">
        <is>
          <t>Boleto "58266" do cliente "TEREZINHA DE FATIMA GERALDINO"</t>
        </is>
      </c>
      <c r="G1199" s="2" t="inlineStr">
        <is>
          <t>system</t>
        </is>
      </c>
      <c r="H1199" s="2" t="inlineStr">
        <is>
          <t>01.01.01 : Mensalidade</t>
        </is>
      </c>
      <c r="I1199" s="3" t="n">
        <v>105</v>
      </c>
      <c r="J1199" s="2" t="n"/>
      <c r="K1199" s="2">
        <f>IF(H1199="02.09 : Outras Saídas", IF(OR(ISNUMBER(SEARCH("CHEQUE COMPE SICREDI", F1199)), ISNUMBER(SEARCH("aniversario", F1199)), ISNUMBER(SEARCH("churrasco", F1199)), ISNUMBER(SEARCH("bolo", F1199)), ISNUMBER(SEARCH("SUPERMERCADO", F1199))), "6.1 Despesas Administrativas (Pessoal)", IF(OR(ISNUMBER(SEARCH("DLKNET", F1199)), ISNUMBER(SEARCH("TESTE", F1199))), "6.1 Despesas Administrativas (Gerais)", IFERROR(VLOOKUP(H1199, De_Para!A:B, 2, FALSE), "NÃO MAPEADO"))), IFERROR(VLOOKUP(H1199, De_Para!A:B, 2, FALSE), "NÃO MAPEADO"))</f>
        <v/>
      </c>
    </row>
    <row r="1200">
      <c r="A1200" s="2" t="inlineStr">
        <is>
          <t>68486</t>
        </is>
      </c>
      <c r="B1200" s="2" t="inlineStr">
        <is>
          <t>Sicredi SNI</t>
        </is>
      </c>
      <c r="C1200" s="2" t="inlineStr">
        <is>
          <t>10/06/2026</t>
        </is>
      </c>
      <c r="D1200" s="2" t="inlineStr">
        <is>
          <t>10/06/2026</t>
        </is>
      </c>
      <c r="E1200" s="2" t="inlineStr">
        <is>
          <t>PIX</t>
        </is>
      </c>
      <c r="F1200" s="2" t="inlineStr">
        <is>
          <t>Boleto "66314" do cliente "SILVANO RIBEIRO DO VALE"</t>
        </is>
      </c>
      <c r="G1200" s="2" t="inlineStr">
        <is>
          <t>system</t>
        </is>
      </c>
      <c r="H1200" s="2" t="inlineStr">
        <is>
          <t>02.03.02.01 : Cobrança Bancaria</t>
        </is>
      </c>
      <c r="I1200" s="2" t="n"/>
      <c r="J1200" s="3" t="n">
        <v>-0.49</v>
      </c>
      <c r="K1200" s="2">
        <f>IF(H1200="02.09 : Outras Saídas", IF(OR(ISNUMBER(SEARCH("CHEQUE COMPE SICREDI", F1200)), ISNUMBER(SEARCH("aniversario", F1200)), ISNUMBER(SEARCH("churrasco", F1200)), ISNUMBER(SEARCH("bolo", F1200)), ISNUMBER(SEARCH("SUPERMERCADO", F1200))), "6.1 Despesas Administrativas (Pessoal)", IF(OR(ISNUMBER(SEARCH("DLKNET", F1200)), ISNUMBER(SEARCH("TESTE", F1200))), "6.1 Despesas Administrativas (Gerais)", IFERROR(VLOOKUP(H1200, De_Para!A:B, 2, FALSE), "NÃO MAPEADO"))), IFERROR(VLOOKUP(H1200, De_Para!A:B, 2, FALSE), "NÃO MAPEADO"))</f>
        <v/>
      </c>
    </row>
    <row r="1201">
      <c r="A1201" s="2" t="inlineStr">
        <is>
          <t>68485</t>
        </is>
      </c>
      <c r="B1201" s="2" t="inlineStr">
        <is>
          <t>Sicredi SNI</t>
        </is>
      </c>
      <c r="C1201" s="2" t="inlineStr">
        <is>
          <t>10/06/2026</t>
        </is>
      </c>
      <c r="D1201" s="2" t="inlineStr">
        <is>
          <t>10/06/2026</t>
        </is>
      </c>
      <c r="E1201" s="2" t="inlineStr">
        <is>
          <t>PIX</t>
        </is>
      </c>
      <c r="F1201" s="2" t="inlineStr">
        <is>
          <t>Boleto "66314" do cliente "SILVANO RIBEIRO DO VALE"</t>
        </is>
      </c>
      <c r="G1201" s="2" t="inlineStr">
        <is>
          <t>system</t>
        </is>
      </c>
      <c r="H1201" s="2" t="inlineStr">
        <is>
          <t>01.01.01 : Mensalidade</t>
        </is>
      </c>
      <c r="I1201" s="3" t="n">
        <v>102.07</v>
      </c>
      <c r="J1201" s="2" t="n"/>
      <c r="K1201" s="2">
        <f>IF(H1201="02.09 : Outras Saídas", IF(OR(ISNUMBER(SEARCH("CHEQUE COMPE SICREDI", F1201)), ISNUMBER(SEARCH("aniversario", F1201)), ISNUMBER(SEARCH("churrasco", F1201)), ISNUMBER(SEARCH("bolo", F1201)), ISNUMBER(SEARCH("SUPERMERCADO", F1201))), "6.1 Despesas Administrativas (Pessoal)", IF(OR(ISNUMBER(SEARCH("DLKNET", F1201)), ISNUMBER(SEARCH("TESTE", F1201))), "6.1 Despesas Administrativas (Gerais)", IFERROR(VLOOKUP(H1201, De_Para!A:B, 2, FALSE), "NÃO MAPEADO"))), IFERROR(VLOOKUP(H1201, De_Para!A:B, 2, FALSE), "NÃO MAPEADO"))</f>
        <v/>
      </c>
    </row>
    <row r="1202">
      <c r="A1202" s="2" t="inlineStr">
        <is>
          <t>68484</t>
        </is>
      </c>
      <c r="B1202" s="2" t="inlineStr">
        <is>
          <t>Sicredi SNI</t>
        </is>
      </c>
      <c r="C1202" s="2" t="inlineStr">
        <is>
          <t>10/06/2026</t>
        </is>
      </c>
      <c r="D1202" s="2" t="inlineStr">
        <is>
          <t>10/06/2026</t>
        </is>
      </c>
      <c r="E1202" s="2" t="inlineStr">
        <is>
          <t>PIX</t>
        </is>
      </c>
      <c r="F1202" s="2" t="inlineStr">
        <is>
          <t>Boleto "55768" do cliente "ALESSANDRA BUENO DA SILVA"</t>
        </is>
      </c>
      <c r="G1202" s="2" t="inlineStr">
        <is>
          <t>system</t>
        </is>
      </c>
      <c r="H1202" s="2" t="inlineStr">
        <is>
          <t>02.03.02.01 : Cobrança Bancaria</t>
        </is>
      </c>
      <c r="I1202" s="2" t="n"/>
      <c r="J1202" s="3" t="n">
        <v>-0.49</v>
      </c>
      <c r="K1202" s="2">
        <f>IF(H1202="02.09 : Outras Saídas", IF(OR(ISNUMBER(SEARCH("CHEQUE COMPE SICREDI", F1202)), ISNUMBER(SEARCH("aniversario", F1202)), ISNUMBER(SEARCH("churrasco", F1202)), ISNUMBER(SEARCH("bolo", F1202)), ISNUMBER(SEARCH("SUPERMERCADO", F1202))), "6.1 Despesas Administrativas (Pessoal)", IF(OR(ISNUMBER(SEARCH("DLKNET", F1202)), ISNUMBER(SEARCH("TESTE", F1202))), "6.1 Despesas Administrativas (Gerais)", IFERROR(VLOOKUP(H1202, De_Para!A:B, 2, FALSE), "NÃO MAPEADO"))), IFERROR(VLOOKUP(H1202, De_Para!A:B, 2, FALSE), "NÃO MAPEADO"))</f>
        <v/>
      </c>
    </row>
    <row r="1203">
      <c r="A1203" s="2" t="inlineStr">
        <is>
          <t>68483</t>
        </is>
      </c>
      <c r="B1203" s="2" t="inlineStr">
        <is>
          <t>Sicredi SNI</t>
        </is>
      </c>
      <c r="C1203" s="2" t="inlineStr">
        <is>
          <t>10/06/2026</t>
        </is>
      </c>
      <c r="D1203" s="2" t="inlineStr">
        <is>
          <t>10/06/2026</t>
        </is>
      </c>
      <c r="E1203" s="2" t="inlineStr">
        <is>
          <t>PIX</t>
        </is>
      </c>
      <c r="F1203" s="2" t="inlineStr">
        <is>
          <t>Boleto "55768" do cliente "ALESSANDRA BUENO DA SILVA"</t>
        </is>
      </c>
      <c r="G1203" s="2" t="inlineStr">
        <is>
          <t>system</t>
        </is>
      </c>
      <c r="H1203" s="2" t="inlineStr">
        <is>
          <t>01.01.01 : Mensalidade</t>
        </is>
      </c>
      <c r="I1203" s="3" t="n">
        <v>105</v>
      </c>
      <c r="J1203" s="2" t="n"/>
      <c r="K1203" s="2">
        <f>IF(H1203="02.09 : Outras Saídas", IF(OR(ISNUMBER(SEARCH("CHEQUE COMPE SICREDI", F1203)), ISNUMBER(SEARCH("aniversario", F1203)), ISNUMBER(SEARCH("churrasco", F1203)), ISNUMBER(SEARCH("bolo", F1203)), ISNUMBER(SEARCH("SUPERMERCADO", F1203))), "6.1 Despesas Administrativas (Pessoal)", IF(OR(ISNUMBER(SEARCH("DLKNET", F1203)), ISNUMBER(SEARCH("TESTE", F1203))), "6.1 Despesas Administrativas (Gerais)", IFERROR(VLOOKUP(H1203, De_Para!A:B, 2, FALSE), "NÃO MAPEADO"))), IFERROR(VLOOKUP(H1203, De_Para!A:B, 2, FALSE), "NÃO MAPEADO"))</f>
        <v/>
      </c>
    </row>
    <row r="1204">
      <c r="A1204" s="2" t="inlineStr">
        <is>
          <t>68482</t>
        </is>
      </c>
      <c r="B1204" s="2" t="inlineStr">
        <is>
          <t>Sicredi SNI</t>
        </is>
      </c>
      <c r="C1204" s="2" t="inlineStr">
        <is>
          <t>10/06/2026</t>
        </is>
      </c>
      <c r="D1204" s="2" t="inlineStr">
        <is>
          <t>10/06/2026</t>
        </is>
      </c>
      <c r="E1204" s="2" t="inlineStr">
        <is>
          <t>Dinheiro</t>
        </is>
      </c>
      <c r="F1204" s="2" t="inlineStr">
        <is>
          <t>Boleto "69936" do cliente "VANIR APARECIDA DE OLIVEIRA"</t>
        </is>
      </c>
      <c r="G1204" s="2" t="inlineStr">
        <is>
          <t>system</t>
        </is>
      </c>
      <c r="H1204" s="2" t="inlineStr">
        <is>
          <t>02.03.02.01 : Cobrança Bancaria</t>
        </is>
      </c>
      <c r="I1204" s="2" t="n"/>
      <c r="J1204" s="3" t="n">
        <v>-1.08</v>
      </c>
      <c r="K1204" s="2">
        <f>IF(H1204="02.09 : Outras Saídas", IF(OR(ISNUMBER(SEARCH("CHEQUE COMPE SICREDI", F1204)), ISNUMBER(SEARCH("aniversario", F1204)), ISNUMBER(SEARCH("churrasco", F1204)), ISNUMBER(SEARCH("bolo", F1204)), ISNUMBER(SEARCH("SUPERMERCADO", F1204))), "6.1 Despesas Administrativas (Pessoal)", IF(OR(ISNUMBER(SEARCH("DLKNET", F1204)), ISNUMBER(SEARCH("TESTE", F1204))), "6.1 Despesas Administrativas (Gerais)", IFERROR(VLOOKUP(H1204, De_Para!A:B, 2, FALSE), "NÃO MAPEADO"))), IFERROR(VLOOKUP(H1204, De_Para!A:B, 2, FALSE), "NÃO MAPEADO"))</f>
        <v/>
      </c>
    </row>
    <row r="1205">
      <c r="A1205" s="2" t="inlineStr">
        <is>
          <t>68481</t>
        </is>
      </c>
      <c r="B1205" s="2" t="inlineStr">
        <is>
          <t>Sicredi SNI</t>
        </is>
      </c>
      <c r="C1205" s="2" t="inlineStr">
        <is>
          <t>10/06/2026</t>
        </is>
      </c>
      <c r="D1205" s="2" t="inlineStr">
        <is>
          <t>10/06/2026</t>
        </is>
      </c>
      <c r="E1205" s="2" t="inlineStr">
        <is>
          <t>Dinheiro</t>
        </is>
      </c>
      <c r="F1205" s="2" t="inlineStr">
        <is>
          <t>Boleto "69936" do cliente "VANIR APARECIDA DE OLIVEIRA"</t>
        </is>
      </c>
      <c r="G1205" s="2" t="inlineStr">
        <is>
          <t>system</t>
        </is>
      </c>
      <c r="H1205" s="2" t="inlineStr">
        <is>
          <t>01.01.01 : Mensalidade</t>
        </is>
      </c>
      <c r="I1205" s="3" t="n">
        <v>7.58</v>
      </c>
      <c r="J1205" s="2" t="n"/>
      <c r="K1205" s="2">
        <f>IF(H1205="02.09 : Outras Saídas", IF(OR(ISNUMBER(SEARCH("CHEQUE COMPE SICREDI", F1205)), ISNUMBER(SEARCH("aniversario", F1205)), ISNUMBER(SEARCH("churrasco", F1205)), ISNUMBER(SEARCH("bolo", F1205)), ISNUMBER(SEARCH("SUPERMERCADO", F1205))), "6.1 Despesas Administrativas (Pessoal)", IF(OR(ISNUMBER(SEARCH("DLKNET", F1205)), ISNUMBER(SEARCH("TESTE", F1205))), "6.1 Despesas Administrativas (Gerais)", IFERROR(VLOOKUP(H1205, De_Para!A:B, 2, FALSE), "NÃO MAPEADO"))), IFERROR(VLOOKUP(H1205, De_Para!A:B, 2, FALSE), "NÃO MAPEADO"))</f>
        <v/>
      </c>
    </row>
    <row r="1206">
      <c r="A1206" s="2" t="inlineStr">
        <is>
          <t>68480</t>
        </is>
      </c>
      <c r="B1206" s="2" t="inlineStr">
        <is>
          <t>Sicredi SNI</t>
        </is>
      </c>
      <c r="C1206" s="2" t="inlineStr">
        <is>
          <t>10/06/2026</t>
        </is>
      </c>
      <c r="D1206" s="2" t="inlineStr">
        <is>
          <t>10/06/2026</t>
        </is>
      </c>
      <c r="E1206" s="2" t="inlineStr">
        <is>
          <t>Dinheiro</t>
        </is>
      </c>
      <c r="F1206" s="2" t="inlineStr">
        <is>
          <t>Boleto "69032" do cliente "VANDERLEI APARECIDO DE LIMA"</t>
        </is>
      </c>
      <c r="G1206" s="2" t="inlineStr">
        <is>
          <t>system</t>
        </is>
      </c>
      <c r="H1206" s="2" t="inlineStr">
        <is>
          <t>02.03.02.01 : Cobrança Bancaria</t>
        </is>
      </c>
      <c r="I1206" s="2" t="n"/>
      <c r="J1206" s="3" t="n">
        <v>-1.08</v>
      </c>
      <c r="K1206" s="2">
        <f>IF(H1206="02.09 : Outras Saídas", IF(OR(ISNUMBER(SEARCH("CHEQUE COMPE SICREDI", F1206)), ISNUMBER(SEARCH("aniversario", F1206)), ISNUMBER(SEARCH("churrasco", F1206)), ISNUMBER(SEARCH("bolo", F1206)), ISNUMBER(SEARCH("SUPERMERCADO", F1206))), "6.1 Despesas Administrativas (Pessoal)", IF(OR(ISNUMBER(SEARCH("DLKNET", F1206)), ISNUMBER(SEARCH("TESTE", F1206))), "6.1 Despesas Administrativas (Gerais)", IFERROR(VLOOKUP(H1206, De_Para!A:B, 2, FALSE), "NÃO MAPEADO"))), IFERROR(VLOOKUP(H1206, De_Para!A:B, 2, FALSE), "NÃO MAPEADO"))</f>
        <v/>
      </c>
    </row>
    <row r="1207">
      <c r="A1207" s="2" t="inlineStr">
        <is>
          <t>68479</t>
        </is>
      </c>
      <c r="B1207" s="2" t="inlineStr">
        <is>
          <t>Sicredi SNI</t>
        </is>
      </c>
      <c r="C1207" s="2" t="inlineStr">
        <is>
          <t>10/06/2026</t>
        </is>
      </c>
      <c r="D1207" s="2" t="inlineStr">
        <is>
          <t>10/06/2026</t>
        </is>
      </c>
      <c r="E1207" s="2" t="inlineStr">
        <is>
          <t>Dinheiro</t>
        </is>
      </c>
      <c r="F1207" s="2" t="inlineStr">
        <is>
          <t>Boleto "69032" do cliente "VANDERLEI APARECIDO DE LIMA"</t>
        </is>
      </c>
      <c r="G1207" s="2" t="inlineStr">
        <is>
          <t>system</t>
        </is>
      </c>
      <c r="H1207" s="2" t="inlineStr">
        <is>
          <t>01.60.01 : Serviço de reparo e manutenção</t>
        </is>
      </c>
      <c r="I1207" s="3" t="n">
        <v>60</v>
      </c>
      <c r="J1207" s="2" t="n"/>
      <c r="K1207" s="2">
        <f>IF(H1207="02.09 : Outras Saídas", IF(OR(ISNUMBER(SEARCH("CHEQUE COMPE SICREDI", F1207)), ISNUMBER(SEARCH("aniversario", F1207)), ISNUMBER(SEARCH("churrasco", F1207)), ISNUMBER(SEARCH("bolo", F1207)), ISNUMBER(SEARCH("SUPERMERCADO", F1207))), "6.1 Despesas Administrativas (Pessoal)", IF(OR(ISNUMBER(SEARCH("DLKNET", F1207)), ISNUMBER(SEARCH("TESTE", F1207))), "6.1 Despesas Administrativas (Gerais)", IFERROR(VLOOKUP(H1207, De_Para!A:B, 2, FALSE), "NÃO MAPEADO"))), IFERROR(VLOOKUP(H1207, De_Para!A:B, 2, FALSE), "NÃO MAPEADO"))</f>
        <v/>
      </c>
    </row>
    <row r="1208">
      <c r="A1208" s="2" t="inlineStr">
        <is>
          <t>68478</t>
        </is>
      </c>
      <c r="B1208" s="2" t="inlineStr">
        <is>
          <t>Sicredi SNI</t>
        </is>
      </c>
      <c r="C1208" s="2" t="inlineStr">
        <is>
          <t>10/06/2026</t>
        </is>
      </c>
      <c r="D1208" s="2" t="inlineStr">
        <is>
          <t>10/06/2026</t>
        </is>
      </c>
      <c r="E1208" s="2" t="inlineStr">
        <is>
          <t>Dinheiro</t>
        </is>
      </c>
      <c r="F1208" s="2" t="inlineStr">
        <is>
          <t>Boleto "64244" do cliente "IRACEMA SOARES DO NASCIMENTO"</t>
        </is>
      </c>
      <c r="G1208" s="2" t="inlineStr">
        <is>
          <t>system</t>
        </is>
      </c>
      <c r="H1208" s="2" t="inlineStr">
        <is>
          <t>02.03.02.01 : Cobrança Bancaria</t>
        </is>
      </c>
      <c r="I1208" s="2" t="n"/>
      <c r="J1208" s="3" t="n">
        <v>-1.08</v>
      </c>
      <c r="K1208" s="2">
        <f>IF(H1208="02.09 : Outras Saídas", IF(OR(ISNUMBER(SEARCH("CHEQUE COMPE SICREDI", F1208)), ISNUMBER(SEARCH("aniversario", F1208)), ISNUMBER(SEARCH("churrasco", F1208)), ISNUMBER(SEARCH("bolo", F1208)), ISNUMBER(SEARCH("SUPERMERCADO", F1208))), "6.1 Despesas Administrativas (Pessoal)", IF(OR(ISNUMBER(SEARCH("DLKNET", F1208)), ISNUMBER(SEARCH("TESTE", F1208))), "6.1 Despesas Administrativas (Gerais)", IFERROR(VLOOKUP(H1208, De_Para!A:B, 2, FALSE), "NÃO MAPEADO"))), IFERROR(VLOOKUP(H1208, De_Para!A:B, 2, FALSE), "NÃO MAPEADO"))</f>
        <v/>
      </c>
    </row>
    <row r="1209">
      <c r="A1209" s="2" t="inlineStr">
        <is>
          <t>68477</t>
        </is>
      </c>
      <c r="B1209" s="2" t="inlineStr">
        <is>
          <t>Sicredi SNI</t>
        </is>
      </c>
      <c r="C1209" s="2" t="inlineStr">
        <is>
          <t>10/06/2026</t>
        </is>
      </c>
      <c r="D1209" s="2" t="inlineStr">
        <is>
          <t>10/06/2026</t>
        </is>
      </c>
      <c r="E1209" s="2" t="inlineStr">
        <is>
          <t>Dinheiro</t>
        </is>
      </c>
      <c r="F1209" s="2" t="inlineStr">
        <is>
          <t>Boleto "64244" do cliente "IRACEMA SOARES DO NASCIMENTO"</t>
        </is>
      </c>
      <c r="G1209" s="2" t="inlineStr">
        <is>
          <t>system</t>
        </is>
      </c>
      <c r="H1209" s="2" t="inlineStr">
        <is>
          <t>01.01.01 : Mensalidade</t>
        </is>
      </c>
      <c r="I1209" s="3" t="n">
        <v>109.9</v>
      </c>
      <c r="J1209" s="2" t="n"/>
      <c r="K1209" s="2">
        <f>IF(H1209="02.09 : Outras Saídas", IF(OR(ISNUMBER(SEARCH("CHEQUE COMPE SICREDI", F1209)), ISNUMBER(SEARCH("aniversario", F1209)), ISNUMBER(SEARCH("churrasco", F1209)), ISNUMBER(SEARCH("bolo", F1209)), ISNUMBER(SEARCH("SUPERMERCADO", F1209))), "6.1 Despesas Administrativas (Pessoal)", IF(OR(ISNUMBER(SEARCH("DLKNET", F1209)), ISNUMBER(SEARCH("TESTE", F1209))), "6.1 Despesas Administrativas (Gerais)", IFERROR(VLOOKUP(H1209, De_Para!A:B, 2, FALSE), "NÃO MAPEADO"))), IFERROR(VLOOKUP(H1209, De_Para!A:B, 2, FALSE), "NÃO MAPEADO"))</f>
        <v/>
      </c>
    </row>
    <row r="1210">
      <c r="A1210" s="2" t="inlineStr">
        <is>
          <t>68476</t>
        </is>
      </c>
      <c r="B1210" s="2" t="inlineStr">
        <is>
          <t>Sicredi SNI</t>
        </is>
      </c>
      <c r="C1210" s="2" t="inlineStr">
        <is>
          <t>10/06/2026</t>
        </is>
      </c>
      <c r="D1210" s="2" t="inlineStr">
        <is>
          <t>10/06/2026</t>
        </is>
      </c>
      <c r="E1210" s="2" t="inlineStr">
        <is>
          <t>Dinheiro</t>
        </is>
      </c>
      <c r="F1210" s="2" t="inlineStr">
        <is>
          <t>Boleto "63044" do cliente "GUILHERME DA SILVA MARCOLINO"</t>
        </is>
      </c>
      <c r="G1210" s="2" t="inlineStr">
        <is>
          <t>system</t>
        </is>
      </c>
      <c r="H1210" s="2" t="inlineStr">
        <is>
          <t>02.03.02.01 : Cobrança Bancaria</t>
        </is>
      </c>
      <c r="I1210" s="2" t="n"/>
      <c r="J1210" s="3" t="n">
        <v>-1.08</v>
      </c>
      <c r="K1210" s="2">
        <f>IF(H1210="02.09 : Outras Saídas", IF(OR(ISNUMBER(SEARCH("CHEQUE COMPE SICREDI", F1210)), ISNUMBER(SEARCH("aniversario", F1210)), ISNUMBER(SEARCH("churrasco", F1210)), ISNUMBER(SEARCH("bolo", F1210)), ISNUMBER(SEARCH("SUPERMERCADO", F1210))), "6.1 Despesas Administrativas (Pessoal)", IF(OR(ISNUMBER(SEARCH("DLKNET", F1210)), ISNUMBER(SEARCH("TESTE", F1210))), "6.1 Despesas Administrativas (Gerais)", IFERROR(VLOOKUP(H1210, De_Para!A:B, 2, FALSE), "NÃO MAPEADO"))), IFERROR(VLOOKUP(H1210, De_Para!A:B, 2, FALSE), "NÃO MAPEADO"))</f>
        <v/>
      </c>
    </row>
    <row r="1211">
      <c r="A1211" s="2" t="inlineStr">
        <is>
          <t>68475</t>
        </is>
      </c>
      <c r="B1211" s="2" t="inlineStr">
        <is>
          <t>Sicredi SNI</t>
        </is>
      </c>
      <c r="C1211" s="2" t="inlineStr">
        <is>
          <t>10/06/2026</t>
        </is>
      </c>
      <c r="D1211" s="2" t="inlineStr">
        <is>
          <t>10/06/2026</t>
        </is>
      </c>
      <c r="E1211" s="2" t="inlineStr">
        <is>
          <t>Dinheiro</t>
        </is>
      </c>
      <c r="F1211" s="2" t="inlineStr">
        <is>
          <t>Boleto "63044" do cliente "GUILHERME DA SILVA MARCOLINO"</t>
        </is>
      </c>
      <c r="G1211" s="2" t="inlineStr">
        <is>
          <t>system</t>
        </is>
      </c>
      <c r="H1211" s="2" t="inlineStr">
        <is>
          <t>01.01.01 : Mensalidade</t>
        </is>
      </c>
      <c r="I1211" s="3" t="n">
        <v>104.9</v>
      </c>
      <c r="J1211" s="2" t="n"/>
      <c r="K1211" s="2">
        <f>IF(H1211="02.09 : Outras Saídas", IF(OR(ISNUMBER(SEARCH("CHEQUE COMPE SICREDI", F1211)), ISNUMBER(SEARCH("aniversario", F1211)), ISNUMBER(SEARCH("churrasco", F1211)), ISNUMBER(SEARCH("bolo", F1211)), ISNUMBER(SEARCH("SUPERMERCADO", F1211))), "6.1 Despesas Administrativas (Pessoal)", IF(OR(ISNUMBER(SEARCH("DLKNET", F1211)), ISNUMBER(SEARCH("TESTE", F1211))), "6.1 Despesas Administrativas (Gerais)", IFERROR(VLOOKUP(H1211, De_Para!A:B, 2, FALSE), "NÃO MAPEADO"))), IFERROR(VLOOKUP(H1211, De_Para!A:B, 2, FALSE), "NÃO MAPEADO"))</f>
        <v/>
      </c>
    </row>
    <row r="1212">
      <c r="A1212" s="2" t="inlineStr">
        <is>
          <t>68474</t>
        </is>
      </c>
      <c r="B1212" s="2" t="inlineStr">
        <is>
          <t>Sicredi SNI</t>
        </is>
      </c>
      <c r="C1212" s="2" t="inlineStr">
        <is>
          <t>10/06/2026</t>
        </is>
      </c>
      <c r="D1212" s="2" t="inlineStr">
        <is>
          <t>10/06/2026</t>
        </is>
      </c>
      <c r="E1212" s="2" t="inlineStr">
        <is>
          <t>Dinheiro</t>
        </is>
      </c>
      <c r="F1212" s="2" t="inlineStr">
        <is>
          <t>Boleto "63034" do cliente "ATAIDE PANICHI"</t>
        </is>
      </c>
      <c r="G1212" s="2" t="inlineStr">
        <is>
          <t>system</t>
        </is>
      </c>
      <c r="H1212" s="2" t="inlineStr">
        <is>
          <t>02.03.02.01 : Cobrança Bancaria</t>
        </is>
      </c>
      <c r="I1212" s="2" t="n"/>
      <c r="J1212" s="3" t="n">
        <v>-1.08</v>
      </c>
      <c r="K1212" s="2">
        <f>IF(H1212="02.09 : Outras Saídas", IF(OR(ISNUMBER(SEARCH("CHEQUE COMPE SICREDI", F1212)), ISNUMBER(SEARCH("aniversario", F1212)), ISNUMBER(SEARCH("churrasco", F1212)), ISNUMBER(SEARCH("bolo", F1212)), ISNUMBER(SEARCH("SUPERMERCADO", F1212))), "6.1 Despesas Administrativas (Pessoal)", IF(OR(ISNUMBER(SEARCH("DLKNET", F1212)), ISNUMBER(SEARCH("TESTE", F1212))), "6.1 Despesas Administrativas (Gerais)", IFERROR(VLOOKUP(H1212, De_Para!A:B, 2, FALSE), "NÃO MAPEADO"))), IFERROR(VLOOKUP(H1212, De_Para!A:B, 2, FALSE), "NÃO MAPEADO"))</f>
        <v/>
      </c>
    </row>
    <row r="1213">
      <c r="A1213" s="2" t="inlineStr">
        <is>
          <t>68473</t>
        </is>
      </c>
      <c r="B1213" s="2" t="inlineStr">
        <is>
          <t>Sicredi SNI</t>
        </is>
      </c>
      <c r="C1213" s="2" t="inlineStr">
        <is>
          <t>10/06/2026</t>
        </is>
      </c>
      <c r="D1213" s="2" t="inlineStr">
        <is>
          <t>10/06/2026</t>
        </is>
      </c>
      <c r="E1213" s="2" t="inlineStr">
        <is>
          <t>Dinheiro</t>
        </is>
      </c>
      <c r="F1213" s="2" t="inlineStr">
        <is>
          <t>Boleto "63034" do cliente "ATAIDE PANICHI"</t>
        </is>
      </c>
      <c r="G1213" s="2" t="inlineStr">
        <is>
          <t>system</t>
        </is>
      </c>
      <c r="H1213" s="2" t="inlineStr">
        <is>
          <t>01.01.01 : Mensalidade</t>
        </is>
      </c>
      <c r="I1213" s="3" t="n">
        <v>104.9</v>
      </c>
      <c r="J1213" s="2" t="n"/>
      <c r="K1213" s="2">
        <f>IF(H1213="02.09 : Outras Saídas", IF(OR(ISNUMBER(SEARCH("CHEQUE COMPE SICREDI", F1213)), ISNUMBER(SEARCH("aniversario", F1213)), ISNUMBER(SEARCH("churrasco", F1213)), ISNUMBER(SEARCH("bolo", F1213)), ISNUMBER(SEARCH("SUPERMERCADO", F1213))), "6.1 Despesas Administrativas (Pessoal)", IF(OR(ISNUMBER(SEARCH("DLKNET", F1213)), ISNUMBER(SEARCH("TESTE", F1213))), "6.1 Despesas Administrativas (Gerais)", IFERROR(VLOOKUP(H1213, De_Para!A:B, 2, FALSE), "NÃO MAPEADO"))), IFERROR(VLOOKUP(H1213, De_Para!A:B, 2, FALSE), "NÃO MAPEADO"))</f>
        <v/>
      </c>
    </row>
    <row r="1214">
      <c r="A1214" s="2" t="inlineStr">
        <is>
          <t>68472</t>
        </is>
      </c>
      <c r="B1214" s="2" t="inlineStr">
        <is>
          <t>Sicredi SNI</t>
        </is>
      </c>
      <c r="C1214" s="2" t="inlineStr">
        <is>
          <t>10/06/2026</t>
        </is>
      </c>
      <c r="D1214" s="2" t="inlineStr">
        <is>
          <t>10/06/2026</t>
        </is>
      </c>
      <c r="E1214" s="2" t="inlineStr">
        <is>
          <t>Dinheiro</t>
        </is>
      </c>
      <c r="F1214" s="2" t="inlineStr">
        <is>
          <t>Boleto "63024" do cliente "VANDERLEI APARECIDO DE LIMA"</t>
        </is>
      </c>
      <c r="G1214" s="2" t="inlineStr">
        <is>
          <t>system</t>
        </is>
      </c>
      <c r="H1214" s="2" t="inlineStr">
        <is>
          <t>02.03.02.01 : Cobrança Bancaria</t>
        </is>
      </c>
      <c r="I1214" s="2" t="n"/>
      <c r="J1214" s="3" t="n">
        <v>-1.08</v>
      </c>
      <c r="K1214" s="2">
        <f>IF(H1214="02.09 : Outras Saídas", IF(OR(ISNUMBER(SEARCH("CHEQUE COMPE SICREDI", F1214)), ISNUMBER(SEARCH("aniversario", F1214)), ISNUMBER(SEARCH("churrasco", F1214)), ISNUMBER(SEARCH("bolo", F1214)), ISNUMBER(SEARCH("SUPERMERCADO", F1214))), "6.1 Despesas Administrativas (Pessoal)", IF(OR(ISNUMBER(SEARCH("DLKNET", F1214)), ISNUMBER(SEARCH("TESTE", F1214))), "6.1 Despesas Administrativas (Gerais)", IFERROR(VLOOKUP(H1214, De_Para!A:B, 2, FALSE), "NÃO MAPEADO"))), IFERROR(VLOOKUP(H1214, De_Para!A:B, 2, FALSE), "NÃO MAPEADO"))</f>
        <v/>
      </c>
    </row>
    <row r="1215">
      <c r="A1215" s="2" t="inlineStr">
        <is>
          <t>68471</t>
        </is>
      </c>
      <c r="B1215" s="2" t="inlineStr">
        <is>
          <t>Sicredi SNI</t>
        </is>
      </c>
      <c r="C1215" s="2" t="inlineStr">
        <is>
          <t>10/06/2026</t>
        </is>
      </c>
      <c r="D1215" s="2" t="inlineStr">
        <is>
          <t>10/06/2026</t>
        </is>
      </c>
      <c r="E1215" s="2" t="inlineStr">
        <is>
          <t>Dinheiro</t>
        </is>
      </c>
      <c r="F1215" s="2" t="inlineStr">
        <is>
          <t>Boleto "63024" do cliente "VANDERLEI APARECIDO DE LIMA"</t>
        </is>
      </c>
      <c r="G1215" s="2" t="inlineStr">
        <is>
          <t>system</t>
        </is>
      </c>
      <c r="H1215" s="2" t="inlineStr">
        <is>
          <t>01.01.01 : Mensalidade</t>
        </is>
      </c>
      <c r="I1215" s="3" t="n">
        <v>104.9</v>
      </c>
      <c r="J1215" s="2" t="n"/>
      <c r="K1215" s="2">
        <f>IF(H1215="02.09 : Outras Saídas", IF(OR(ISNUMBER(SEARCH("CHEQUE COMPE SICREDI", F1215)), ISNUMBER(SEARCH("aniversario", F1215)), ISNUMBER(SEARCH("churrasco", F1215)), ISNUMBER(SEARCH("bolo", F1215)), ISNUMBER(SEARCH("SUPERMERCADO", F1215))), "6.1 Despesas Administrativas (Pessoal)", IF(OR(ISNUMBER(SEARCH("DLKNET", F1215)), ISNUMBER(SEARCH("TESTE", F1215))), "6.1 Despesas Administrativas (Gerais)", IFERROR(VLOOKUP(H1215, De_Para!A:B, 2, FALSE), "NÃO MAPEADO"))), IFERROR(VLOOKUP(H1215, De_Para!A:B, 2, FALSE), "NÃO MAPEADO"))</f>
        <v/>
      </c>
    </row>
    <row r="1216">
      <c r="A1216" s="2" t="inlineStr">
        <is>
          <t>68470</t>
        </is>
      </c>
      <c r="B1216" s="2" t="inlineStr">
        <is>
          <t>Sicredi SNI</t>
        </is>
      </c>
      <c r="C1216" s="2" t="inlineStr">
        <is>
          <t>10/06/2026</t>
        </is>
      </c>
      <c r="D1216" s="2" t="inlineStr">
        <is>
          <t>10/06/2026</t>
        </is>
      </c>
      <c r="E1216" s="2" t="inlineStr">
        <is>
          <t>Dinheiro</t>
        </is>
      </c>
      <c r="F1216" s="2" t="inlineStr">
        <is>
          <t>Boleto "62932" do cliente "MARCOS DONIZETE DOS SANTOS"</t>
        </is>
      </c>
      <c r="G1216" s="2" t="inlineStr">
        <is>
          <t>system</t>
        </is>
      </c>
      <c r="H1216" s="2" t="inlineStr">
        <is>
          <t>02.03.02.01 : Cobrança Bancaria</t>
        </is>
      </c>
      <c r="I1216" s="2" t="n"/>
      <c r="J1216" s="3" t="n">
        <v>-1.08</v>
      </c>
      <c r="K1216" s="2">
        <f>IF(H1216="02.09 : Outras Saídas", IF(OR(ISNUMBER(SEARCH("CHEQUE COMPE SICREDI", F1216)), ISNUMBER(SEARCH("aniversario", F1216)), ISNUMBER(SEARCH("churrasco", F1216)), ISNUMBER(SEARCH("bolo", F1216)), ISNUMBER(SEARCH("SUPERMERCADO", F1216))), "6.1 Despesas Administrativas (Pessoal)", IF(OR(ISNUMBER(SEARCH("DLKNET", F1216)), ISNUMBER(SEARCH("TESTE", F1216))), "6.1 Despesas Administrativas (Gerais)", IFERROR(VLOOKUP(H1216, De_Para!A:B, 2, FALSE), "NÃO MAPEADO"))), IFERROR(VLOOKUP(H1216, De_Para!A:B, 2, FALSE), "NÃO MAPEADO"))</f>
        <v/>
      </c>
    </row>
    <row r="1217">
      <c r="A1217" s="2" t="inlineStr">
        <is>
          <t>68469</t>
        </is>
      </c>
      <c r="B1217" s="2" t="inlineStr">
        <is>
          <t>Sicredi SNI</t>
        </is>
      </c>
      <c r="C1217" s="2" t="inlineStr">
        <is>
          <t>10/06/2026</t>
        </is>
      </c>
      <c r="D1217" s="2" t="inlineStr">
        <is>
          <t>10/06/2026</t>
        </is>
      </c>
      <c r="E1217" s="2" t="inlineStr">
        <is>
          <t>Dinheiro</t>
        </is>
      </c>
      <c r="F1217" s="2" t="inlineStr">
        <is>
          <t>Boleto "62932" do cliente "MARCOS DONIZETE DOS SANTOS"</t>
        </is>
      </c>
      <c r="G1217" s="2" t="inlineStr">
        <is>
          <t>system</t>
        </is>
      </c>
      <c r="H1217" s="2" t="inlineStr">
        <is>
          <t>01.01.01 : Mensalidade</t>
        </is>
      </c>
      <c r="I1217" s="3" t="n">
        <v>104.9</v>
      </c>
      <c r="J1217" s="2" t="n"/>
      <c r="K1217" s="2">
        <f>IF(H1217="02.09 : Outras Saídas", IF(OR(ISNUMBER(SEARCH("CHEQUE COMPE SICREDI", F1217)), ISNUMBER(SEARCH("aniversario", F1217)), ISNUMBER(SEARCH("churrasco", F1217)), ISNUMBER(SEARCH("bolo", F1217)), ISNUMBER(SEARCH("SUPERMERCADO", F1217))), "6.1 Despesas Administrativas (Pessoal)", IF(OR(ISNUMBER(SEARCH("DLKNET", F1217)), ISNUMBER(SEARCH("TESTE", F1217))), "6.1 Despesas Administrativas (Gerais)", IFERROR(VLOOKUP(H1217, De_Para!A:B, 2, FALSE), "NÃO MAPEADO"))), IFERROR(VLOOKUP(H1217, De_Para!A:B, 2, FALSE), "NÃO MAPEADO"))</f>
        <v/>
      </c>
    </row>
    <row r="1218">
      <c r="A1218" s="2" t="inlineStr">
        <is>
          <t>68468</t>
        </is>
      </c>
      <c r="B1218" s="2" t="inlineStr">
        <is>
          <t>Sicredi SNI</t>
        </is>
      </c>
      <c r="C1218" s="2" t="inlineStr">
        <is>
          <t>10/06/2026</t>
        </is>
      </c>
      <c r="D1218" s="2" t="inlineStr">
        <is>
          <t>10/06/2026</t>
        </is>
      </c>
      <c r="E1218" s="2" t="inlineStr">
        <is>
          <t>Dinheiro</t>
        </is>
      </c>
      <c r="F1218" s="2" t="inlineStr">
        <is>
          <t>Boleto "60814" do cliente "EVELIN APARECIDA DE OLIVEIRA"</t>
        </is>
      </c>
      <c r="G1218" s="2" t="inlineStr">
        <is>
          <t>system</t>
        </is>
      </c>
      <c r="H1218" s="2" t="inlineStr">
        <is>
          <t>02.03.02.01 : Cobrança Bancaria</t>
        </is>
      </c>
      <c r="I1218" s="2" t="n"/>
      <c r="J1218" s="3" t="n">
        <v>-1.08</v>
      </c>
      <c r="K1218" s="2">
        <f>IF(H1218="02.09 : Outras Saídas", IF(OR(ISNUMBER(SEARCH("CHEQUE COMPE SICREDI", F1218)), ISNUMBER(SEARCH("aniversario", F1218)), ISNUMBER(SEARCH("churrasco", F1218)), ISNUMBER(SEARCH("bolo", F1218)), ISNUMBER(SEARCH("SUPERMERCADO", F1218))), "6.1 Despesas Administrativas (Pessoal)", IF(OR(ISNUMBER(SEARCH("DLKNET", F1218)), ISNUMBER(SEARCH("TESTE", F1218))), "6.1 Despesas Administrativas (Gerais)", IFERROR(VLOOKUP(H1218, De_Para!A:B, 2, FALSE), "NÃO MAPEADO"))), IFERROR(VLOOKUP(H1218, De_Para!A:B, 2, FALSE), "NÃO MAPEADO"))</f>
        <v/>
      </c>
    </row>
    <row r="1219">
      <c r="A1219" s="2" t="inlineStr">
        <is>
          <t>68467</t>
        </is>
      </c>
      <c r="B1219" s="2" t="inlineStr">
        <is>
          <t>Sicredi SNI</t>
        </is>
      </c>
      <c r="C1219" s="2" t="inlineStr">
        <is>
          <t>10/06/2026</t>
        </is>
      </c>
      <c r="D1219" s="2" t="inlineStr">
        <is>
          <t>10/06/2026</t>
        </is>
      </c>
      <c r="E1219" s="2" t="inlineStr">
        <is>
          <t>Dinheiro</t>
        </is>
      </c>
      <c r="F1219" s="2" t="inlineStr">
        <is>
          <t>Boleto "60814" do cliente "EVELIN APARECIDA DE OLIVEIRA"</t>
        </is>
      </c>
      <c r="G1219" s="2" t="inlineStr">
        <is>
          <t>system</t>
        </is>
      </c>
      <c r="H1219" s="2" t="inlineStr">
        <is>
          <t>01.01.01 : Mensalidade</t>
        </is>
      </c>
      <c r="I1219" s="3" t="n">
        <v>105</v>
      </c>
      <c r="J1219" s="2" t="n"/>
      <c r="K1219" s="2">
        <f>IF(H1219="02.09 : Outras Saídas", IF(OR(ISNUMBER(SEARCH("CHEQUE COMPE SICREDI", F1219)), ISNUMBER(SEARCH("aniversario", F1219)), ISNUMBER(SEARCH("churrasco", F1219)), ISNUMBER(SEARCH("bolo", F1219)), ISNUMBER(SEARCH("SUPERMERCADO", F1219))), "6.1 Despesas Administrativas (Pessoal)", IF(OR(ISNUMBER(SEARCH("DLKNET", F1219)), ISNUMBER(SEARCH("TESTE", F1219))), "6.1 Despesas Administrativas (Gerais)", IFERROR(VLOOKUP(H1219, De_Para!A:B, 2, FALSE), "NÃO MAPEADO"))), IFERROR(VLOOKUP(H1219, De_Para!A:B, 2, FALSE), "NÃO MAPEADO"))</f>
        <v/>
      </c>
    </row>
    <row r="1220">
      <c r="A1220" s="2" t="inlineStr">
        <is>
          <t>68466</t>
        </is>
      </c>
      <c r="B1220" s="2" t="inlineStr">
        <is>
          <t>Sicredi SNI</t>
        </is>
      </c>
      <c r="C1220" s="2" t="inlineStr">
        <is>
          <t>10/06/2026</t>
        </is>
      </c>
      <c r="D1220" s="2" t="inlineStr">
        <is>
          <t>10/06/2026</t>
        </is>
      </c>
      <c r="E1220" s="2" t="inlineStr">
        <is>
          <t>Dinheiro</t>
        </is>
      </c>
      <c r="F1220" s="2" t="inlineStr">
        <is>
          <t>Boleto "60775" do cliente "ROBERTO CARLOS GRANDO"</t>
        </is>
      </c>
      <c r="G1220" s="2" t="inlineStr">
        <is>
          <t>system</t>
        </is>
      </c>
      <c r="H1220" s="2" t="inlineStr">
        <is>
          <t>02.03.02.01 : Cobrança Bancaria</t>
        </is>
      </c>
      <c r="I1220" s="2" t="n"/>
      <c r="J1220" s="3" t="n">
        <v>-1.08</v>
      </c>
      <c r="K1220" s="2">
        <f>IF(H1220="02.09 : Outras Saídas", IF(OR(ISNUMBER(SEARCH("CHEQUE COMPE SICREDI", F1220)), ISNUMBER(SEARCH("aniversario", F1220)), ISNUMBER(SEARCH("churrasco", F1220)), ISNUMBER(SEARCH("bolo", F1220)), ISNUMBER(SEARCH("SUPERMERCADO", F1220))), "6.1 Despesas Administrativas (Pessoal)", IF(OR(ISNUMBER(SEARCH("DLKNET", F1220)), ISNUMBER(SEARCH("TESTE", F1220))), "6.1 Despesas Administrativas (Gerais)", IFERROR(VLOOKUP(H1220, De_Para!A:B, 2, FALSE), "NÃO MAPEADO"))), IFERROR(VLOOKUP(H1220, De_Para!A:B, 2, FALSE), "NÃO MAPEADO"))</f>
        <v/>
      </c>
    </row>
    <row r="1221">
      <c r="A1221" s="2" t="inlineStr">
        <is>
          <t>68465</t>
        </is>
      </c>
      <c r="B1221" s="2" t="inlineStr">
        <is>
          <t>Sicredi SNI</t>
        </is>
      </c>
      <c r="C1221" s="2" t="inlineStr">
        <is>
          <t>10/06/2026</t>
        </is>
      </c>
      <c r="D1221" s="2" t="inlineStr">
        <is>
          <t>10/06/2026</t>
        </is>
      </c>
      <c r="E1221" s="2" t="inlineStr">
        <is>
          <t>Dinheiro</t>
        </is>
      </c>
      <c r="F1221" s="2" t="inlineStr">
        <is>
          <t>Boleto "60775" do cliente "ROBERTO CARLOS GRANDO"</t>
        </is>
      </c>
      <c r="G1221" s="2" t="inlineStr">
        <is>
          <t>system</t>
        </is>
      </c>
      <c r="H1221" s="2" t="inlineStr">
        <is>
          <t>01.01.01 : Mensalidade</t>
        </is>
      </c>
      <c r="I1221" s="3" t="n">
        <v>110</v>
      </c>
      <c r="J1221" s="2" t="n"/>
      <c r="K1221" s="2">
        <f>IF(H1221="02.09 : Outras Saídas", IF(OR(ISNUMBER(SEARCH("CHEQUE COMPE SICREDI", F1221)), ISNUMBER(SEARCH("aniversario", F1221)), ISNUMBER(SEARCH("churrasco", F1221)), ISNUMBER(SEARCH("bolo", F1221)), ISNUMBER(SEARCH("SUPERMERCADO", F1221))), "6.1 Despesas Administrativas (Pessoal)", IF(OR(ISNUMBER(SEARCH("DLKNET", F1221)), ISNUMBER(SEARCH("TESTE", F1221))), "6.1 Despesas Administrativas (Gerais)", IFERROR(VLOOKUP(H1221, De_Para!A:B, 2, FALSE), "NÃO MAPEADO"))), IFERROR(VLOOKUP(H1221, De_Para!A:B, 2, FALSE), "NÃO MAPEADO"))</f>
        <v/>
      </c>
    </row>
    <row r="1222">
      <c r="A1222" s="2" t="inlineStr">
        <is>
          <t>68464</t>
        </is>
      </c>
      <c r="B1222" s="2" t="inlineStr">
        <is>
          <t>Sicredi SNI</t>
        </is>
      </c>
      <c r="C1222" s="2" t="inlineStr">
        <is>
          <t>10/06/2026</t>
        </is>
      </c>
      <c r="D1222" s="2" t="inlineStr">
        <is>
          <t>10/06/2026</t>
        </is>
      </c>
      <c r="E1222" s="2" t="inlineStr">
        <is>
          <t>Dinheiro</t>
        </is>
      </c>
      <c r="F1222" s="2" t="inlineStr">
        <is>
          <t>Boleto "60433" do cliente "TEREZA MIRANDA"</t>
        </is>
      </c>
      <c r="G1222" s="2" t="inlineStr">
        <is>
          <t>system</t>
        </is>
      </c>
      <c r="H1222" s="2" t="inlineStr">
        <is>
          <t>02.03.02.01 : Cobrança Bancaria</t>
        </is>
      </c>
      <c r="I1222" s="2" t="n"/>
      <c r="J1222" s="3" t="n">
        <v>-1.08</v>
      </c>
      <c r="K1222" s="2">
        <f>IF(H1222="02.09 : Outras Saídas", IF(OR(ISNUMBER(SEARCH("CHEQUE COMPE SICREDI", F1222)), ISNUMBER(SEARCH("aniversario", F1222)), ISNUMBER(SEARCH("churrasco", F1222)), ISNUMBER(SEARCH("bolo", F1222)), ISNUMBER(SEARCH("SUPERMERCADO", F1222))), "6.1 Despesas Administrativas (Pessoal)", IF(OR(ISNUMBER(SEARCH("DLKNET", F1222)), ISNUMBER(SEARCH("TESTE", F1222))), "6.1 Despesas Administrativas (Gerais)", IFERROR(VLOOKUP(H1222, De_Para!A:B, 2, FALSE), "NÃO MAPEADO"))), IFERROR(VLOOKUP(H1222, De_Para!A:B, 2, FALSE), "NÃO MAPEADO"))</f>
        <v/>
      </c>
    </row>
    <row r="1223">
      <c r="A1223" s="2" t="inlineStr">
        <is>
          <t>68463</t>
        </is>
      </c>
      <c r="B1223" s="2" t="inlineStr">
        <is>
          <t>Sicredi SNI</t>
        </is>
      </c>
      <c r="C1223" s="2" t="inlineStr">
        <is>
          <t>10/06/2026</t>
        </is>
      </c>
      <c r="D1223" s="2" t="inlineStr">
        <is>
          <t>10/06/2026</t>
        </is>
      </c>
      <c r="E1223" s="2" t="inlineStr">
        <is>
          <t>Dinheiro</t>
        </is>
      </c>
      <c r="F1223" s="2" t="inlineStr">
        <is>
          <t>Boleto "60433" do cliente "TEREZA MIRANDA"</t>
        </is>
      </c>
      <c r="G1223" s="2" t="inlineStr">
        <is>
          <t>system</t>
        </is>
      </c>
      <c r="H1223" s="2" t="inlineStr">
        <is>
          <t>01.01.01 : Mensalidade</t>
        </is>
      </c>
      <c r="I1223" s="3" t="n">
        <v>105</v>
      </c>
      <c r="J1223" s="2" t="n"/>
      <c r="K1223" s="2">
        <f>IF(H1223="02.09 : Outras Saídas", IF(OR(ISNUMBER(SEARCH("CHEQUE COMPE SICREDI", F1223)), ISNUMBER(SEARCH("aniversario", F1223)), ISNUMBER(SEARCH("churrasco", F1223)), ISNUMBER(SEARCH("bolo", F1223)), ISNUMBER(SEARCH("SUPERMERCADO", F1223))), "6.1 Despesas Administrativas (Pessoal)", IF(OR(ISNUMBER(SEARCH("DLKNET", F1223)), ISNUMBER(SEARCH("TESTE", F1223))), "6.1 Despesas Administrativas (Gerais)", IFERROR(VLOOKUP(H1223, De_Para!A:B, 2, FALSE), "NÃO MAPEADO"))), IFERROR(VLOOKUP(H1223, De_Para!A:B, 2, FALSE), "NÃO MAPEADO"))</f>
        <v/>
      </c>
    </row>
    <row r="1224">
      <c r="A1224" s="2" t="inlineStr">
        <is>
          <t>68462</t>
        </is>
      </c>
      <c r="B1224" s="2" t="inlineStr">
        <is>
          <t>Sicredi SNI</t>
        </is>
      </c>
      <c r="C1224" s="2" t="inlineStr">
        <is>
          <t>10/06/2026</t>
        </is>
      </c>
      <c r="D1224" s="2" t="inlineStr">
        <is>
          <t>10/06/2026</t>
        </is>
      </c>
      <c r="E1224" s="2" t="inlineStr">
        <is>
          <t>Dinheiro</t>
        </is>
      </c>
      <c r="F1224" s="2" t="inlineStr">
        <is>
          <t>Boleto "59908" do cliente "DONIZETE APARECIDO DOS SANTOS"</t>
        </is>
      </c>
      <c r="G1224" s="2" t="inlineStr">
        <is>
          <t>system</t>
        </is>
      </c>
      <c r="H1224" s="2" t="inlineStr">
        <is>
          <t>02.03.02.01 : Cobrança Bancaria</t>
        </is>
      </c>
      <c r="I1224" s="2" t="n"/>
      <c r="J1224" s="3" t="n">
        <v>-1.08</v>
      </c>
      <c r="K1224" s="2">
        <f>IF(H1224="02.09 : Outras Saídas", IF(OR(ISNUMBER(SEARCH("CHEQUE COMPE SICREDI", F1224)), ISNUMBER(SEARCH("aniversario", F1224)), ISNUMBER(SEARCH("churrasco", F1224)), ISNUMBER(SEARCH("bolo", F1224)), ISNUMBER(SEARCH("SUPERMERCADO", F1224))), "6.1 Despesas Administrativas (Pessoal)", IF(OR(ISNUMBER(SEARCH("DLKNET", F1224)), ISNUMBER(SEARCH("TESTE", F1224))), "6.1 Despesas Administrativas (Gerais)", IFERROR(VLOOKUP(H1224, De_Para!A:B, 2, FALSE), "NÃO MAPEADO"))), IFERROR(VLOOKUP(H1224, De_Para!A:B, 2, FALSE), "NÃO MAPEADO"))</f>
        <v/>
      </c>
    </row>
    <row r="1225">
      <c r="A1225" s="2" t="inlineStr">
        <is>
          <t>68461</t>
        </is>
      </c>
      <c r="B1225" s="2" t="inlineStr">
        <is>
          <t>Sicredi SNI</t>
        </is>
      </c>
      <c r="C1225" s="2" t="inlineStr">
        <is>
          <t>10/06/2026</t>
        </is>
      </c>
      <c r="D1225" s="2" t="inlineStr">
        <is>
          <t>10/06/2026</t>
        </is>
      </c>
      <c r="E1225" s="2" t="inlineStr">
        <is>
          <t>Dinheiro</t>
        </is>
      </c>
      <c r="F1225" s="2" t="inlineStr">
        <is>
          <t>Boleto "59908" do cliente "DONIZETE APARECIDO DOS SANTOS"</t>
        </is>
      </c>
      <c r="G1225" s="2" t="inlineStr">
        <is>
          <t>system</t>
        </is>
      </c>
      <c r="H1225" s="2" t="inlineStr">
        <is>
          <t>01.01.01 : Mensalidade</t>
        </is>
      </c>
      <c r="I1225" s="3" t="n">
        <v>100</v>
      </c>
      <c r="J1225" s="2" t="n"/>
      <c r="K1225" s="2">
        <f>IF(H1225="02.09 : Outras Saídas", IF(OR(ISNUMBER(SEARCH("CHEQUE COMPE SICREDI", F1225)), ISNUMBER(SEARCH("aniversario", F1225)), ISNUMBER(SEARCH("churrasco", F1225)), ISNUMBER(SEARCH("bolo", F1225)), ISNUMBER(SEARCH("SUPERMERCADO", F1225))), "6.1 Despesas Administrativas (Pessoal)", IF(OR(ISNUMBER(SEARCH("DLKNET", F1225)), ISNUMBER(SEARCH("TESTE", F1225))), "6.1 Despesas Administrativas (Gerais)", IFERROR(VLOOKUP(H1225, De_Para!A:B, 2, FALSE), "NÃO MAPEADO"))), IFERROR(VLOOKUP(H1225, De_Para!A:B, 2, FALSE), "NÃO MAPEADO"))</f>
        <v/>
      </c>
    </row>
    <row r="1226">
      <c r="A1226" s="2" t="inlineStr">
        <is>
          <t>68460</t>
        </is>
      </c>
      <c r="B1226" s="2" t="inlineStr">
        <is>
          <t>Sicredi SNI</t>
        </is>
      </c>
      <c r="C1226" s="2" t="inlineStr">
        <is>
          <t>10/06/2026</t>
        </is>
      </c>
      <c r="D1226" s="2" t="inlineStr">
        <is>
          <t>10/06/2026</t>
        </is>
      </c>
      <c r="E1226" s="2" t="inlineStr">
        <is>
          <t>Dinheiro</t>
        </is>
      </c>
      <c r="F1226" s="2" t="inlineStr">
        <is>
          <t>Boleto "56953" do cliente "FRANK EDUARDO DE ARRUDA"</t>
        </is>
      </c>
      <c r="G1226" s="2" t="inlineStr">
        <is>
          <t>system</t>
        </is>
      </c>
      <c r="H1226" s="2" t="inlineStr">
        <is>
          <t>02.03.02.01 : Cobrança Bancaria</t>
        </is>
      </c>
      <c r="I1226" s="2" t="n"/>
      <c r="J1226" s="3" t="n">
        <v>-1.08</v>
      </c>
      <c r="K1226" s="2">
        <f>IF(H1226="02.09 : Outras Saídas", IF(OR(ISNUMBER(SEARCH("CHEQUE COMPE SICREDI", F1226)), ISNUMBER(SEARCH("aniversario", F1226)), ISNUMBER(SEARCH("churrasco", F1226)), ISNUMBER(SEARCH("bolo", F1226)), ISNUMBER(SEARCH("SUPERMERCADO", F1226))), "6.1 Despesas Administrativas (Pessoal)", IF(OR(ISNUMBER(SEARCH("DLKNET", F1226)), ISNUMBER(SEARCH("TESTE", F1226))), "6.1 Despesas Administrativas (Gerais)", IFERROR(VLOOKUP(H1226, De_Para!A:B, 2, FALSE), "NÃO MAPEADO"))), IFERROR(VLOOKUP(H1226, De_Para!A:B, 2, FALSE), "NÃO MAPEADO"))</f>
        <v/>
      </c>
    </row>
    <row r="1227">
      <c r="A1227" s="2" t="inlineStr">
        <is>
          <t>68459</t>
        </is>
      </c>
      <c r="B1227" s="2" t="inlineStr">
        <is>
          <t>Sicredi SNI</t>
        </is>
      </c>
      <c r="C1227" s="2" t="inlineStr">
        <is>
          <t>10/06/2026</t>
        </is>
      </c>
      <c r="D1227" s="2" t="inlineStr">
        <is>
          <t>10/06/2026</t>
        </is>
      </c>
      <c r="E1227" s="2" t="inlineStr">
        <is>
          <t>Dinheiro</t>
        </is>
      </c>
      <c r="F1227" s="2" t="inlineStr">
        <is>
          <t>Boleto "56953" do cliente "FRANK EDUARDO DE ARRUDA"</t>
        </is>
      </c>
      <c r="G1227" s="2" t="inlineStr">
        <is>
          <t>system</t>
        </is>
      </c>
      <c r="H1227" s="2" t="inlineStr">
        <is>
          <t>01.01.01 : Mensalidade</t>
        </is>
      </c>
      <c r="I1227" s="3" t="n">
        <v>100</v>
      </c>
      <c r="J1227" s="2" t="n"/>
      <c r="K1227" s="2">
        <f>IF(H1227="02.09 : Outras Saídas", IF(OR(ISNUMBER(SEARCH("CHEQUE COMPE SICREDI", F1227)), ISNUMBER(SEARCH("aniversario", F1227)), ISNUMBER(SEARCH("churrasco", F1227)), ISNUMBER(SEARCH("bolo", F1227)), ISNUMBER(SEARCH("SUPERMERCADO", F1227))), "6.1 Despesas Administrativas (Pessoal)", IF(OR(ISNUMBER(SEARCH("DLKNET", F1227)), ISNUMBER(SEARCH("TESTE", F1227))), "6.1 Despesas Administrativas (Gerais)", IFERROR(VLOOKUP(H1227, De_Para!A:B, 2, FALSE), "NÃO MAPEADO"))), IFERROR(VLOOKUP(H1227, De_Para!A:B, 2, FALSE), "NÃO MAPEADO"))</f>
        <v/>
      </c>
    </row>
    <row r="1228">
      <c r="A1228" s="2" t="inlineStr">
        <is>
          <t>68458</t>
        </is>
      </c>
      <c r="B1228" s="2" t="inlineStr">
        <is>
          <t>Sicredi SNI</t>
        </is>
      </c>
      <c r="C1228" s="2" t="inlineStr">
        <is>
          <t>10/06/2026</t>
        </is>
      </c>
      <c r="D1228" s="2" t="inlineStr">
        <is>
          <t>10/06/2026</t>
        </is>
      </c>
      <c r="E1228" s="2" t="inlineStr">
        <is>
          <t>Dinheiro</t>
        </is>
      </c>
      <c r="F1228" s="2" t="inlineStr">
        <is>
          <t>Boleto "56898" do cliente "RENATA DOLMORA"</t>
        </is>
      </c>
      <c r="G1228" s="2" t="inlineStr">
        <is>
          <t>system</t>
        </is>
      </c>
      <c r="H1228" s="2" t="inlineStr">
        <is>
          <t>02.03.02.01 : Cobrança Bancaria</t>
        </is>
      </c>
      <c r="I1228" s="2" t="n"/>
      <c r="J1228" s="3" t="n">
        <v>-1.08</v>
      </c>
      <c r="K1228" s="2">
        <f>IF(H1228="02.09 : Outras Saídas", IF(OR(ISNUMBER(SEARCH("CHEQUE COMPE SICREDI", F1228)), ISNUMBER(SEARCH("aniversario", F1228)), ISNUMBER(SEARCH("churrasco", F1228)), ISNUMBER(SEARCH("bolo", F1228)), ISNUMBER(SEARCH("SUPERMERCADO", F1228))), "6.1 Despesas Administrativas (Pessoal)", IF(OR(ISNUMBER(SEARCH("DLKNET", F1228)), ISNUMBER(SEARCH("TESTE", F1228))), "6.1 Despesas Administrativas (Gerais)", IFERROR(VLOOKUP(H1228, De_Para!A:B, 2, FALSE), "NÃO MAPEADO"))), IFERROR(VLOOKUP(H1228, De_Para!A:B, 2, FALSE), "NÃO MAPEADO"))</f>
        <v/>
      </c>
    </row>
    <row r="1229">
      <c r="A1229" s="2" t="inlineStr">
        <is>
          <t>68457</t>
        </is>
      </c>
      <c r="B1229" s="2" t="inlineStr">
        <is>
          <t>Sicredi SNI</t>
        </is>
      </c>
      <c r="C1229" s="2" t="inlineStr">
        <is>
          <t>10/06/2026</t>
        </is>
      </c>
      <c r="D1229" s="2" t="inlineStr">
        <is>
          <t>10/06/2026</t>
        </is>
      </c>
      <c r="E1229" s="2" t="inlineStr">
        <is>
          <t>Dinheiro</t>
        </is>
      </c>
      <c r="F1229" s="2" t="inlineStr">
        <is>
          <t>Boleto "56898" do cliente "RENATA DOLMORA"</t>
        </is>
      </c>
      <c r="G1229" s="2" t="inlineStr">
        <is>
          <t>system</t>
        </is>
      </c>
      <c r="H1229" s="2" t="inlineStr">
        <is>
          <t>01.01.01 : Mensalidade</t>
        </is>
      </c>
      <c r="I1229" s="3" t="n">
        <v>100</v>
      </c>
      <c r="J1229" s="2" t="n"/>
      <c r="K1229" s="2">
        <f>IF(H1229="02.09 : Outras Saídas", IF(OR(ISNUMBER(SEARCH("CHEQUE COMPE SICREDI", F1229)), ISNUMBER(SEARCH("aniversario", F1229)), ISNUMBER(SEARCH("churrasco", F1229)), ISNUMBER(SEARCH("bolo", F1229)), ISNUMBER(SEARCH("SUPERMERCADO", F1229))), "6.1 Despesas Administrativas (Pessoal)", IF(OR(ISNUMBER(SEARCH("DLKNET", F1229)), ISNUMBER(SEARCH("TESTE", F1229))), "6.1 Despesas Administrativas (Gerais)", IFERROR(VLOOKUP(H1229, De_Para!A:B, 2, FALSE), "NÃO MAPEADO"))), IFERROR(VLOOKUP(H1229, De_Para!A:B, 2, FALSE), "NÃO MAPEADO"))</f>
        <v/>
      </c>
    </row>
    <row r="1230">
      <c r="A1230" s="2" t="inlineStr">
        <is>
          <t>68456</t>
        </is>
      </c>
      <c r="B1230" s="2" t="inlineStr">
        <is>
          <t>Sicredi SNI</t>
        </is>
      </c>
      <c r="C1230" s="2" t="inlineStr">
        <is>
          <t>10/06/2026</t>
        </is>
      </c>
      <c r="D1230" s="2" t="inlineStr">
        <is>
          <t>10/06/2026</t>
        </is>
      </c>
      <c r="E1230" s="2" t="inlineStr">
        <is>
          <t>Dinheiro</t>
        </is>
      </c>
      <c r="F1230" s="2" t="inlineStr">
        <is>
          <t>Boleto "56887" do cliente "RENATA DOLMORA"</t>
        </is>
      </c>
      <c r="G1230" s="2" t="inlineStr">
        <is>
          <t>system</t>
        </is>
      </c>
      <c r="H1230" s="2" t="inlineStr">
        <is>
          <t>02.03.02.01 : Cobrança Bancaria</t>
        </is>
      </c>
      <c r="I1230" s="2" t="n"/>
      <c r="J1230" s="3" t="n">
        <v>-1.08</v>
      </c>
      <c r="K1230" s="2">
        <f>IF(H1230="02.09 : Outras Saídas", IF(OR(ISNUMBER(SEARCH("CHEQUE COMPE SICREDI", F1230)), ISNUMBER(SEARCH("aniversario", F1230)), ISNUMBER(SEARCH("churrasco", F1230)), ISNUMBER(SEARCH("bolo", F1230)), ISNUMBER(SEARCH("SUPERMERCADO", F1230))), "6.1 Despesas Administrativas (Pessoal)", IF(OR(ISNUMBER(SEARCH("DLKNET", F1230)), ISNUMBER(SEARCH("TESTE", F1230))), "6.1 Despesas Administrativas (Gerais)", IFERROR(VLOOKUP(H1230, De_Para!A:B, 2, FALSE), "NÃO MAPEADO"))), IFERROR(VLOOKUP(H1230, De_Para!A:B, 2, FALSE), "NÃO MAPEADO"))</f>
        <v/>
      </c>
    </row>
    <row r="1231">
      <c r="A1231" s="2" t="inlineStr">
        <is>
          <t>68455</t>
        </is>
      </c>
      <c r="B1231" s="2" t="inlineStr">
        <is>
          <t>Sicredi SNI</t>
        </is>
      </c>
      <c r="C1231" s="2" t="inlineStr">
        <is>
          <t>10/06/2026</t>
        </is>
      </c>
      <c r="D1231" s="2" t="inlineStr">
        <is>
          <t>10/06/2026</t>
        </is>
      </c>
      <c r="E1231" s="2" t="inlineStr">
        <is>
          <t>Dinheiro</t>
        </is>
      </c>
      <c r="F1231" s="2" t="inlineStr">
        <is>
          <t>Boleto "56887" do cliente "RENATA DOLMORA"</t>
        </is>
      </c>
      <c r="G1231" s="2" t="inlineStr">
        <is>
          <t>system</t>
        </is>
      </c>
      <c r="H1231" s="2" t="inlineStr">
        <is>
          <t>01.01.01 : Mensalidade</t>
        </is>
      </c>
      <c r="I1231" s="3" t="n">
        <v>100</v>
      </c>
      <c r="J1231" s="2" t="n"/>
      <c r="K1231" s="2">
        <f>IF(H1231="02.09 : Outras Saídas", IF(OR(ISNUMBER(SEARCH("CHEQUE COMPE SICREDI", F1231)), ISNUMBER(SEARCH("aniversario", F1231)), ISNUMBER(SEARCH("churrasco", F1231)), ISNUMBER(SEARCH("bolo", F1231)), ISNUMBER(SEARCH("SUPERMERCADO", F1231))), "6.1 Despesas Administrativas (Pessoal)", IF(OR(ISNUMBER(SEARCH("DLKNET", F1231)), ISNUMBER(SEARCH("TESTE", F1231))), "6.1 Despesas Administrativas (Gerais)", IFERROR(VLOOKUP(H1231, De_Para!A:B, 2, FALSE), "NÃO MAPEADO"))), IFERROR(VLOOKUP(H1231, De_Para!A:B, 2, FALSE), "NÃO MAPEADO"))</f>
        <v/>
      </c>
    </row>
    <row r="1232">
      <c r="A1232" s="2" t="inlineStr">
        <is>
          <t>68454</t>
        </is>
      </c>
      <c r="B1232" s="2" t="inlineStr">
        <is>
          <t>Sicredi SNI</t>
        </is>
      </c>
      <c r="C1232" s="2" t="inlineStr">
        <is>
          <t>10/06/2026</t>
        </is>
      </c>
      <c r="D1232" s="2" t="inlineStr">
        <is>
          <t>10/06/2026</t>
        </is>
      </c>
      <c r="E1232" s="2" t="inlineStr">
        <is>
          <t>PIX</t>
        </is>
      </c>
      <c r="F1232" s="2" t="inlineStr">
        <is>
          <t>Boleto "64744" do cliente "FABIO FERREIRA DENIZ"</t>
        </is>
      </c>
      <c r="G1232" s="2" t="inlineStr">
        <is>
          <t>system</t>
        </is>
      </c>
      <c r="H1232" s="2" t="inlineStr">
        <is>
          <t>02.03.02.01 : Cobrança Bancaria</t>
        </is>
      </c>
      <c r="I1232" s="2" t="n"/>
      <c r="J1232" s="3" t="n">
        <v>-0.49</v>
      </c>
      <c r="K1232" s="2">
        <f>IF(H1232="02.09 : Outras Saídas", IF(OR(ISNUMBER(SEARCH("CHEQUE COMPE SICREDI", F1232)), ISNUMBER(SEARCH("aniversario", F1232)), ISNUMBER(SEARCH("churrasco", F1232)), ISNUMBER(SEARCH("bolo", F1232)), ISNUMBER(SEARCH("SUPERMERCADO", F1232))), "6.1 Despesas Administrativas (Pessoal)", IF(OR(ISNUMBER(SEARCH("DLKNET", F1232)), ISNUMBER(SEARCH("TESTE", F1232))), "6.1 Despesas Administrativas (Gerais)", IFERROR(VLOOKUP(H1232, De_Para!A:B, 2, FALSE), "NÃO MAPEADO"))), IFERROR(VLOOKUP(H1232, De_Para!A:B, 2, FALSE), "NÃO MAPEADO"))</f>
        <v/>
      </c>
    </row>
    <row r="1233">
      <c r="A1233" s="2" t="inlineStr">
        <is>
          <t>68453</t>
        </is>
      </c>
      <c r="B1233" s="2" t="inlineStr">
        <is>
          <t>Sicredi SNI</t>
        </is>
      </c>
      <c r="C1233" s="2" t="inlineStr">
        <is>
          <t>10/06/2026</t>
        </is>
      </c>
      <c r="D1233" s="2" t="inlineStr">
        <is>
          <t>10/06/2026</t>
        </is>
      </c>
      <c r="E1233" s="2" t="inlineStr">
        <is>
          <t>PIX</t>
        </is>
      </c>
      <c r="F1233" s="2" t="inlineStr">
        <is>
          <t>Boleto "64744" do cliente "FABIO FERREIRA DENIZ"</t>
        </is>
      </c>
      <c r="G1233" s="2" t="inlineStr">
        <is>
          <t>system</t>
        </is>
      </c>
      <c r="H1233" s="2" t="inlineStr">
        <is>
          <t>01.01.01 : Mensalidade</t>
        </is>
      </c>
      <c r="I1233" s="3" t="n">
        <v>110</v>
      </c>
      <c r="J1233" s="2" t="n"/>
      <c r="K1233" s="2">
        <f>IF(H1233="02.09 : Outras Saídas", IF(OR(ISNUMBER(SEARCH("CHEQUE COMPE SICREDI", F1233)), ISNUMBER(SEARCH("aniversario", F1233)), ISNUMBER(SEARCH("churrasco", F1233)), ISNUMBER(SEARCH("bolo", F1233)), ISNUMBER(SEARCH("SUPERMERCADO", F1233))), "6.1 Despesas Administrativas (Pessoal)", IF(OR(ISNUMBER(SEARCH("DLKNET", F1233)), ISNUMBER(SEARCH("TESTE", F1233))), "6.1 Despesas Administrativas (Gerais)", IFERROR(VLOOKUP(H1233, De_Para!A:B, 2, FALSE), "NÃO MAPEADO"))), IFERROR(VLOOKUP(H1233, De_Para!A:B, 2, FALSE), "NÃO MAPEADO"))</f>
        <v/>
      </c>
    </row>
    <row r="1234">
      <c r="A1234" s="2" t="inlineStr">
        <is>
          <t>68452</t>
        </is>
      </c>
      <c r="B1234" s="2" t="inlineStr">
        <is>
          <t>Sicoob</t>
        </is>
      </c>
      <c r="C1234" s="2" t="inlineStr">
        <is>
          <t>10/06/2026</t>
        </is>
      </c>
      <c r="D1234" s="2" t="inlineStr">
        <is>
          <t>10/06/2026</t>
        </is>
      </c>
      <c r="E1234" s="2" t="inlineStr">
        <is>
          <t>Dinheiro</t>
        </is>
      </c>
      <c r="F1234" s="2" t="inlineStr">
        <is>
          <t>Boleto "65735" do cliente "JAIR NOGUEIRA"</t>
        </is>
      </c>
      <c r="G1234" s="2" t="inlineStr">
        <is>
          <t>system</t>
        </is>
      </c>
      <c r="H1234" s="2" t="inlineStr">
        <is>
          <t>02.03.02.01 : Cobrança Bancaria</t>
        </is>
      </c>
      <c r="I1234" s="2" t="n"/>
      <c r="J1234" s="3" t="n">
        <v>-0.88</v>
      </c>
      <c r="K1234" s="2">
        <f>IF(H1234="02.09 : Outras Saídas", IF(OR(ISNUMBER(SEARCH("CHEQUE COMPE SICREDI", F1234)), ISNUMBER(SEARCH("aniversario", F1234)), ISNUMBER(SEARCH("churrasco", F1234)), ISNUMBER(SEARCH("bolo", F1234)), ISNUMBER(SEARCH("SUPERMERCADO", F1234))), "6.1 Despesas Administrativas (Pessoal)", IF(OR(ISNUMBER(SEARCH("DLKNET", F1234)), ISNUMBER(SEARCH("TESTE", F1234))), "6.1 Despesas Administrativas (Gerais)", IFERROR(VLOOKUP(H1234, De_Para!A:B, 2, FALSE), "NÃO MAPEADO"))), IFERROR(VLOOKUP(H1234, De_Para!A:B, 2, FALSE), "NÃO MAPEADO"))</f>
        <v/>
      </c>
    </row>
    <row r="1235">
      <c r="A1235" s="2" t="inlineStr">
        <is>
          <t>68451</t>
        </is>
      </c>
      <c r="B1235" s="2" t="inlineStr">
        <is>
          <t>Sicoob</t>
        </is>
      </c>
      <c r="C1235" s="2" t="inlineStr">
        <is>
          <t>10/06/2026</t>
        </is>
      </c>
      <c r="D1235" s="2" t="inlineStr">
        <is>
          <t>10/06/2026</t>
        </is>
      </c>
      <c r="E1235" s="2" t="inlineStr">
        <is>
          <t>Dinheiro</t>
        </is>
      </c>
      <c r="F1235" s="2" t="inlineStr">
        <is>
          <t>Boleto "65735" do cliente "JAIR NOGUEIRA"</t>
        </is>
      </c>
      <c r="G1235" s="2" t="inlineStr">
        <is>
          <t>system</t>
        </is>
      </c>
      <c r="H1235" s="2" t="inlineStr">
        <is>
          <t>01.01.01 : Mensalidade</t>
        </is>
      </c>
      <c r="I1235" s="3" t="n">
        <v>80</v>
      </c>
      <c r="J1235" s="2" t="n"/>
      <c r="K1235" s="2">
        <f>IF(H1235="02.09 : Outras Saídas", IF(OR(ISNUMBER(SEARCH("CHEQUE COMPE SICREDI", F1235)), ISNUMBER(SEARCH("aniversario", F1235)), ISNUMBER(SEARCH("churrasco", F1235)), ISNUMBER(SEARCH("bolo", F1235)), ISNUMBER(SEARCH("SUPERMERCADO", F1235))), "6.1 Despesas Administrativas (Pessoal)", IF(OR(ISNUMBER(SEARCH("DLKNET", F1235)), ISNUMBER(SEARCH("TESTE", F1235))), "6.1 Despesas Administrativas (Gerais)", IFERROR(VLOOKUP(H1235, De_Para!A:B, 2, FALSE), "NÃO MAPEADO"))), IFERROR(VLOOKUP(H1235, De_Para!A:B, 2, FALSE), "NÃO MAPEADO"))</f>
        <v/>
      </c>
    </row>
    <row r="1236">
      <c r="A1236" s="2" t="inlineStr">
        <is>
          <t>68450</t>
        </is>
      </c>
      <c r="B1236" s="2" t="inlineStr">
        <is>
          <t>Sicoob</t>
        </is>
      </c>
      <c r="C1236" s="2" t="inlineStr">
        <is>
          <t>10/06/2026</t>
        </is>
      </c>
      <c r="D1236" s="2" t="inlineStr">
        <is>
          <t>10/06/2026</t>
        </is>
      </c>
      <c r="E1236" s="2" t="inlineStr">
        <is>
          <t>Dinheiro</t>
        </is>
      </c>
      <c r="F1236" s="2" t="inlineStr">
        <is>
          <t>Boleto "65701" do cliente "RODRIGO INOCENCIO TEIXEIRA DA SILVA"</t>
        </is>
      </c>
      <c r="G1236" s="2" t="inlineStr">
        <is>
          <t>system</t>
        </is>
      </c>
      <c r="H1236" s="2" t="inlineStr">
        <is>
          <t>02.03.02.01 : Cobrança Bancaria</t>
        </is>
      </c>
      <c r="I1236" s="2" t="n"/>
      <c r="J1236" s="3" t="n">
        <v>-0.88</v>
      </c>
      <c r="K1236" s="2">
        <f>IF(H1236="02.09 : Outras Saídas", IF(OR(ISNUMBER(SEARCH("CHEQUE COMPE SICREDI", F1236)), ISNUMBER(SEARCH("aniversario", F1236)), ISNUMBER(SEARCH("churrasco", F1236)), ISNUMBER(SEARCH("bolo", F1236)), ISNUMBER(SEARCH("SUPERMERCADO", F1236))), "6.1 Despesas Administrativas (Pessoal)", IF(OR(ISNUMBER(SEARCH("DLKNET", F1236)), ISNUMBER(SEARCH("TESTE", F1236))), "6.1 Despesas Administrativas (Gerais)", IFERROR(VLOOKUP(H1236, De_Para!A:B, 2, FALSE), "NÃO MAPEADO"))), IFERROR(VLOOKUP(H1236, De_Para!A:B, 2, FALSE), "NÃO MAPEADO"))</f>
        <v/>
      </c>
    </row>
    <row r="1237">
      <c r="A1237" s="2" t="inlineStr">
        <is>
          <t>68449</t>
        </is>
      </c>
      <c r="B1237" s="2" t="inlineStr">
        <is>
          <t>Sicoob</t>
        </is>
      </c>
      <c r="C1237" s="2" t="inlineStr">
        <is>
          <t>10/06/2026</t>
        </is>
      </c>
      <c r="D1237" s="2" t="inlineStr">
        <is>
          <t>10/06/2026</t>
        </is>
      </c>
      <c r="E1237" s="2" t="inlineStr">
        <is>
          <t>Dinheiro</t>
        </is>
      </c>
      <c r="F1237" s="2" t="inlineStr">
        <is>
          <t>Boleto "65701" do cliente "RODRIGO INOCENCIO TEIXEIRA DA SILVA"</t>
        </is>
      </c>
      <c r="G1237" s="2" t="inlineStr">
        <is>
          <t>system</t>
        </is>
      </c>
      <c r="H1237" s="2" t="inlineStr">
        <is>
          <t>01.01.01 : Mensalidade</t>
        </is>
      </c>
      <c r="I1237" s="3" t="n">
        <v>104.9</v>
      </c>
      <c r="J1237" s="2" t="n"/>
      <c r="K1237" s="2">
        <f>IF(H1237="02.09 : Outras Saídas", IF(OR(ISNUMBER(SEARCH("CHEQUE COMPE SICREDI", F1237)), ISNUMBER(SEARCH("aniversario", F1237)), ISNUMBER(SEARCH("churrasco", F1237)), ISNUMBER(SEARCH("bolo", F1237)), ISNUMBER(SEARCH("SUPERMERCADO", F1237))), "6.1 Despesas Administrativas (Pessoal)", IF(OR(ISNUMBER(SEARCH("DLKNET", F1237)), ISNUMBER(SEARCH("TESTE", F1237))), "6.1 Despesas Administrativas (Gerais)", IFERROR(VLOOKUP(H1237, De_Para!A:B, 2, FALSE), "NÃO MAPEADO"))), IFERROR(VLOOKUP(H1237, De_Para!A:B, 2, FALSE), "NÃO MAPEADO"))</f>
        <v/>
      </c>
    </row>
    <row r="1238">
      <c r="A1238" s="2" t="inlineStr">
        <is>
          <t>68448</t>
        </is>
      </c>
      <c r="B1238" s="2" t="inlineStr">
        <is>
          <t>Sicoob</t>
        </is>
      </c>
      <c r="C1238" s="2" t="inlineStr">
        <is>
          <t>10/06/2026</t>
        </is>
      </c>
      <c r="D1238" s="2" t="inlineStr">
        <is>
          <t>10/06/2026</t>
        </is>
      </c>
      <c r="E1238" s="2" t="inlineStr">
        <is>
          <t>Dinheiro</t>
        </is>
      </c>
      <c r="F1238" s="2" t="inlineStr">
        <is>
          <t>Boleto "63182" do cliente "IRENE WAMBACH DO VALE"</t>
        </is>
      </c>
      <c r="G1238" s="2" t="inlineStr">
        <is>
          <t>system</t>
        </is>
      </c>
      <c r="H1238" s="2" t="inlineStr">
        <is>
          <t>02.03.02.01 : Cobrança Bancaria</t>
        </is>
      </c>
      <c r="I1238" s="2" t="n"/>
      <c r="J1238" s="3" t="n">
        <v>-0.88</v>
      </c>
      <c r="K1238" s="2">
        <f>IF(H1238="02.09 : Outras Saídas", IF(OR(ISNUMBER(SEARCH("CHEQUE COMPE SICREDI", F1238)), ISNUMBER(SEARCH("aniversario", F1238)), ISNUMBER(SEARCH("churrasco", F1238)), ISNUMBER(SEARCH("bolo", F1238)), ISNUMBER(SEARCH("SUPERMERCADO", F1238))), "6.1 Despesas Administrativas (Pessoal)", IF(OR(ISNUMBER(SEARCH("DLKNET", F1238)), ISNUMBER(SEARCH("TESTE", F1238))), "6.1 Despesas Administrativas (Gerais)", IFERROR(VLOOKUP(H1238, De_Para!A:B, 2, FALSE), "NÃO MAPEADO"))), IFERROR(VLOOKUP(H1238, De_Para!A:B, 2, FALSE), "NÃO MAPEADO"))</f>
        <v/>
      </c>
    </row>
    <row r="1239">
      <c r="A1239" s="2" t="inlineStr">
        <is>
          <t>68447</t>
        </is>
      </c>
      <c r="B1239" s="2" t="inlineStr">
        <is>
          <t>Sicoob</t>
        </is>
      </c>
      <c r="C1239" s="2" t="inlineStr">
        <is>
          <t>10/06/2026</t>
        </is>
      </c>
      <c r="D1239" s="2" t="inlineStr">
        <is>
          <t>10/06/2026</t>
        </is>
      </c>
      <c r="E1239" s="2" t="inlineStr">
        <is>
          <t>Dinheiro</t>
        </is>
      </c>
      <c r="F1239" s="2" t="inlineStr">
        <is>
          <t>Boleto "63182" do cliente "IRENE WAMBACH DO VALE"</t>
        </is>
      </c>
      <c r="G1239" s="2" t="inlineStr">
        <is>
          <t>system</t>
        </is>
      </c>
      <c r="H1239" s="2" t="inlineStr">
        <is>
          <t>01.01.01 : Mensalidade</t>
        </is>
      </c>
      <c r="I1239" s="3" t="n">
        <v>104.9</v>
      </c>
      <c r="J1239" s="2" t="n"/>
      <c r="K1239" s="2">
        <f>IF(H1239="02.09 : Outras Saídas", IF(OR(ISNUMBER(SEARCH("CHEQUE COMPE SICREDI", F1239)), ISNUMBER(SEARCH("aniversario", F1239)), ISNUMBER(SEARCH("churrasco", F1239)), ISNUMBER(SEARCH("bolo", F1239)), ISNUMBER(SEARCH("SUPERMERCADO", F1239))), "6.1 Despesas Administrativas (Pessoal)", IF(OR(ISNUMBER(SEARCH("DLKNET", F1239)), ISNUMBER(SEARCH("TESTE", F1239))), "6.1 Despesas Administrativas (Gerais)", IFERROR(VLOOKUP(H1239, De_Para!A:B, 2, FALSE), "NÃO MAPEADO"))), IFERROR(VLOOKUP(H1239, De_Para!A:B, 2, FALSE), "NÃO MAPEADO"))</f>
        <v/>
      </c>
    </row>
    <row r="1240">
      <c r="A1240" s="2" t="inlineStr">
        <is>
          <t>68446</t>
        </is>
      </c>
      <c r="B1240" s="2" t="inlineStr">
        <is>
          <t>Sicoob</t>
        </is>
      </c>
      <c r="C1240" s="2" t="inlineStr">
        <is>
          <t>10/06/2026</t>
        </is>
      </c>
      <c r="D1240" s="2" t="inlineStr">
        <is>
          <t>10/06/2026</t>
        </is>
      </c>
      <c r="E1240" s="2" t="inlineStr">
        <is>
          <t>Dinheiro</t>
        </is>
      </c>
      <c r="F1240" s="2" t="inlineStr">
        <is>
          <t>Boleto "62022" do cliente "MARIA APARECIDA MOURA DOS SANTOS"</t>
        </is>
      </c>
      <c r="G1240" s="2" t="inlineStr">
        <is>
          <t>system</t>
        </is>
      </c>
      <c r="H1240" s="2" t="inlineStr">
        <is>
          <t>02.03.02.01 : Cobrança Bancaria</t>
        </is>
      </c>
      <c r="I1240" s="2" t="n"/>
      <c r="J1240" s="3" t="n">
        <v>-0.88</v>
      </c>
      <c r="K1240" s="2">
        <f>IF(H1240="02.09 : Outras Saídas", IF(OR(ISNUMBER(SEARCH("CHEQUE COMPE SICREDI", F1240)), ISNUMBER(SEARCH("aniversario", F1240)), ISNUMBER(SEARCH("churrasco", F1240)), ISNUMBER(SEARCH("bolo", F1240)), ISNUMBER(SEARCH("SUPERMERCADO", F1240))), "6.1 Despesas Administrativas (Pessoal)", IF(OR(ISNUMBER(SEARCH("DLKNET", F1240)), ISNUMBER(SEARCH("TESTE", F1240))), "6.1 Despesas Administrativas (Gerais)", IFERROR(VLOOKUP(H1240, De_Para!A:B, 2, FALSE), "NÃO MAPEADO"))), IFERROR(VLOOKUP(H1240, De_Para!A:B, 2, FALSE), "NÃO MAPEADO"))</f>
        <v/>
      </c>
    </row>
    <row r="1241">
      <c r="A1241" s="2" t="inlineStr">
        <is>
          <t>68445</t>
        </is>
      </c>
      <c r="B1241" s="2" t="inlineStr">
        <is>
          <t>Sicoob</t>
        </is>
      </c>
      <c r="C1241" s="2" t="inlineStr">
        <is>
          <t>10/06/2026</t>
        </is>
      </c>
      <c r="D1241" s="2" t="inlineStr">
        <is>
          <t>10/06/2026</t>
        </is>
      </c>
      <c r="E1241" s="2" t="inlineStr">
        <is>
          <t>Dinheiro</t>
        </is>
      </c>
      <c r="F1241" s="2" t="inlineStr">
        <is>
          <t>Boleto "62022" do cliente "MARIA APARECIDA MOURA DOS SANTOS"</t>
        </is>
      </c>
      <c r="G1241" s="2" t="inlineStr">
        <is>
          <t>system</t>
        </is>
      </c>
      <c r="H1241" s="2" t="inlineStr">
        <is>
          <t>01.01.01 : Mensalidade</t>
        </is>
      </c>
      <c r="I1241" s="3" t="n">
        <v>110</v>
      </c>
      <c r="J1241" s="2" t="n"/>
      <c r="K1241" s="2">
        <f>IF(H1241="02.09 : Outras Saídas", IF(OR(ISNUMBER(SEARCH("CHEQUE COMPE SICREDI", F1241)), ISNUMBER(SEARCH("aniversario", F1241)), ISNUMBER(SEARCH("churrasco", F1241)), ISNUMBER(SEARCH("bolo", F1241)), ISNUMBER(SEARCH("SUPERMERCADO", F1241))), "6.1 Despesas Administrativas (Pessoal)", IF(OR(ISNUMBER(SEARCH("DLKNET", F1241)), ISNUMBER(SEARCH("TESTE", F1241))), "6.1 Despesas Administrativas (Gerais)", IFERROR(VLOOKUP(H1241, De_Para!A:B, 2, FALSE), "NÃO MAPEADO"))), IFERROR(VLOOKUP(H1241, De_Para!A:B, 2, FALSE), "NÃO MAPEADO"))</f>
        <v/>
      </c>
    </row>
    <row r="1242">
      <c r="A1242" s="2" t="inlineStr">
        <is>
          <t>68444</t>
        </is>
      </c>
      <c r="B1242" s="2" t="inlineStr">
        <is>
          <t>Sicoob</t>
        </is>
      </c>
      <c r="C1242" s="2" t="inlineStr">
        <is>
          <t>10/06/2026</t>
        </is>
      </c>
      <c r="D1242" s="2" t="inlineStr">
        <is>
          <t>10/06/2026</t>
        </is>
      </c>
      <c r="E1242" s="2" t="inlineStr">
        <is>
          <t>Dinheiro</t>
        </is>
      </c>
      <c r="F1242" s="2" t="inlineStr">
        <is>
          <t>Boleto "61873" do cliente "FABIANO RODRIGUES FERREIRA"</t>
        </is>
      </c>
      <c r="G1242" s="2" t="inlineStr">
        <is>
          <t>system</t>
        </is>
      </c>
      <c r="H1242" s="2" t="inlineStr">
        <is>
          <t>02.03.02.01 : Cobrança Bancaria</t>
        </is>
      </c>
      <c r="I1242" s="2" t="n"/>
      <c r="J1242" s="3" t="n">
        <v>-0.88</v>
      </c>
      <c r="K1242" s="2">
        <f>IF(H1242="02.09 : Outras Saídas", IF(OR(ISNUMBER(SEARCH("CHEQUE COMPE SICREDI", F1242)), ISNUMBER(SEARCH("aniversario", F1242)), ISNUMBER(SEARCH("churrasco", F1242)), ISNUMBER(SEARCH("bolo", F1242)), ISNUMBER(SEARCH("SUPERMERCADO", F1242))), "6.1 Despesas Administrativas (Pessoal)", IF(OR(ISNUMBER(SEARCH("DLKNET", F1242)), ISNUMBER(SEARCH("TESTE", F1242))), "6.1 Despesas Administrativas (Gerais)", IFERROR(VLOOKUP(H1242, De_Para!A:B, 2, FALSE), "NÃO MAPEADO"))), IFERROR(VLOOKUP(H1242, De_Para!A:B, 2, FALSE), "NÃO MAPEADO"))</f>
        <v/>
      </c>
    </row>
    <row r="1243">
      <c r="A1243" s="2" t="inlineStr">
        <is>
          <t>68443</t>
        </is>
      </c>
      <c r="B1243" s="2" t="inlineStr">
        <is>
          <t>Sicoob</t>
        </is>
      </c>
      <c r="C1243" s="2" t="inlineStr">
        <is>
          <t>10/06/2026</t>
        </is>
      </c>
      <c r="D1243" s="2" t="inlineStr">
        <is>
          <t>10/06/2026</t>
        </is>
      </c>
      <c r="E1243" s="2" t="inlineStr">
        <is>
          <t>Dinheiro</t>
        </is>
      </c>
      <c r="F1243" s="2" t="inlineStr">
        <is>
          <t>Boleto "61873" do cliente "FABIANO RODRIGUES FERREIRA"</t>
        </is>
      </c>
      <c r="G1243" s="2" t="inlineStr">
        <is>
          <t>system</t>
        </is>
      </c>
      <c r="H1243" s="2" t="inlineStr">
        <is>
          <t>01.01.01 : Mensalidade</t>
        </is>
      </c>
      <c r="I1243" s="3" t="n">
        <v>105</v>
      </c>
      <c r="J1243" s="2" t="n"/>
      <c r="K1243" s="2">
        <f>IF(H1243="02.09 : Outras Saídas", IF(OR(ISNUMBER(SEARCH("CHEQUE COMPE SICREDI", F1243)), ISNUMBER(SEARCH("aniversario", F1243)), ISNUMBER(SEARCH("churrasco", F1243)), ISNUMBER(SEARCH("bolo", F1243)), ISNUMBER(SEARCH("SUPERMERCADO", F1243))), "6.1 Despesas Administrativas (Pessoal)", IF(OR(ISNUMBER(SEARCH("DLKNET", F1243)), ISNUMBER(SEARCH("TESTE", F1243))), "6.1 Despesas Administrativas (Gerais)", IFERROR(VLOOKUP(H1243, De_Para!A:B, 2, FALSE), "NÃO MAPEADO"))), IFERROR(VLOOKUP(H1243, De_Para!A:B, 2, FALSE), "NÃO MAPEADO"))</f>
        <v/>
      </c>
    </row>
    <row r="1244">
      <c r="A1244" s="2" t="inlineStr">
        <is>
          <t>68442</t>
        </is>
      </c>
      <c r="B1244" s="2" t="inlineStr">
        <is>
          <t>Sicoob</t>
        </is>
      </c>
      <c r="C1244" s="2" t="inlineStr">
        <is>
          <t>10/06/2026</t>
        </is>
      </c>
      <c r="D1244" s="2" t="inlineStr">
        <is>
          <t>10/06/2026</t>
        </is>
      </c>
      <c r="E1244" s="2" t="inlineStr">
        <is>
          <t>Dinheiro</t>
        </is>
      </c>
      <c r="F1244" s="2" t="inlineStr">
        <is>
          <t>Boleto "60045" do cliente "FABIANO RODRIGUES FERREIRA"</t>
        </is>
      </c>
      <c r="G1244" s="2" t="inlineStr">
        <is>
          <t>system</t>
        </is>
      </c>
      <c r="H1244" s="2" t="inlineStr">
        <is>
          <t>02.03.02.01 : Cobrança Bancaria</t>
        </is>
      </c>
      <c r="I1244" s="2" t="n"/>
      <c r="J1244" s="3" t="n">
        <v>-0.88</v>
      </c>
      <c r="K1244" s="2">
        <f>IF(H1244="02.09 : Outras Saídas", IF(OR(ISNUMBER(SEARCH("CHEQUE COMPE SICREDI", F1244)), ISNUMBER(SEARCH("aniversario", F1244)), ISNUMBER(SEARCH("churrasco", F1244)), ISNUMBER(SEARCH("bolo", F1244)), ISNUMBER(SEARCH("SUPERMERCADO", F1244))), "6.1 Despesas Administrativas (Pessoal)", IF(OR(ISNUMBER(SEARCH("DLKNET", F1244)), ISNUMBER(SEARCH("TESTE", F1244))), "6.1 Despesas Administrativas (Gerais)", IFERROR(VLOOKUP(H1244, De_Para!A:B, 2, FALSE), "NÃO MAPEADO"))), IFERROR(VLOOKUP(H1244, De_Para!A:B, 2, FALSE), "NÃO MAPEADO"))</f>
        <v/>
      </c>
    </row>
    <row r="1245">
      <c r="A1245" s="2" t="inlineStr">
        <is>
          <t>68441</t>
        </is>
      </c>
      <c r="B1245" s="2" t="inlineStr">
        <is>
          <t>Sicoob</t>
        </is>
      </c>
      <c r="C1245" s="2" t="inlineStr">
        <is>
          <t>10/06/2026</t>
        </is>
      </c>
      <c r="D1245" s="2" t="inlineStr">
        <is>
          <t>10/06/2026</t>
        </is>
      </c>
      <c r="E1245" s="2" t="inlineStr">
        <is>
          <t>Dinheiro</t>
        </is>
      </c>
      <c r="F1245" s="2" t="inlineStr">
        <is>
          <t>Boleto "60045" do cliente "FABIANO RODRIGUES FERREIRA"</t>
        </is>
      </c>
      <c r="G1245" s="2" t="inlineStr">
        <is>
          <t>system</t>
        </is>
      </c>
      <c r="H1245" s="2" t="inlineStr">
        <is>
          <t>01.01.01 : Mensalidade</t>
        </is>
      </c>
      <c r="I1245" s="3" t="n">
        <v>105</v>
      </c>
      <c r="J1245" s="2" t="n"/>
      <c r="K1245" s="2">
        <f>IF(H1245="02.09 : Outras Saídas", IF(OR(ISNUMBER(SEARCH("CHEQUE COMPE SICREDI", F1245)), ISNUMBER(SEARCH("aniversario", F1245)), ISNUMBER(SEARCH("churrasco", F1245)), ISNUMBER(SEARCH("bolo", F1245)), ISNUMBER(SEARCH("SUPERMERCADO", F1245))), "6.1 Despesas Administrativas (Pessoal)", IF(OR(ISNUMBER(SEARCH("DLKNET", F1245)), ISNUMBER(SEARCH("TESTE", F1245))), "6.1 Despesas Administrativas (Gerais)", IFERROR(VLOOKUP(H1245, De_Para!A:B, 2, FALSE), "NÃO MAPEADO"))), IFERROR(VLOOKUP(H1245, De_Para!A:B, 2, FALSE), "NÃO MAPEADO"))</f>
        <v/>
      </c>
    </row>
    <row r="1246">
      <c r="A1246" s="2" t="inlineStr">
        <is>
          <t>68440</t>
        </is>
      </c>
      <c r="B1246" s="2" t="inlineStr">
        <is>
          <t>Sicoob</t>
        </is>
      </c>
      <c r="C1246" s="2" t="inlineStr">
        <is>
          <t>10/06/2026</t>
        </is>
      </c>
      <c r="D1246" s="2" t="inlineStr">
        <is>
          <t>10/06/2026</t>
        </is>
      </c>
      <c r="E1246" s="2" t="inlineStr">
        <is>
          <t>Dinheiro</t>
        </is>
      </c>
      <c r="F1246" s="2" t="inlineStr">
        <is>
          <t>Boleto "57194" do cliente "MOURA &amp; SANTOS LTDA"</t>
        </is>
      </c>
      <c r="G1246" s="2" t="inlineStr">
        <is>
          <t>system</t>
        </is>
      </c>
      <c r="H1246" s="2" t="inlineStr">
        <is>
          <t>02.03.02.01 : Cobrança Bancaria</t>
        </is>
      </c>
      <c r="I1246" s="2" t="n"/>
      <c r="J1246" s="3" t="n">
        <v>-0.88</v>
      </c>
      <c r="K1246" s="2">
        <f>IF(H1246="02.09 : Outras Saídas", IF(OR(ISNUMBER(SEARCH("CHEQUE COMPE SICREDI", F1246)), ISNUMBER(SEARCH("aniversario", F1246)), ISNUMBER(SEARCH("churrasco", F1246)), ISNUMBER(SEARCH("bolo", F1246)), ISNUMBER(SEARCH("SUPERMERCADO", F1246))), "6.1 Despesas Administrativas (Pessoal)", IF(OR(ISNUMBER(SEARCH("DLKNET", F1246)), ISNUMBER(SEARCH("TESTE", F1246))), "6.1 Despesas Administrativas (Gerais)", IFERROR(VLOOKUP(H1246, De_Para!A:B, 2, FALSE), "NÃO MAPEADO"))), IFERROR(VLOOKUP(H1246, De_Para!A:B, 2, FALSE), "NÃO MAPEADO"))</f>
        <v/>
      </c>
    </row>
    <row r="1247">
      <c r="A1247" s="2" t="inlineStr">
        <is>
          <t>68439</t>
        </is>
      </c>
      <c r="B1247" s="2" t="inlineStr">
        <is>
          <t>Sicoob</t>
        </is>
      </c>
      <c r="C1247" s="2" t="inlineStr">
        <is>
          <t>10/06/2026</t>
        </is>
      </c>
      <c r="D1247" s="2" t="inlineStr">
        <is>
          <t>10/06/2026</t>
        </is>
      </c>
      <c r="E1247" s="2" t="inlineStr">
        <is>
          <t>Dinheiro</t>
        </is>
      </c>
      <c r="F1247" s="2" t="inlineStr">
        <is>
          <t>Boleto "57194" do cliente "MOURA &amp; SANTOS LTDA"</t>
        </is>
      </c>
      <c r="G1247" s="2" t="inlineStr">
        <is>
          <t>system</t>
        </is>
      </c>
      <c r="H1247" s="2" t="inlineStr">
        <is>
          <t>01.03.01 : Mensalidade</t>
        </is>
      </c>
      <c r="I1247" s="3" t="n">
        <v>105</v>
      </c>
      <c r="J1247" s="2" t="n"/>
      <c r="K1247" s="2">
        <f>IF(H1247="02.09 : Outras Saídas", IF(OR(ISNUMBER(SEARCH("CHEQUE COMPE SICREDI", F1247)), ISNUMBER(SEARCH("aniversario", F1247)), ISNUMBER(SEARCH("churrasco", F1247)), ISNUMBER(SEARCH("bolo", F1247)), ISNUMBER(SEARCH("SUPERMERCADO", F1247))), "6.1 Despesas Administrativas (Pessoal)", IF(OR(ISNUMBER(SEARCH("DLKNET", F1247)), ISNUMBER(SEARCH("TESTE", F1247))), "6.1 Despesas Administrativas (Gerais)", IFERROR(VLOOKUP(H1247, De_Para!A:B, 2, FALSE), "NÃO MAPEADO"))), IFERROR(VLOOKUP(H1247, De_Para!A:B, 2, FALSE), "NÃO MAPEADO"))</f>
        <v/>
      </c>
    </row>
    <row r="1248">
      <c r="A1248" s="2" t="inlineStr">
        <is>
          <t>68438</t>
        </is>
      </c>
      <c r="B1248" s="2" t="inlineStr">
        <is>
          <t>Sicredi SNI</t>
        </is>
      </c>
      <c r="C1248" s="2" t="inlineStr">
        <is>
          <t>10/06/2026</t>
        </is>
      </c>
      <c r="D1248" s="2" t="inlineStr">
        <is>
          <t>10/06/2026</t>
        </is>
      </c>
      <c r="E1248" s="2" t="inlineStr">
        <is>
          <t>PIX</t>
        </is>
      </c>
      <c r="F1248" s="2" t="inlineStr">
        <is>
          <t>Boleto "62660" do cliente "JOAO PEDRO DA SILVA"</t>
        </is>
      </c>
      <c r="G1248" s="2" t="inlineStr">
        <is>
          <t>system</t>
        </is>
      </c>
      <c r="H1248" s="2" t="inlineStr">
        <is>
          <t>02.03.02.01 : Cobrança Bancaria</t>
        </is>
      </c>
      <c r="I1248" s="2" t="n"/>
      <c r="J1248" s="3" t="n">
        <v>-0.49</v>
      </c>
      <c r="K1248" s="2">
        <f>IF(H1248="02.09 : Outras Saídas", IF(OR(ISNUMBER(SEARCH("CHEQUE COMPE SICREDI", F1248)), ISNUMBER(SEARCH("aniversario", F1248)), ISNUMBER(SEARCH("churrasco", F1248)), ISNUMBER(SEARCH("bolo", F1248)), ISNUMBER(SEARCH("SUPERMERCADO", F1248))), "6.1 Despesas Administrativas (Pessoal)", IF(OR(ISNUMBER(SEARCH("DLKNET", F1248)), ISNUMBER(SEARCH("TESTE", F1248))), "6.1 Despesas Administrativas (Gerais)", IFERROR(VLOOKUP(H1248, De_Para!A:B, 2, FALSE), "NÃO MAPEADO"))), IFERROR(VLOOKUP(H1248, De_Para!A:B, 2, FALSE), "NÃO MAPEADO"))</f>
        <v/>
      </c>
    </row>
    <row r="1249">
      <c r="A1249" s="2" t="inlineStr">
        <is>
          <t>68437</t>
        </is>
      </c>
      <c r="B1249" s="2" t="inlineStr">
        <is>
          <t>Sicredi SNI</t>
        </is>
      </c>
      <c r="C1249" s="2" t="inlineStr">
        <is>
          <t>10/06/2026</t>
        </is>
      </c>
      <c r="D1249" s="2" t="inlineStr">
        <is>
          <t>10/06/2026</t>
        </is>
      </c>
      <c r="E1249" s="2" t="inlineStr">
        <is>
          <t>PIX</t>
        </is>
      </c>
      <c r="F1249" s="2" t="inlineStr">
        <is>
          <t>Boleto "62660" do cliente "JOAO PEDRO DA SILVA"</t>
        </is>
      </c>
      <c r="G1249" s="2" t="inlineStr">
        <is>
          <t>system</t>
        </is>
      </c>
      <c r="H1249" s="2" t="inlineStr">
        <is>
          <t>01.01.01 : Mensalidade</t>
        </is>
      </c>
      <c r="I1249" s="3" t="n">
        <v>107.38</v>
      </c>
      <c r="J1249" s="2" t="n"/>
      <c r="K1249" s="2">
        <f>IF(H1249="02.09 : Outras Saídas", IF(OR(ISNUMBER(SEARCH("CHEQUE COMPE SICREDI", F1249)), ISNUMBER(SEARCH("aniversario", F1249)), ISNUMBER(SEARCH("churrasco", F1249)), ISNUMBER(SEARCH("bolo", F1249)), ISNUMBER(SEARCH("SUPERMERCADO", F1249))), "6.1 Despesas Administrativas (Pessoal)", IF(OR(ISNUMBER(SEARCH("DLKNET", F1249)), ISNUMBER(SEARCH("TESTE", F1249))), "6.1 Despesas Administrativas (Gerais)", IFERROR(VLOOKUP(H1249, De_Para!A:B, 2, FALSE), "NÃO MAPEADO"))), IFERROR(VLOOKUP(H1249, De_Para!A:B, 2, FALSE), "NÃO MAPEADO"))</f>
        <v/>
      </c>
    </row>
    <row r="1250">
      <c r="A1250" s="2" t="inlineStr">
        <is>
          <t>68436</t>
        </is>
      </c>
      <c r="B1250" s="2" t="inlineStr">
        <is>
          <t>Sicredi SNI</t>
        </is>
      </c>
      <c r="C1250" s="2" t="inlineStr">
        <is>
          <t>10/06/2026</t>
        </is>
      </c>
      <c r="D1250" s="2" t="inlineStr">
        <is>
          <t>10/06/2026</t>
        </is>
      </c>
      <c r="E1250" s="2" t="inlineStr">
        <is>
          <t>PIX</t>
        </is>
      </c>
      <c r="F1250" s="2" t="inlineStr">
        <is>
          <t>Boleto "64199" do cliente "TIAGO MACHADO"</t>
        </is>
      </c>
      <c r="G1250" s="2" t="inlineStr">
        <is>
          <t>system</t>
        </is>
      </c>
      <c r="H1250" s="2" t="inlineStr">
        <is>
          <t>02.03.02.01 : Cobrança Bancaria</t>
        </is>
      </c>
      <c r="I1250" s="2" t="n"/>
      <c r="J1250" s="3" t="n">
        <v>-0.49</v>
      </c>
      <c r="K1250" s="2">
        <f>IF(H1250="02.09 : Outras Saídas", IF(OR(ISNUMBER(SEARCH("CHEQUE COMPE SICREDI", F1250)), ISNUMBER(SEARCH("aniversario", F1250)), ISNUMBER(SEARCH("churrasco", F1250)), ISNUMBER(SEARCH("bolo", F1250)), ISNUMBER(SEARCH("SUPERMERCADO", F1250))), "6.1 Despesas Administrativas (Pessoal)", IF(OR(ISNUMBER(SEARCH("DLKNET", F1250)), ISNUMBER(SEARCH("TESTE", F1250))), "6.1 Despesas Administrativas (Gerais)", IFERROR(VLOOKUP(H1250, De_Para!A:B, 2, FALSE), "NÃO MAPEADO"))), IFERROR(VLOOKUP(H1250, De_Para!A:B, 2, FALSE), "NÃO MAPEADO"))</f>
        <v/>
      </c>
    </row>
    <row r="1251">
      <c r="A1251" s="2" t="inlineStr">
        <is>
          <t>68435</t>
        </is>
      </c>
      <c r="B1251" s="2" t="inlineStr">
        <is>
          <t>Sicredi SNI</t>
        </is>
      </c>
      <c r="C1251" s="2" t="inlineStr">
        <is>
          <t>10/06/2026</t>
        </is>
      </c>
      <c r="D1251" s="2" t="inlineStr">
        <is>
          <t>10/06/2026</t>
        </is>
      </c>
      <c r="E1251" s="2" t="inlineStr">
        <is>
          <t>PIX</t>
        </is>
      </c>
      <c r="F1251" s="2" t="inlineStr">
        <is>
          <t>Boleto "64199" do cliente "TIAGO MACHADO"</t>
        </is>
      </c>
      <c r="G1251" s="2" t="inlineStr">
        <is>
          <t>system</t>
        </is>
      </c>
      <c r="H1251" s="2" t="inlineStr">
        <is>
          <t>01.01.01 : Mensalidade</t>
        </is>
      </c>
      <c r="I1251" s="3" t="n">
        <v>104.9</v>
      </c>
      <c r="J1251" s="2" t="n"/>
      <c r="K1251" s="2">
        <f>IF(H1251="02.09 : Outras Saídas", IF(OR(ISNUMBER(SEARCH("CHEQUE COMPE SICREDI", F1251)), ISNUMBER(SEARCH("aniversario", F1251)), ISNUMBER(SEARCH("churrasco", F1251)), ISNUMBER(SEARCH("bolo", F1251)), ISNUMBER(SEARCH("SUPERMERCADO", F1251))), "6.1 Despesas Administrativas (Pessoal)", IF(OR(ISNUMBER(SEARCH("DLKNET", F1251)), ISNUMBER(SEARCH("TESTE", F1251))), "6.1 Despesas Administrativas (Gerais)", IFERROR(VLOOKUP(H1251, De_Para!A:B, 2, FALSE), "NÃO MAPEADO"))), IFERROR(VLOOKUP(H1251, De_Para!A:B, 2, FALSE), "NÃO MAPEADO"))</f>
        <v/>
      </c>
    </row>
    <row r="1252">
      <c r="A1252" s="2" t="inlineStr">
        <is>
          <t>68434</t>
        </is>
      </c>
      <c r="B1252" s="2" t="inlineStr">
        <is>
          <t>Sicredi SNI</t>
        </is>
      </c>
      <c r="C1252" s="2" t="inlineStr">
        <is>
          <t>10/06/2026</t>
        </is>
      </c>
      <c r="D1252" s="2" t="inlineStr">
        <is>
          <t>10/06/2026</t>
        </is>
      </c>
      <c r="E1252" s="2" t="inlineStr">
        <is>
          <t>PIX</t>
        </is>
      </c>
      <c r="F1252" s="2" t="inlineStr">
        <is>
          <t>Boleto "61722" do cliente "JEAN MARCOS GONCALVES ALMEIDA"</t>
        </is>
      </c>
      <c r="G1252" s="2" t="inlineStr">
        <is>
          <t>system</t>
        </is>
      </c>
      <c r="H1252" s="2" t="inlineStr">
        <is>
          <t>02.03.02.01 : Cobrança Bancaria</t>
        </is>
      </c>
      <c r="I1252" s="2" t="n"/>
      <c r="J1252" s="3" t="n">
        <v>-0.49</v>
      </c>
      <c r="K1252" s="2">
        <f>IF(H1252="02.09 : Outras Saídas", IF(OR(ISNUMBER(SEARCH("CHEQUE COMPE SICREDI", F1252)), ISNUMBER(SEARCH("aniversario", F1252)), ISNUMBER(SEARCH("churrasco", F1252)), ISNUMBER(SEARCH("bolo", F1252)), ISNUMBER(SEARCH("SUPERMERCADO", F1252))), "6.1 Despesas Administrativas (Pessoal)", IF(OR(ISNUMBER(SEARCH("DLKNET", F1252)), ISNUMBER(SEARCH("TESTE", F1252))), "6.1 Despesas Administrativas (Gerais)", IFERROR(VLOOKUP(H1252, De_Para!A:B, 2, FALSE), "NÃO MAPEADO"))), IFERROR(VLOOKUP(H1252, De_Para!A:B, 2, FALSE), "NÃO MAPEADO"))</f>
        <v/>
      </c>
    </row>
    <row r="1253">
      <c r="A1253" s="2" t="inlineStr">
        <is>
          <t>68433</t>
        </is>
      </c>
      <c r="B1253" s="2" t="inlineStr">
        <is>
          <t>Sicredi SNI</t>
        </is>
      </c>
      <c r="C1253" s="2" t="inlineStr">
        <is>
          <t>10/06/2026</t>
        </is>
      </c>
      <c r="D1253" s="2" t="inlineStr">
        <is>
          <t>10/06/2026</t>
        </is>
      </c>
      <c r="E1253" s="2" t="inlineStr">
        <is>
          <t>PIX</t>
        </is>
      </c>
      <c r="F1253" s="2" t="inlineStr">
        <is>
          <t>Boleto "61722" do cliente "JEAN MARCOS GONCALVES ALMEIDA"</t>
        </is>
      </c>
      <c r="G1253" s="2" t="inlineStr">
        <is>
          <t>system</t>
        </is>
      </c>
      <c r="H1253" s="2" t="inlineStr">
        <is>
          <t>01.01.01 : Mensalidade</t>
        </is>
      </c>
      <c r="I1253" s="3" t="n">
        <v>120</v>
      </c>
      <c r="J1253" s="2" t="n"/>
      <c r="K1253" s="2">
        <f>IF(H1253="02.09 : Outras Saídas", IF(OR(ISNUMBER(SEARCH("CHEQUE COMPE SICREDI", F1253)), ISNUMBER(SEARCH("aniversario", F1253)), ISNUMBER(SEARCH("churrasco", F1253)), ISNUMBER(SEARCH("bolo", F1253)), ISNUMBER(SEARCH("SUPERMERCADO", F1253))), "6.1 Despesas Administrativas (Pessoal)", IF(OR(ISNUMBER(SEARCH("DLKNET", F1253)), ISNUMBER(SEARCH("TESTE", F1253))), "6.1 Despesas Administrativas (Gerais)", IFERROR(VLOOKUP(H1253, De_Para!A:B, 2, FALSE), "NÃO MAPEADO"))), IFERROR(VLOOKUP(H1253, De_Para!A:B, 2, FALSE), "NÃO MAPEADO"))</f>
        <v/>
      </c>
    </row>
    <row r="1254">
      <c r="A1254" s="2" t="inlineStr">
        <is>
          <t>68432</t>
        </is>
      </c>
      <c r="B1254" s="2" t="inlineStr">
        <is>
          <t>Sicredi SNI</t>
        </is>
      </c>
      <c r="C1254" s="2" t="inlineStr">
        <is>
          <t>10/06/2026</t>
        </is>
      </c>
      <c r="D1254" s="2" t="inlineStr">
        <is>
          <t>10/06/2026</t>
        </is>
      </c>
      <c r="E1254" s="2" t="inlineStr">
        <is>
          <t>Dinheiro</t>
        </is>
      </c>
      <c r="F1254" s="2" t="inlineStr">
        <is>
          <t>Boleto "64121" do cliente "LUANA MARTIM DIOGO"</t>
        </is>
      </c>
      <c r="G1254" s="2" t="inlineStr">
        <is>
          <t>system</t>
        </is>
      </c>
      <c r="H1254" s="2" t="inlineStr">
        <is>
          <t>02.03.02.01 : Cobrança Bancaria</t>
        </is>
      </c>
      <c r="I1254" s="2" t="n"/>
      <c r="J1254" s="3" t="n">
        <v>-1.08</v>
      </c>
      <c r="K1254" s="2">
        <f>IF(H1254="02.09 : Outras Saídas", IF(OR(ISNUMBER(SEARCH("CHEQUE COMPE SICREDI", F1254)), ISNUMBER(SEARCH("aniversario", F1254)), ISNUMBER(SEARCH("churrasco", F1254)), ISNUMBER(SEARCH("bolo", F1254)), ISNUMBER(SEARCH("SUPERMERCADO", F1254))), "6.1 Despesas Administrativas (Pessoal)", IF(OR(ISNUMBER(SEARCH("DLKNET", F1254)), ISNUMBER(SEARCH("TESTE", F1254))), "6.1 Despesas Administrativas (Gerais)", IFERROR(VLOOKUP(H1254, De_Para!A:B, 2, FALSE), "NÃO MAPEADO"))), IFERROR(VLOOKUP(H1254, De_Para!A:B, 2, FALSE), "NÃO MAPEADO"))</f>
        <v/>
      </c>
    </row>
    <row r="1255">
      <c r="A1255" s="2" t="inlineStr">
        <is>
          <t>68431</t>
        </is>
      </c>
      <c r="B1255" s="2" t="inlineStr">
        <is>
          <t>Sicredi SNI</t>
        </is>
      </c>
      <c r="C1255" s="2" t="inlineStr">
        <is>
          <t>10/06/2026</t>
        </is>
      </c>
      <c r="D1255" s="2" t="inlineStr">
        <is>
          <t>10/06/2026</t>
        </is>
      </c>
      <c r="E1255" s="2" t="inlineStr">
        <is>
          <t>Dinheiro</t>
        </is>
      </c>
      <c r="F1255" s="2" t="inlineStr">
        <is>
          <t>Boleto "64121" do cliente "LUANA MARTIM DIOGO"</t>
        </is>
      </c>
      <c r="G1255" s="2" t="inlineStr">
        <is>
          <t>system</t>
        </is>
      </c>
      <c r="H1255" s="2" t="inlineStr">
        <is>
          <t>01.01.01 : Mensalidade</t>
        </is>
      </c>
      <c r="I1255" s="3" t="n">
        <v>59.94</v>
      </c>
      <c r="J1255" s="2" t="n"/>
      <c r="K1255" s="2">
        <f>IF(H1255="02.09 : Outras Saídas", IF(OR(ISNUMBER(SEARCH("CHEQUE COMPE SICREDI", F1255)), ISNUMBER(SEARCH("aniversario", F1255)), ISNUMBER(SEARCH("churrasco", F1255)), ISNUMBER(SEARCH("bolo", F1255)), ISNUMBER(SEARCH("SUPERMERCADO", F1255))), "6.1 Despesas Administrativas (Pessoal)", IF(OR(ISNUMBER(SEARCH("DLKNET", F1255)), ISNUMBER(SEARCH("TESTE", F1255))), "6.1 Despesas Administrativas (Gerais)", IFERROR(VLOOKUP(H1255, De_Para!A:B, 2, FALSE), "NÃO MAPEADO"))), IFERROR(VLOOKUP(H1255, De_Para!A:B, 2, FALSE), "NÃO MAPEADO"))</f>
        <v/>
      </c>
    </row>
    <row r="1256">
      <c r="A1256" s="2" t="inlineStr">
        <is>
          <t>68430</t>
        </is>
      </c>
      <c r="B1256" s="2" t="inlineStr">
        <is>
          <t>Sicredi SNI</t>
        </is>
      </c>
      <c r="C1256" s="2" t="inlineStr">
        <is>
          <t>10/06/2026</t>
        </is>
      </c>
      <c r="D1256" s="2" t="inlineStr">
        <is>
          <t>10/06/2026</t>
        </is>
      </c>
      <c r="E1256" s="2" t="inlineStr">
        <is>
          <t>Dinheiro</t>
        </is>
      </c>
      <c r="F1256" s="2" t="inlineStr">
        <is>
          <t>Boleto "62922" do cliente "GERALDO NAJEL DA SILVA"</t>
        </is>
      </c>
      <c r="G1256" s="2" t="inlineStr">
        <is>
          <t>system</t>
        </is>
      </c>
      <c r="H1256" s="2" t="inlineStr">
        <is>
          <t>02.03.02.01 : Cobrança Bancaria</t>
        </is>
      </c>
      <c r="I1256" s="2" t="n"/>
      <c r="J1256" s="3" t="n">
        <v>-1.08</v>
      </c>
      <c r="K1256" s="2">
        <f>IF(H1256="02.09 : Outras Saídas", IF(OR(ISNUMBER(SEARCH("CHEQUE COMPE SICREDI", F1256)), ISNUMBER(SEARCH("aniversario", F1256)), ISNUMBER(SEARCH("churrasco", F1256)), ISNUMBER(SEARCH("bolo", F1256)), ISNUMBER(SEARCH("SUPERMERCADO", F1256))), "6.1 Despesas Administrativas (Pessoal)", IF(OR(ISNUMBER(SEARCH("DLKNET", F1256)), ISNUMBER(SEARCH("TESTE", F1256))), "6.1 Despesas Administrativas (Gerais)", IFERROR(VLOOKUP(H1256, De_Para!A:B, 2, FALSE), "NÃO MAPEADO"))), IFERROR(VLOOKUP(H1256, De_Para!A:B, 2, FALSE), "NÃO MAPEADO"))</f>
        <v/>
      </c>
    </row>
    <row r="1257">
      <c r="A1257" s="2" t="inlineStr">
        <is>
          <t>68429</t>
        </is>
      </c>
      <c r="B1257" s="2" t="inlineStr">
        <is>
          <t>Sicredi SNI</t>
        </is>
      </c>
      <c r="C1257" s="2" t="inlineStr">
        <is>
          <t>10/06/2026</t>
        </is>
      </c>
      <c r="D1257" s="2" t="inlineStr">
        <is>
          <t>10/06/2026</t>
        </is>
      </c>
      <c r="E1257" s="2" t="inlineStr">
        <is>
          <t>Dinheiro</t>
        </is>
      </c>
      <c r="F1257" s="2" t="inlineStr">
        <is>
          <t>Boleto "62922" do cliente "GERALDO NAJEL DA SILVA"</t>
        </is>
      </c>
      <c r="G1257" s="2" t="inlineStr">
        <is>
          <t>system</t>
        </is>
      </c>
      <c r="H1257" s="2" t="inlineStr">
        <is>
          <t>01.01.01 : Mensalidade</t>
        </is>
      </c>
      <c r="I1257" s="3" t="n">
        <v>104.9</v>
      </c>
      <c r="J1257" s="2" t="n"/>
      <c r="K1257" s="2">
        <f>IF(H1257="02.09 : Outras Saídas", IF(OR(ISNUMBER(SEARCH("CHEQUE COMPE SICREDI", F1257)), ISNUMBER(SEARCH("aniversario", F1257)), ISNUMBER(SEARCH("churrasco", F1257)), ISNUMBER(SEARCH("bolo", F1257)), ISNUMBER(SEARCH("SUPERMERCADO", F1257))), "6.1 Despesas Administrativas (Pessoal)", IF(OR(ISNUMBER(SEARCH("DLKNET", F1257)), ISNUMBER(SEARCH("TESTE", F1257))), "6.1 Despesas Administrativas (Gerais)", IFERROR(VLOOKUP(H1257, De_Para!A:B, 2, FALSE), "NÃO MAPEADO"))), IFERROR(VLOOKUP(H1257, De_Para!A:B, 2, FALSE), "NÃO MAPEADO"))</f>
        <v/>
      </c>
    </row>
    <row r="1258">
      <c r="A1258" s="2" t="inlineStr">
        <is>
          <t>68428</t>
        </is>
      </c>
      <c r="B1258" s="2" t="inlineStr">
        <is>
          <t>Sicredi SNI</t>
        </is>
      </c>
      <c r="C1258" s="2" t="inlineStr">
        <is>
          <t>10/06/2026</t>
        </is>
      </c>
      <c r="D1258" s="2" t="inlineStr">
        <is>
          <t>10/06/2026</t>
        </is>
      </c>
      <c r="E1258" s="2" t="inlineStr">
        <is>
          <t>Dinheiro</t>
        </is>
      </c>
      <c r="F1258" s="2" t="inlineStr">
        <is>
          <t>Boleto "61929" do cliente "ROSA DONISETI DOS SANTOS DE PAULA"</t>
        </is>
      </c>
      <c r="G1258" s="2" t="inlineStr">
        <is>
          <t>system</t>
        </is>
      </c>
      <c r="H1258" s="2" t="inlineStr">
        <is>
          <t>02.03.02.01 : Cobrança Bancaria</t>
        </is>
      </c>
      <c r="I1258" s="2" t="n"/>
      <c r="J1258" s="3" t="n">
        <v>-1.08</v>
      </c>
      <c r="K1258" s="2">
        <f>IF(H1258="02.09 : Outras Saídas", IF(OR(ISNUMBER(SEARCH("CHEQUE COMPE SICREDI", F1258)), ISNUMBER(SEARCH("aniversario", F1258)), ISNUMBER(SEARCH("churrasco", F1258)), ISNUMBER(SEARCH("bolo", F1258)), ISNUMBER(SEARCH("SUPERMERCADO", F1258))), "6.1 Despesas Administrativas (Pessoal)", IF(OR(ISNUMBER(SEARCH("DLKNET", F1258)), ISNUMBER(SEARCH("TESTE", F1258))), "6.1 Despesas Administrativas (Gerais)", IFERROR(VLOOKUP(H1258, De_Para!A:B, 2, FALSE), "NÃO MAPEADO"))), IFERROR(VLOOKUP(H1258, De_Para!A:B, 2, FALSE), "NÃO MAPEADO"))</f>
        <v/>
      </c>
    </row>
    <row r="1259">
      <c r="A1259" s="2" t="inlineStr">
        <is>
          <t>68427</t>
        </is>
      </c>
      <c r="B1259" s="2" t="inlineStr">
        <is>
          <t>Sicredi SNI</t>
        </is>
      </c>
      <c r="C1259" s="2" t="inlineStr">
        <is>
          <t>10/06/2026</t>
        </is>
      </c>
      <c r="D1259" s="2" t="inlineStr">
        <is>
          <t>10/06/2026</t>
        </is>
      </c>
      <c r="E1259" s="2" t="inlineStr">
        <is>
          <t>Dinheiro</t>
        </is>
      </c>
      <c r="F1259" s="2" t="inlineStr">
        <is>
          <t>Boleto "61929" do cliente "ROSA DONISETI DOS SANTOS DE PAULA"</t>
        </is>
      </c>
      <c r="G1259" s="2" t="inlineStr">
        <is>
          <t>system</t>
        </is>
      </c>
      <c r="H1259" s="2" t="inlineStr">
        <is>
          <t>01.01.01 : Mensalidade</t>
        </is>
      </c>
      <c r="I1259" s="3" t="n">
        <v>80</v>
      </c>
      <c r="J1259" s="2" t="n"/>
      <c r="K1259" s="2">
        <f>IF(H1259="02.09 : Outras Saídas", IF(OR(ISNUMBER(SEARCH("CHEQUE COMPE SICREDI", F1259)), ISNUMBER(SEARCH("aniversario", F1259)), ISNUMBER(SEARCH("churrasco", F1259)), ISNUMBER(SEARCH("bolo", F1259)), ISNUMBER(SEARCH("SUPERMERCADO", F1259))), "6.1 Despesas Administrativas (Pessoal)", IF(OR(ISNUMBER(SEARCH("DLKNET", F1259)), ISNUMBER(SEARCH("TESTE", F1259))), "6.1 Despesas Administrativas (Gerais)", IFERROR(VLOOKUP(H1259, De_Para!A:B, 2, FALSE), "NÃO MAPEADO"))), IFERROR(VLOOKUP(H1259, De_Para!A:B, 2, FALSE), "NÃO MAPEADO"))</f>
        <v/>
      </c>
    </row>
    <row r="1260">
      <c r="A1260" s="2" t="inlineStr">
        <is>
          <t>68426</t>
        </is>
      </c>
      <c r="B1260" s="2" t="inlineStr">
        <is>
          <t>Sicredi SNI</t>
        </is>
      </c>
      <c r="C1260" s="2" t="inlineStr">
        <is>
          <t>10/06/2026</t>
        </is>
      </c>
      <c r="D1260" s="2" t="inlineStr">
        <is>
          <t>10/06/2026</t>
        </is>
      </c>
      <c r="E1260" s="2" t="inlineStr">
        <is>
          <t>Dinheiro</t>
        </is>
      </c>
      <c r="F1260" s="2" t="inlineStr">
        <is>
          <t>Boleto "59918" do cliente "POSTO RECANTO LTDA"</t>
        </is>
      </c>
      <c r="G1260" s="2" t="inlineStr">
        <is>
          <t>system</t>
        </is>
      </c>
      <c r="H1260" s="2" t="inlineStr">
        <is>
          <t>02.03.02.01 : Cobrança Bancaria</t>
        </is>
      </c>
      <c r="I1260" s="2" t="n"/>
      <c r="J1260" s="3" t="n">
        <v>-1.08</v>
      </c>
      <c r="K1260" s="2">
        <f>IF(H1260="02.09 : Outras Saídas", IF(OR(ISNUMBER(SEARCH("CHEQUE COMPE SICREDI", F1260)), ISNUMBER(SEARCH("aniversario", F1260)), ISNUMBER(SEARCH("churrasco", F1260)), ISNUMBER(SEARCH("bolo", F1260)), ISNUMBER(SEARCH("SUPERMERCADO", F1260))), "6.1 Despesas Administrativas (Pessoal)", IF(OR(ISNUMBER(SEARCH("DLKNET", F1260)), ISNUMBER(SEARCH("TESTE", F1260))), "6.1 Despesas Administrativas (Gerais)", IFERROR(VLOOKUP(H1260, De_Para!A:B, 2, FALSE), "NÃO MAPEADO"))), IFERROR(VLOOKUP(H1260, De_Para!A:B, 2, FALSE), "NÃO MAPEADO"))</f>
        <v/>
      </c>
    </row>
    <row r="1261">
      <c r="A1261" s="2" t="inlineStr">
        <is>
          <t>68425</t>
        </is>
      </c>
      <c r="B1261" s="2" t="inlineStr">
        <is>
          <t>Sicredi SNI</t>
        </is>
      </c>
      <c r="C1261" s="2" t="inlineStr">
        <is>
          <t>10/06/2026</t>
        </is>
      </c>
      <c r="D1261" s="2" t="inlineStr">
        <is>
          <t>10/06/2026</t>
        </is>
      </c>
      <c r="E1261" s="2" t="inlineStr">
        <is>
          <t>Dinheiro</t>
        </is>
      </c>
      <c r="F1261" s="2" t="inlineStr">
        <is>
          <t>Boleto "59918" do cliente "POSTO RECANTO LTDA"</t>
        </is>
      </c>
      <c r="G1261" s="2" t="inlineStr">
        <is>
          <t>system</t>
        </is>
      </c>
      <c r="H1261" s="2" t="inlineStr">
        <is>
          <t>01.01.01 : Mensalidade</t>
        </is>
      </c>
      <c r="I1261" s="3" t="n">
        <v>120</v>
      </c>
      <c r="J1261" s="2" t="n"/>
      <c r="K1261" s="2">
        <f>IF(H1261="02.09 : Outras Saídas", IF(OR(ISNUMBER(SEARCH("CHEQUE COMPE SICREDI", F1261)), ISNUMBER(SEARCH("aniversario", F1261)), ISNUMBER(SEARCH("churrasco", F1261)), ISNUMBER(SEARCH("bolo", F1261)), ISNUMBER(SEARCH("SUPERMERCADO", F1261))), "6.1 Despesas Administrativas (Pessoal)", IF(OR(ISNUMBER(SEARCH("DLKNET", F1261)), ISNUMBER(SEARCH("TESTE", F1261))), "6.1 Despesas Administrativas (Gerais)", IFERROR(VLOOKUP(H1261, De_Para!A:B, 2, FALSE), "NÃO MAPEADO"))), IFERROR(VLOOKUP(H1261, De_Para!A:B, 2, FALSE), "NÃO MAPEADO"))</f>
        <v/>
      </c>
    </row>
    <row r="1262">
      <c r="A1262" s="2" t="inlineStr">
        <is>
          <t>68424</t>
        </is>
      </c>
      <c r="B1262" s="2" t="inlineStr">
        <is>
          <t>Sicoob</t>
        </is>
      </c>
      <c r="C1262" s="2" t="inlineStr">
        <is>
          <t>10/06/2026</t>
        </is>
      </c>
      <c r="D1262" s="2" t="inlineStr">
        <is>
          <t>10/06/2026</t>
        </is>
      </c>
      <c r="E1262" s="2" t="inlineStr">
        <is>
          <t>Dinheiro</t>
        </is>
      </c>
      <c r="F1262" s="2" t="inlineStr">
        <is>
          <t>Boleto "56048" do cliente "GETULIO RIBEIRO DO VALE"</t>
        </is>
      </c>
      <c r="G1262" s="2" t="inlineStr">
        <is>
          <t>system</t>
        </is>
      </c>
      <c r="H1262" s="2" t="inlineStr">
        <is>
          <t>02.03.02.01 : Cobrança Bancaria</t>
        </is>
      </c>
      <c r="I1262" s="2" t="n"/>
      <c r="J1262" s="3" t="n">
        <v>-0.88</v>
      </c>
      <c r="K1262" s="2">
        <f>IF(H1262="02.09 : Outras Saídas", IF(OR(ISNUMBER(SEARCH("CHEQUE COMPE SICREDI", F1262)), ISNUMBER(SEARCH("aniversario", F1262)), ISNUMBER(SEARCH("churrasco", F1262)), ISNUMBER(SEARCH("bolo", F1262)), ISNUMBER(SEARCH("SUPERMERCADO", F1262))), "6.1 Despesas Administrativas (Pessoal)", IF(OR(ISNUMBER(SEARCH("DLKNET", F1262)), ISNUMBER(SEARCH("TESTE", F1262))), "6.1 Despesas Administrativas (Gerais)", IFERROR(VLOOKUP(H1262, De_Para!A:B, 2, FALSE), "NÃO MAPEADO"))), IFERROR(VLOOKUP(H1262, De_Para!A:B, 2, FALSE), "NÃO MAPEADO"))</f>
        <v/>
      </c>
    </row>
    <row r="1263">
      <c r="A1263" s="2" t="inlineStr">
        <is>
          <t>68423</t>
        </is>
      </c>
      <c r="B1263" s="2" t="inlineStr">
        <is>
          <t>Sicoob</t>
        </is>
      </c>
      <c r="C1263" s="2" t="inlineStr">
        <is>
          <t>10/06/2026</t>
        </is>
      </c>
      <c r="D1263" s="2" t="inlineStr">
        <is>
          <t>10/06/2026</t>
        </is>
      </c>
      <c r="E1263" s="2" t="inlineStr">
        <is>
          <t>Dinheiro</t>
        </is>
      </c>
      <c r="F1263" s="2" t="inlineStr">
        <is>
          <t>Boleto "56048" do cliente "GETULIO RIBEIRO DO VALE"</t>
        </is>
      </c>
      <c r="G1263" s="2" t="inlineStr">
        <is>
          <t>system</t>
        </is>
      </c>
      <c r="H1263" s="2" t="inlineStr">
        <is>
          <t>01.01.01 : Mensalidade</t>
        </is>
      </c>
      <c r="I1263" s="3" t="n">
        <v>55.6</v>
      </c>
      <c r="J1263" s="2" t="n"/>
      <c r="K1263" s="2">
        <f>IF(H1263="02.09 : Outras Saídas", IF(OR(ISNUMBER(SEARCH("CHEQUE COMPE SICREDI", F1263)), ISNUMBER(SEARCH("aniversario", F1263)), ISNUMBER(SEARCH("churrasco", F1263)), ISNUMBER(SEARCH("bolo", F1263)), ISNUMBER(SEARCH("SUPERMERCADO", F1263))), "6.1 Despesas Administrativas (Pessoal)", IF(OR(ISNUMBER(SEARCH("DLKNET", F1263)), ISNUMBER(SEARCH("TESTE", F1263))), "6.1 Despesas Administrativas (Gerais)", IFERROR(VLOOKUP(H1263, De_Para!A:B, 2, FALSE), "NÃO MAPEADO"))), IFERROR(VLOOKUP(H1263, De_Para!A:B, 2, FALSE), "NÃO MAPEADO"))</f>
        <v/>
      </c>
    </row>
    <row r="1264">
      <c r="A1264" s="2" t="inlineStr">
        <is>
          <t>68422</t>
        </is>
      </c>
      <c r="B1264" s="2" t="inlineStr">
        <is>
          <t>Sicoob</t>
        </is>
      </c>
      <c r="C1264" s="2" t="inlineStr">
        <is>
          <t>10/06/2026</t>
        </is>
      </c>
      <c r="D1264" s="2" t="inlineStr">
        <is>
          <t>10/06/2026</t>
        </is>
      </c>
      <c r="E1264" s="2" t="inlineStr">
        <is>
          <t>Dinheiro</t>
        </is>
      </c>
      <c r="F1264" s="2" t="inlineStr">
        <is>
          <t>Boleto "67193" do cliente "JOSÉ GONÇALVES MOREIRA"</t>
        </is>
      </c>
      <c r="G1264" s="2" t="inlineStr">
        <is>
          <t>system</t>
        </is>
      </c>
      <c r="H1264" s="2" t="inlineStr">
        <is>
          <t>02.03.02.01 : Cobrança Bancaria</t>
        </is>
      </c>
      <c r="I1264" s="2" t="n"/>
      <c r="J1264" s="3" t="n">
        <v>-0.88</v>
      </c>
      <c r="K1264" s="2">
        <f>IF(H1264="02.09 : Outras Saídas", IF(OR(ISNUMBER(SEARCH("CHEQUE COMPE SICREDI", F1264)), ISNUMBER(SEARCH("aniversario", F1264)), ISNUMBER(SEARCH("churrasco", F1264)), ISNUMBER(SEARCH("bolo", F1264)), ISNUMBER(SEARCH("SUPERMERCADO", F1264))), "6.1 Despesas Administrativas (Pessoal)", IF(OR(ISNUMBER(SEARCH("DLKNET", F1264)), ISNUMBER(SEARCH("TESTE", F1264))), "6.1 Despesas Administrativas (Gerais)", IFERROR(VLOOKUP(H1264, De_Para!A:B, 2, FALSE), "NÃO MAPEADO"))), IFERROR(VLOOKUP(H1264, De_Para!A:B, 2, FALSE), "NÃO MAPEADO"))</f>
        <v/>
      </c>
    </row>
    <row r="1265">
      <c r="A1265" s="2" t="inlineStr">
        <is>
          <t>68421</t>
        </is>
      </c>
      <c r="B1265" s="2" t="inlineStr">
        <is>
          <t>Sicoob</t>
        </is>
      </c>
      <c r="C1265" s="2" t="inlineStr">
        <is>
          <t>10/06/2026</t>
        </is>
      </c>
      <c r="D1265" s="2" t="inlineStr">
        <is>
          <t>10/06/2026</t>
        </is>
      </c>
      <c r="E1265" s="2" t="inlineStr">
        <is>
          <t>Dinheiro</t>
        </is>
      </c>
      <c r="F1265" s="2" t="inlineStr">
        <is>
          <t>Boleto "67193" do cliente "JOSÉ GONÇALVES MOREIRA"</t>
        </is>
      </c>
      <c r="G1265" s="2" t="inlineStr">
        <is>
          <t>system</t>
        </is>
      </c>
      <c r="H1265" s="2" t="inlineStr">
        <is>
          <t>01.03.01 : Mensalidade</t>
        </is>
      </c>
      <c r="I1265" s="3" t="n">
        <v>105</v>
      </c>
      <c r="J1265" s="2" t="n"/>
      <c r="K1265" s="2">
        <f>IF(H1265="02.09 : Outras Saídas", IF(OR(ISNUMBER(SEARCH("CHEQUE COMPE SICREDI", F1265)), ISNUMBER(SEARCH("aniversario", F1265)), ISNUMBER(SEARCH("churrasco", F1265)), ISNUMBER(SEARCH("bolo", F1265)), ISNUMBER(SEARCH("SUPERMERCADO", F1265))), "6.1 Despesas Administrativas (Pessoal)", IF(OR(ISNUMBER(SEARCH("DLKNET", F1265)), ISNUMBER(SEARCH("TESTE", F1265))), "6.1 Despesas Administrativas (Gerais)", IFERROR(VLOOKUP(H1265, De_Para!A:B, 2, FALSE), "NÃO MAPEADO"))), IFERROR(VLOOKUP(H1265, De_Para!A:B, 2, FALSE), "NÃO MAPEADO"))</f>
        <v/>
      </c>
    </row>
    <row r="1266">
      <c r="A1266" s="2" t="inlineStr">
        <is>
          <t>68420</t>
        </is>
      </c>
      <c r="B1266" s="2" t="inlineStr">
        <is>
          <t>Sicoob</t>
        </is>
      </c>
      <c r="C1266" s="2" t="inlineStr">
        <is>
          <t>10/06/2026</t>
        </is>
      </c>
      <c r="D1266" s="2" t="inlineStr">
        <is>
          <t>10/06/2026</t>
        </is>
      </c>
      <c r="E1266" s="2" t="inlineStr">
        <is>
          <t>Dinheiro</t>
        </is>
      </c>
      <c r="F1266" s="2" t="inlineStr">
        <is>
          <t>Boleto "66746" do cliente "REGIANA RODRIGUES DE SOUZA"</t>
        </is>
      </c>
      <c r="G1266" s="2" t="inlineStr">
        <is>
          <t>system</t>
        </is>
      </c>
      <c r="H1266" s="2" t="inlineStr">
        <is>
          <t>02.03.02.01 : Cobrança Bancaria</t>
        </is>
      </c>
      <c r="I1266" s="2" t="n"/>
      <c r="J1266" s="3" t="n">
        <v>-0.88</v>
      </c>
      <c r="K1266" s="2">
        <f>IF(H1266="02.09 : Outras Saídas", IF(OR(ISNUMBER(SEARCH("CHEQUE COMPE SICREDI", F1266)), ISNUMBER(SEARCH("aniversario", F1266)), ISNUMBER(SEARCH("churrasco", F1266)), ISNUMBER(SEARCH("bolo", F1266)), ISNUMBER(SEARCH("SUPERMERCADO", F1266))), "6.1 Despesas Administrativas (Pessoal)", IF(OR(ISNUMBER(SEARCH("DLKNET", F1266)), ISNUMBER(SEARCH("TESTE", F1266))), "6.1 Despesas Administrativas (Gerais)", IFERROR(VLOOKUP(H1266, De_Para!A:B, 2, FALSE), "NÃO MAPEADO"))), IFERROR(VLOOKUP(H1266, De_Para!A:B, 2, FALSE), "NÃO MAPEADO"))</f>
        <v/>
      </c>
    </row>
    <row r="1267">
      <c r="A1267" s="2" t="inlineStr">
        <is>
          <t>68419</t>
        </is>
      </c>
      <c r="B1267" s="2" t="inlineStr">
        <is>
          <t>Sicoob</t>
        </is>
      </c>
      <c r="C1267" s="2" t="inlineStr">
        <is>
          <t>10/06/2026</t>
        </is>
      </c>
      <c r="D1267" s="2" t="inlineStr">
        <is>
          <t>10/06/2026</t>
        </is>
      </c>
      <c r="E1267" s="2" t="inlineStr">
        <is>
          <t>Dinheiro</t>
        </is>
      </c>
      <c r="F1267" s="2" t="inlineStr">
        <is>
          <t>Boleto "66746" do cliente "REGIANA RODRIGUES DE SOUZA"</t>
        </is>
      </c>
      <c r="G1267" s="2" t="inlineStr">
        <is>
          <t>system</t>
        </is>
      </c>
      <c r="H1267" s="2" t="inlineStr">
        <is>
          <t>01.01.01 : Mensalidade</t>
        </is>
      </c>
      <c r="I1267" s="3" t="n">
        <v>107.16</v>
      </c>
      <c r="J1267" s="2" t="n"/>
      <c r="K1267" s="2">
        <f>IF(H1267="02.09 : Outras Saídas", IF(OR(ISNUMBER(SEARCH("CHEQUE COMPE SICREDI", F1267)), ISNUMBER(SEARCH("aniversario", F1267)), ISNUMBER(SEARCH("churrasco", F1267)), ISNUMBER(SEARCH("bolo", F1267)), ISNUMBER(SEARCH("SUPERMERCADO", F1267))), "6.1 Despesas Administrativas (Pessoal)", IF(OR(ISNUMBER(SEARCH("DLKNET", F1267)), ISNUMBER(SEARCH("TESTE", F1267))), "6.1 Despesas Administrativas (Gerais)", IFERROR(VLOOKUP(H1267, De_Para!A:B, 2, FALSE), "NÃO MAPEADO"))), IFERROR(VLOOKUP(H1267, De_Para!A:B, 2, FALSE), "NÃO MAPEADO"))</f>
        <v/>
      </c>
    </row>
    <row r="1268">
      <c r="A1268" s="2" t="inlineStr">
        <is>
          <t>68418</t>
        </is>
      </c>
      <c r="B1268" s="2" t="inlineStr">
        <is>
          <t>Sicoob</t>
        </is>
      </c>
      <c r="C1268" s="2" t="inlineStr">
        <is>
          <t>10/06/2026</t>
        </is>
      </c>
      <c r="D1268" s="2" t="inlineStr">
        <is>
          <t>10/06/2026</t>
        </is>
      </c>
      <c r="E1268" s="2" t="inlineStr">
        <is>
          <t>Dinheiro</t>
        </is>
      </c>
      <c r="F1268" s="2" t="inlineStr">
        <is>
          <t>Boleto "66266" do cliente "VALDIR BARBOSA"</t>
        </is>
      </c>
      <c r="G1268" s="2" t="inlineStr">
        <is>
          <t>system</t>
        </is>
      </c>
      <c r="H1268" s="2" t="inlineStr">
        <is>
          <t>02.03.02.01 : Cobrança Bancaria</t>
        </is>
      </c>
      <c r="I1268" s="2" t="n"/>
      <c r="J1268" s="3" t="n">
        <v>-0.88</v>
      </c>
      <c r="K1268" s="2">
        <f>IF(H1268="02.09 : Outras Saídas", IF(OR(ISNUMBER(SEARCH("CHEQUE COMPE SICREDI", F1268)), ISNUMBER(SEARCH("aniversario", F1268)), ISNUMBER(SEARCH("churrasco", F1268)), ISNUMBER(SEARCH("bolo", F1268)), ISNUMBER(SEARCH("SUPERMERCADO", F1268))), "6.1 Despesas Administrativas (Pessoal)", IF(OR(ISNUMBER(SEARCH("DLKNET", F1268)), ISNUMBER(SEARCH("TESTE", F1268))), "6.1 Despesas Administrativas (Gerais)", IFERROR(VLOOKUP(H1268, De_Para!A:B, 2, FALSE), "NÃO MAPEADO"))), IFERROR(VLOOKUP(H1268, De_Para!A:B, 2, FALSE), "NÃO MAPEADO"))</f>
        <v/>
      </c>
    </row>
    <row r="1269">
      <c r="A1269" s="2" t="inlineStr">
        <is>
          <t>68417</t>
        </is>
      </c>
      <c r="B1269" s="2" t="inlineStr">
        <is>
          <t>Sicoob</t>
        </is>
      </c>
      <c r="C1269" s="2" t="inlineStr">
        <is>
          <t>10/06/2026</t>
        </is>
      </c>
      <c r="D1269" s="2" t="inlineStr">
        <is>
          <t>10/06/2026</t>
        </is>
      </c>
      <c r="E1269" s="2" t="inlineStr">
        <is>
          <t>Dinheiro</t>
        </is>
      </c>
      <c r="F1269" s="2" t="inlineStr">
        <is>
          <t>Boleto "66266" do cliente "VALDIR BARBOSA"</t>
        </is>
      </c>
      <c r="G1269" s="2" t="inlineStr">
        <is>
          <t>system</t>
        </is>
      </c>
      <c r="H1269" s="2" t="inlineStr">
        <is>
          <t>01.01.01 : Mensalidade</t>
        </is>
      </c>
      <c r="I1269" s="3" t="n">
        <v>104.9</v>
      </c>
      <c r="J1269" s="2" t="n"/>
      <c r="K1269" s="2">
        <f>IF(H1269="02.09 : Outras Saídas", IF(OR(ISNUMBER(SEARCH("CHEQUE COMPE SICREDI", F1269)), ISNUMBER(SEARCH("aniversario", F1269)), ISNUMBER(SEARCH("churrasco", F1269)), ISNUMBER(SEARCH("bolo", F1269)), ISNUMBER(SEARCH("SUPERMERCADO", F1269))), "6.1 Despesas Administrativas (Pessoal)", IF(OR(ISNUMBER(SEARCH("DLKNET", F1269)), ISNUMBER(SEARCH("TESTE", F1269))), "6.1 Despesas Administrativas (Gerais)", IFERROR(VLOOKUP(H1269, De_Para!A:B, 2, FALSE), "NÃO MAPEADO"))), IFERROR(VLOOKUP(H1269, De_Para!A:B, 2, FALSE), "NÃO MAPEADO"))</f>
        <v/>
      </c>
    </row>
    <row r="1270">
      <c r="A1270" s="2" t="inlineStr">
        <is>
          <t>68416</t>
        </is>
      </c>
      <c r="B1270" s="2" t="inlineStr">
        <is>
          <t>Sicoob</t>
        </is>
      </c>
      <c r="C1270" s="2" t="inlineStr">
        <is>
          <t>10/06/2026</t>
        </is>
      </c>
      <c r="D1270" s="2" t="inlineStr">
        <is>
          <t>10/06/2026</t>
        </is>
      </c>
      <c r="E1270" s="2" t="inlineStr">
        <is>
          <t>Dinheiro</t>
        </is>
      </c>
      <c r="F1270" s="2" t="inlineStr">
        <is>
          <t>Boleto "66166" do cliente "SERGIO AUGUSTO NALEVAIKO"</t>
        </is>
      </c>
      <c r="G1270" s="2" t="inlineStr">
        <is>
          <t>system</t>
        </is>
      </c>
      <c r="H1270" s="2" t="inlineStr">
        <is>
          <t>02.03.02.01 : Cobrança Bancaria</t>
        </is>
      </c>
      <c r="I1270" s="2" t="n"/>
      <c r="J1270" s="3" t="n">
        <v>-0.88</v>
      </c>
      <c r="K1270" s="2">
        <f>IF(H1270="02.09 : Outras Saídas", IF(OR(ISNUMBER(SEARCH("CHEQUE COMPE SICREDI", F1270)), ISNUMBER(SEARCH("aniversario", F1270)), ISNUMBER(SEARCH("churrasco", F1270)), ISNUMBER(SEARCH("bolo", F1270)), ISNUMBER(SEARCH("SUPERMERCADO", F1270))), "6.1 Despesas Administrativas (Pessoal)", IF(OR(ISNUMBER(SEARCH("DLKNET", F1270)), ISNUMBER(SEARCH("TESTE", F1270))), "6.1 Despesas Administrativas (Gerais)", IFERROR(VLOOKUP(H1270, De_Para!A:B, 2, FALSE), "NÃO MAPEADO"))), IFERROR(VLOOKUP(H1270, De_Para!A:B, 2, FALSE), "NÃO MAPEADO"))</f>
        <v/>
      </c>
    </row>
    <row r="1271">
      <c r="A1271" s="2" t="inlineStr">
        <is>
          <t>68415</t>
        </is>
      </c>
      <c r="B1271" s="2" t="inlineStr">
        <is>
          <t>Sicoob</t>
        </is>
      </c>
      <c r="C1271" s="2" t="inlineStr">
        <is>
          <t>10/06/2026</t>
        </is>
      </c>
      <c r="D1271" s="2" t="inlineStr">
        <is>
          <t>10/06/2026</t>
        </is>
      </c>
      <c r="E1271" s="2" t="inlineStr">
        <is>
          <t>Dinheiro</t>
        </is>
      </c>
      <c r="F1271" s="2" t="inlineStr">
        <is>
          <t>Boleto "66166" do cliente "SERGIO AUGUSTO NALEVAIKO"</t>
        </is>
      </c>
      <c r="G1271" s="2" t="inlineStr">
        <is>
          <t>system</t>
        </is>
      </c>
      <c r="H1271" s="2" t="inlineStr">
        <is>
          <t>01.01.01 : Mensalidade</t>
        </is>
      </c>
      <c r="I1271" s="3" t="n">
        <v>104.9</v>
      </c>
      <c r="J1271" s="2" t="n"/>
      <c r="K1271" s="2">
        <f>IF(H1271="02.09 : Outras Saídas", IF(OR(ISNUMBER(SEARCH("CHEQUE COMPE SICREDI", F1271)), ISNUMBER(SEARCH("aniversario", F1271)), ISNUMBER(SEARCH("churrasco", F1271)), ISNUMBER(SEARCH("bolo", F1271)), ISNUMBER(SEARCH("SUPERMERCADO", F1271))), "6.1 Despesas Administrativas (Pessoal)", IF(OR(ISNUMBER(SEARCH("DLKNET", F1271)), ISNUMBER(SEARCH("TESTE", F1271))), "6.1 Despesas Administrativas (Gerais)", IFERROR(VLOOKUP(H1271, De_Para!A:B, 2, FALSE), "NÃO MAPEADO"))), IFERROR(VLOOKUP(H1271, De_Para!A:B, 2, FALSE), "NÃO MAPEADO"))</f>
        <v/>
      </c>
    </row>
    <row r="1272">
      <c r="A1272" s="2" t="inlineStr">
        <is>
          <t>68414</t>
        </is>
      </c>
      <c r="B1272" s="2" t="inlineStr">
        <is>
          <t>Sicoob</t>
        </is>
      </c>
      <c r="C1272" s="2" t="inlineStr">
        <is>
          <t>10/06/2026</t>
        </is>
      </c>
      <c r="D1272" s="2" t="inlineStr">
        <is>
          <t>10/06/2026</t>
        </is>
      </c>
      <c r="E1272" s="2" t="inlineStr">
        <is>
          <t>Dinheiro</t>
        </is>
      </c>
      <c r="F1272" s="2" t="inlineStr">
        <is>
          <t>Boleto "64638" do cliente "MARCOS BARBIOTI"</t>
        </is>
      </c>
      <c r="G1272" s="2" t="inlineStr">
        <is>
          <t>system</t>
        </is>
      </c>
      <c r="H1272" s="2" t="inlineStr">
        <is>
          <t>02.03.02.01 : Cobrança Bancaria</t>
        </is>
      </c>
      <c r="I1272" s="2" t="n"/>
      <c r="J1272" s="3" t="n">
        <v>-0.88</v>
      </c>
      <c r="K1272" s="2">
        <f>IF(H1272="02.09 : Outras Saídas", IF(OR(ISNUMBER(SEARCH("CHEQUE COMPE SICREDI", F1272)), ISNUMBER(SEARCH("aniversario", F1272)), ISNUMBER(SEARCH("churrasco", F1272)), ISNUMBER(SEARCH("bolo", F1272)), ISNUMBER(SEARCH("SUPERMERCADO", F1272))), "6.1 Despesas Administrativas (Pessoal)", IF(OR(ISNUMBER(SEARCH("DLKNET", F1272)), ISNUMBER(SEARCH("TESTE", F1272))), "6.1 Despesas Administrativas (Gerais)", IFERROR(VLOOKUP(H1272, De_Para!A:B, 2, FALSE), "NÃO MAPEADO"))), IFERROR(VLOOKUP(H1272, De_Para!A:B, 2, FALSE), "NÃO MAPEADO"))</f>
        <v/>
      </c>
    </row>
    <row r="1273">
      <c r="A1273" s="2" t="inlineStr">
        <is>
          <t>68413</t>
        </is>
      </c>
      <c r="B1273" s="2" t="inlineStr">
        <is>
          <t>Sicoob</t>
        </is>
      </c>
      <c r="C1273" s="2" t="inlineStr">
        <is>
          <t>10/06/2026</t>
        </is>
      </c>
      <c r="D1273" s="2" t="inlineStr">
        <is>
          <t>10/06/2026</t>
        </is>
      </c>
      <c r="E1273" s="2" t="inlineStr">
        <is>
          <t>Dinheiro</t>
        </is>
      </c>
      <c r="F1273" s="2" t="inlineStr">
        <is>
          <t>Boleto "64638" do cliente "MARCOS BARBIOTI"</t>
        </is>
      </c>
      <c r="G1273" s="2" t="inlineStr">
        <is>
          <t>system</t>
        </is>
      </c>
      <c r="H1273" s="2" t="inlineStr">
        <is>
          <t>01.01.01 : Mensalidade</t>
        </is>
      </c>
      <c r="I1273" s="3" t="n">
        <v>109.9</v>
      </c>
      <c r="J1273" s="2" t="n"/>
      <c r="K1273" s="2">
        <f>IF(H1273="02.09 : Outras Saídas", IF(OR(ISNUMBER(SEARCH("CHEQUE COMPE SICREDI", F1273)), ISNUMBER(SEARCH("aniversario", F1273)), ISNUMBER(SEARCH("churrasco", F1273)), ISNUMBER(SEARCH("bolo", F1273)), ISNUMBER(SEARCH("SUPERMERCADO", F1273))), "6.1 Despesas Administrativas (Pessoal)", IF(OR(ISNUMBER(SEARCH("DLKNET", F1273)), ISNUMBER(SEARCH("TESTE", F1273))), "6.1 Despesas Administrativas (Gerais)", IFERROR(VLOOKUP(H1273, De_Para!A:B, 2, FALSE), "NÃO MAPEADO"))), IFERROR(VLOOKUP(H1273, De_Para!A:B, 2, FALSE), "NÃO MAPEADO"))</f>
        <v/>
      </c>
    </row>
    <row r="1274">
      <c r="A1274" s="2" t="inlineStr">
        <is>
          <t>68412</t>
        </is>
      </c>
      <c r="B1274" s="2" t="inlineStr">
        <is>
          <t>Sicoob</t>
        </is>
      </c>
      <c r="C1274" s="2" t="inlineStr">
        <is>
          <t>10/06/2026</t>
        </is>
      </c>
      <c r="D1274" s="2" t="inlineStr">
        <is>
          <t>10/06/2026</t>
        </is>
      </c>
      <c r="E1274" s="2" t="inlineStr">
        <is>
          <t>Dinheiro</t>
        </is>
      </c>
      <c r="F1274" s="2" t="inlineStr">
        <is>
          <t>Boleto "64592" do cliente "ANA PAULA DE LIMA"</t>
        </is>
      </c>
      <c r="G1274" s="2" t="inlineStr">
        <is>
          <t>system</t>
        </is>
      </c>
      <c r="H1274" s="2" t="inlineStr">
        <is>
          <t>02.03.02.01 : Cobrança Bancaria</t>
        </is>
      </c>
      <c r="I1274" s="2" t="n"/>
      <c r="J1274" s="3" t="n">
        <v>-0.88</v>
      </c>
      <c r="K1274" s="2">
        <f>IF(H1274="02.09 : Outras Saídas", IF(OR(ISNUMBER(SEARCH("CHEQUE COMPE SICREDI", F1274)), ISNUMBER(SEARCH("aniversario", F1274)), ISNUMBER(SEARCH("churrasco", F1274)), ISNUMBER(SEARCH("bolo", F1274)), ISNUMBER(SEARCH("SUPERMERCADO", F1274))), "6.1 Despesas Administrativas (Pessoal)", IF(OR(ISNUMBER(SEARCH("DLKNET", F1274)), ISNUMBER(SEARCH("TESTE", F1274))), "6.1 Despesas Administrativas (Gerais)", IFERROR(VLOOKUP(H1274, De_Para!A:B, 2, FALSE), "NÃO MAPEADO"))), IFERROR(VLOOKUP(H1274, De_Para!A:B, 2, FALSE), "NÃO MAPEADO"))</f>
        <v/>
      </c>
    </row>
    <row r="1275">
      <c r="A1275" s="2" t="inlineStr">
        <is>
          <t>68411</t>
        </is>
      </c>
      <c r="B1275" s="2" t="inlineStr">
        <is>
          <t>Sicoob</t>
        </is>
      </c>
      <c r="C1275" s="2" t="inlineStr">
        <is>
          <t>10/06/2026</t>
        </is>
      </c>
      <c r="D1275" s="2" t="inlineStr">
        <is>
          <t>10/06/2026</t>
        </is>
      </c>
      <c r="E1275" s="2" t="inlineStr">
        <is>
          <t>Dinheiro</t>
        </is>
      </c>
      <c r="F1275" s="2" t="inlineStr">
        <is>
          <t>Boleto "64592" do cliente "ANA PAULA DE LIMA"</t>
        </is>
      </c>
      <c r="G1275" s="2" t="inlineStr">
        <is>
          <t>system</t>
        </is>
      </c>
      <c r="H1275" s="2" t="inlineStr">
        <is>
          <t>01.03.01 : Mensalidade</t>
        </is>
      </c>
      <c r="I1275" s="3" t="n">
        <v>99.90000000000001</v>
      </c>
      <c r="J1275" s="2" t="n"/>
      <c r="K1275" s="2">
        <f>IF(H1275="02.09 : Outras Saídas", IF(OR(ISNUMBER(SEARCH("CHEQUE COMPE SICREDI", F1275)), ISNUMBER(SEARCH("aniversario", F1275)), ISNUMBER(SEARCH("churrasco", F1275)), ISNUMBER(SEARCH("bolo", F1275)), ISNUMBER(SEARCH("SUPERMERCADO", F1275))), "6.1 Despesas Administrativas (Pessoal)", IF(OR(ISNUMBER(SEARCH("DLKNET", F1275)), ISNUMBER(SEARCH("TESTE", F1275))), "6.1 Despesas Administrativas (Gerais)", IFERROR(VLOOKUP(H1275, De_Para!A:B, 2, FALSE), "NÃO MAPEADO"))), IFERROR(VLOOKUP(H1275, De_Para!A:B, 2, FALSE), "NÃO MAPEADO"))</f>
        <v/>
      </c>
    </row>
    <row r="1276">
      <c r="A1276" s="2" t="inlineStr">
        <is>
          <t>68410</t>
        </is>
      </c>
      <c r="B1276" s="2" t="inlineStr">
        <is>
          <t>Sicoob</t>
        </is>
      </c>
      <c r="C1276" s="2" t="inlineStr">
        <is>
          <t>10/06/2026</t>
        </is>
      </c>
      <c r="D1276" s="2" t="inlineStr">
        <is>
          <t>10/06/2026</t>
        </is>
      </c>
      <c r="E1276" s="2" t="inlineStr">
        <is>
          <t>Dinheiro</t>
        </is>
      </c>
      <c r="F1276" s="2" t="inlineStr">
        <is>
          <t>Boleto "64166" do cliente "LUIS CASTORINO DIAS"</t>
        </is>
      </c>
      <c r="G1276" s="2" t="inlineStr">
        <is>
          <t>system</t>
        </is>
      </c>
      <c r="H1276" s="2" t="inlineStr">
        <is>
          <t>02.03.02.01 : Cobrança Bancaria</t>
        </is>
      </c>
      <c r="I1276" s="2" t="n"/>
      <c r="J1276" s="3" t="n">
        <v>-0.88</v>
      </c>
      <c r="K1276" s="2">
        <f>IF(H1276="02.09 : Outras Saídas", IF(OR(ISNUMBER(SEARCH("CHEQUE COMPE SICREDI", F1276)), ISNUMBER(SEARCH("aniversario", F1276)), ISNUMBER(SEARCH("churrasco", F1276)), ISNUMBER(SEARCH("bolo", F1276)), ISNUMBER(SEARCH("SUPERMERCADO", F1276))), "6.1 Despesas Administrativas (Pessoal)", IF(OR(ISNUMBER(SEARCH("DLKNET", F1276)), ISNUMBER(SEARCH("TESTE", F1276))), "6.1 Despesas Administrativas (Gerais)", IFERROR(VLOOKUP(H1276, De_Para!A:B, 2, FALSE), "NÃO MAPEADO"))), IFERROR(VLOOKUP(H1276, De_Para!A:B, 2, FALSE), "NÃO MAPEADO"))</f>
        <v/>
      </c>
    </row>
    <row r="1277">
      <c r="A1277" s="2" t="inlineStr">
        <is>
          <t>68409</t>
        </is>
      </c>
      <c r="B1277" s="2" t="inlineStr">
        <is>
          <t>Sicoob</t>
        </is>
      </c>
      <c r="C1277" s="2" t="inlineStr">
        <is>
          <t>10/06/2026</t>
        </is>
      </c>
      <c r="D1277" s="2" t="inlineStr">
        <is>
          <t>10/06/2026</t>
        </is>
      </c>
      <c r="E1277" s="2" t="inlineStr">
        <is>
          <t>Dinheiro</t>
        </is>
      </c>
      <c r="F1277" s="2" t="inlineStr">
        <is>
          <t>Boleto "64166" do cliente "LUIS CASTORINO DIAS"</t>
        </is>
      </c>
      <c r="G1277" s="2" t="inlineStr">
        <is>
          <t>system</t>
        </is>
      </c>
      <c r="H1277" s="2" t="inlineStr">
        <is>
          <t>01.01.01 : Mensalidade</t>
        </is>
      </c>
      <c r="I1277" s="3" t="n">
        <v>104.9</v>
      </c>
      <c r="J1277" s="2" t="n"/>
      <c r="K1277" s="2">
        <f>IF(H1277="02.09 : Outras Saídas", IF(OR(ISNUMBER(SEARCH("CHEQUE COMPE SICREDI", F1277)), ISNUMBER(SEARCH("aniversario", F1277)), ISNUMBER(SEARCH("churrasco", F1277)), ISNUMBER(SEARCH("bolo", F1277)), ISNUMBER(SEARCH("SUPERMERCADO", F1277))), "6.1 Despesas Administrativas (Pessoal)", IF(OR(ISNUMBER(SEARCH("DLKNET", F1277)), ISNUMBER(SEARCH("TESTE", F1277))), "6.1 Despesas Administrativas (Gerais)", IFERROR(VLOOKUP(H1277, De_Para!A:B, 2, FALSE), "NÃO MAPEADO"))), IFERROR(VLOOKUP(H1277, De_Para!A:B, 2, FALSE), "NÃO MAPEADO"))</f>
        <v/>
      </c>
    </row>
    <row r="1278">
      <c r="A1278" s="2" t="inlineStr">
        <is>
          <t>68408</t>
        </is>
      </c>
      <c r="B1278" s="2" t="inlineStr">
        <is>
          <t>Sicoob</t>
        </is>
      </c>
      <c r="C1278" s="2" t="inlineStr">
        <is>
          <t>10/06/2026</t>
        </is>
      </c>
      <c r="D1278" s="2" t="inlineStr">
        <is>
          <t>10/06/2026</t>
        </is>
      </c>
      <c r="E1278" s="2" t="inlineStr">
        <is>
          <t>Dinheiro</t>
        </is>
      </c>
      <c r="F1278" s="2" t="inlineStr">
        <is>
          <t>Boleto "64043" do cliente "DALVA CELESTE MOREIRA"</t>
        </is>
      </c>
      <c r="G1278" s="2" t="inlineStr">
        <is>
          <t>system</t>
        </is>
      </c>
      <c r="H1278" s="2" t="inlineStr">
        <is>
          <t>02.03.02.01 : Cobrança Bancaria</t>
        </is>
      </c>
      <c r="I1278" s="2" t="n"/>
      <c r="J1278" s="3" t="n">
        <v>-0.88</v>
      </c>
      <c r="K1278" s="2">
        <f>IF(H1278="02.09 : Outras Saídas", IF(OR(ISNUMBER(SEARCH("CHEQUE COMPE SICREDI", F1278)), ISNUMBER(SEARCH("aniversario", F1278)), ISNUMBER(SEARCH("churrasco", F1278)), ISNUMBER(SEARCH("bolo", F1278)), ISNUMBER(SEARCH("SUPERMERCADO", F1278))), "6.1 Despesas Administrativas (Pessoal)", IF(OR(ISNUMBER(SEARCH("DLKNET", F1278)), ISNUMBER(SEARCH("TESTE", F1278))), "6.1 Despesas Administrativas (Gerais)", IFERROR(VLOOKUP(H1278, De_Para!A:B, 2, FALSE), "NÃO MAPEADO"))), IFERROR(VLOOKUP(H1278, De_Para!A:B, 2, FALSE), "NÃO MAPEADO"))</f>
        <v/>
      </c>
    </row>
    <row r="1279">
      <c r="A1279" s="2" t="inlineStr">
        <is>
          <t>68407</t>
        </is>
      </c>
      <c r="B1279" s="2" t="inlineStr">
        <is>
          <t>Sicoob</t>
        </is>
      </c>
      <c r="C1279" s="2" t="inlineStr">
        <is>
          <t>10/06/2026</t>
        </is>
      </c>
      <c r="D1279" s="2" t="inlineStr">
        <is>
          <t>10/06/2026</t>
        </is>
      </c>
      <c r="E1279" s="2" t="inlineStr">
        <is>
          <t>Dinheiro</t>
        </is>
      </c>
      <c r="F1279" s="2" t="inlineStr">
        <is>
          <t>Boleto "64043" do cliente "DALVA CELESTE MOREIRA"</t>
        </is>
      </c>
      <c r="G1279" s="2" t="inlineStr">
        <is>
          <t>system</t>
        </is>
      </c>
      <c r="H1279" s="2" t="inlineStr">
        <is>
          <t>01.03.01 : Mensalidade</t>
        </is>
      </c>
      <c r="I1279" s="3" t="n">
        <v>105</v>
      </c>
      <c r="J1279" s="2" t="n"/>
      <c r="K1279" s="2">
        <f>IF(H1279="02.09 : Outras Saídas", IF(OR(ISNUMBER(SEARCH("CHEQUE COMPE SICREDI", F1279)), ISNUMBER(SEARCH("aniversario", F1279)), ISNUMBER(SEARCH("churrasco", F1279)), ISNUMBER(SEARCH("bolo", F1279)), ISNUMBER(SEARCH("SUPERMERCADO", F1279))), "6.1 Despesas Administrativas (Pessoal)", IF(OR(ISNUMBER(SEARCH("DLKNET", F1279)), ISNUMBER(SEARCH("TESTE", F1279))), "6.1 Despesas Administrativas (Gerais)", IFERROR(VLOOKUP(H1279, De_Para!A:B, 2, FALSE), "NÃO MAPEADO"))), IFERROR(VLOOKUP(H1279, De_Para!A:B, 2, FALSE), "NÃO MAPEADO"))</f>
        <v/>
      </c>
    </row>
    <row r="1280">
      <c r="A1280" s="2" t="inlineStr">
        <is>
          <t>68406</t>
        </is>
      </c>
      <c r="B1280" s="2" t="inlineStr">
        <is>
          <t>Sicoob</t>
        </is>
      </c>
      <c r="C1280" s="2" t="inlineStr">
        <is>
          <t>10/06/2026</t>
        </is>
      </c>
      <c r="D1280" s="2" t="inlineStr">
        <is>
          <t>10/06/2026</t>
        </is>
      </c>
      <c r="E1280" s="2" t="inlineStr">
        <is>
          <t>Dinheiro</t>
        </is>
      </c>
      <c r="F1280" s="2" t="inlineStr">
        <is>
          <t>Boleto "60067" do cliente "ROSALVA GALDINO COLLIVA"</t>
        </is>
      </c>
      <c r="G1280" s="2" t="inlineStr">
        <is>
          <t>system</t>
        </is>
      </c>
      <c r="H1280" s="2" t="inlineStr">
        <is>
          <t>02.03.02.01 : Cobrança Bancaria</t>
        </is>
      </c>
      <c r="I1280" s="2" t="n"/>
      <c r="J1280" s="3" t="n">
        <v>-0.88</v>
      </c>
      <c r="K1280" s="2">
        <f>IF(H1280="02.09 : Outras Saídas", IF(OR(ISNUMBER(SEARCH("CHEQUE COMPE SICREDI", F1280)), ISNUMBER(SEARCH("aniversario", F1280)), ISNUMBER(SEARCH("churrasco", F1280)), ISNUMBER(SEARCH("bolo", F1280)), ISNUMBER(SEARCH("SUPERMERCADO", F1280))), "6.1 Despesas Administrativas (Pessoal)", IF(OR(ISNUMBER(SEARCH("DLKNET", F1280)), ISNUMBER(SEARCH("TESTE", F1280))), "6.1 Despesas Administrativas (Gerais)", IFERROR(VLOOKUP(H1280, De_Para!A:B, 2, FALSE), "NÃO MAPEADO"))), IFERROR(VLOOKUP(H1280, De_Para!A:B, 2, FALSE), "NÃO MAPEADO"))</f>
        <v/>
      </c>
    </row>
    <row r="1281">
      <c r="A1281" s="2" t="inlineStr">
        <is>
          <t>68405</t>
        </is>
      </c>
      <c r="B1281" s="2" t="inlineStr">
        <is>
          <t>Sicoob</t>
        </is>
      </c>
      <c r="C1281" s="2" t="inlineStr">
        <is>
          <t>10/06/2026</t>
        </is>
      </c>
      <c r="D1281" s="2" t="inlineStr">
        <is>
          <t>10/06/2026</t>
        </is>
      </c>
      <c r="E1281" s="2" t="inlineStr">
        <is>
          <t>Dinheiro</t>
        </is>
      </c>
      <c r="F1281" s="2" t="inlineStr">
        <is>
          <t>Boleto "60067" do cliente "ROSALVA GALDINO COLLIVA"</t>
        </is>
      </c>
      <c r="G1281" s="2" t="inlineStr">
        <is>
          <t>system</t>
        </is>
      </c>
      <c r="H1281" s="2" t="inlineStr">
        <is>
          <t>01.01.01 : Mensalidade</t>
        </is>
      </c>
      <c r="I1281" s="3" t="n">
        <v>105</v>
      </c>
      <c r="J1281" s="2" t="n"/>
      <c r="K1281" s="2">
        <f>IF(H1281="02.09 : Outras Saídas", IF(OR(ISNUMBER(SEARCH("CHEQUE COMPE SICREDI", F1281)), ISNUMBER(SEARCH("aniversario", F1281)), ISNUMBER(SEARCH("churrasco", F1281)), ISNUMBER(SEARCH("bolo", F1281)), ISNUMBER(SEARCH("SUPERMERCADO", F1281))), "6.1 Despesas Administrativas (Pessoal)", IF(OR(ISNUMBER(SEARCH("DLKNET", F1281)), ISNUMBER(SEARCH("TESTE", F1281))), "6.1 Despesas Administrativas (Gerais)", IFERROR(VLOOKUP(H1281, De_Para!A:B, 2, FALSE), "NÃO MAPEADO"))), IFERROR(VLOOKUP(H1281, De_Para!A:B, 2, FALSE), "NÃO MAPEADO"))</f>
        <v/>
      </c>
    </row>
    <row r="1282">
      <c r="A1282" s="2" t="inlineStr">
        <is>
          <t>68404</t>
        </is>
      </c>
      <c r="B1282" s="2" t="inlineStr">
        <is>
          <t>Sicoob</t>
        </is>
      </c>
      <c r="C1282" s="2" t="inlineStr">
        <is>
          <t>10/06/2026</t>
        </is>
      </c>
      <c r="D1282" s="2" t="inlineStr">
        <is>
          <t>10/06/2026</t>
        </is>
      </c>
      <c r="E1282" s="2" t="inlineStr">
        <is>
          <t>Dinheiro</t>
        </is>
      </c>
      <c r="F1282" s="2" t="inlineStr">
        <is>
          <t>Boleto "59898" do cliente "JOSÉ MARIA RIBEIRO DA SILVA"</t>
        </is>
      </c>
      <c r="G1282" s="2" t="inlineStr">
        <is>
          <t>system</t>
        </is>
      </c>
      <c r="H1282" s="2" t="inlineStr">
        <is>
          <t>02.03.02.01 : Cobrança Bancaria</t>
        </is>
      </c>
      <c r="I1282" s="2" t="n"/>
      <c r="J1282" s="3" t="n">
        <v>-0.88</v>
      </c>
      <c r="K1282" s="2">
        <f>IF(H1282="02.09 : Outras Saídas", IF(OR(ISNUMBER(SEARCH("CHEQUE COMPE SICREDI", F1282)), ISNUMBER(SEARCH("aniversario", F1282)), ISNUMBER(SEARCH("churrasco", F1282)), ISNUMBER(SEARCH("bolo", F1282)), ISNUMBER(SEARCH("SUPERMERCADO", F1282))), "6.1 Despesas Administrativas (Pessoal)", IF(OR(ISNUMBER(SEARCH("DLKNET", F1282)), ISNUMBER(SEARCH("TESTE", F1282))), "6.1 Despesas Administrativas (Gerais)", IFERROR(VLOOKUP(H1282, De_Para!A:B, 2, FALSE), "NÃO MAPEADO"))), IFERROR(VLOOKUP(H1282, De_Para!A:B, 2, FALSE), "NÃO MAPEADO"))</f>
        <v/>
      </c>
    </row>
    <row r="1283">
      <c r="A1283" s="2" t="inlineStr">
        <is>
          <t>68403</t>
        </is>
      </c>
      <c r="B1283" s="2" t="inlineStr">
        <is>
          <t>Sicoob</t>
        </is>
      </c>
      <c r="C1283" s="2" t="inlineStr">
        <is>
          <t>10/06/2026</t>
        </is>
      </c>
      <c r="D1283" s="2" t="inlineStr">
        <is>
          <t>10/06/2026</t>
        </is>
      </c>
      <c r="E1283" s="2" t="inlineStr">
        <is>
          <t>Dinheiro</t>
        </is>
      </c>
      <c r="F1283" s="2" t="inlineStr">
        <is>
          <t>Boleto "59898" do cliente "JOSÉ MARIA RIBEIRO DA SILVA"</t>
        </is>
      </c>
      <c r="G1283" s="2" t="inlineStr">
        <is>
          <t>system</t>
        </is>
      </c>
      <c r="H1283" s="2" t="inlineStr">
        <is>
          <t>01.01.01 : Mensalidade</t>
        </is>
      </c>
      <c r="I1283" s="3" t="n">
        <v>105</v>
      </c>
      <c r="J1283" s="2" t="n"/>
      <c r="K1283" s="2">
        <f>IF(H1283="02.09 : Outras Saídas", IF(OR(ISNUMBER(SEARCH("CHEQUE COMPE SICREDI", F1283)), ISNUMBER(SEARCH("aniversario", F1283)), ISNUMBER(SEARCH("churrasco", F1283)), ISNUMBER(SEARCH("bolo", F1283)), ISNUMBER(SEARCH("SUPERMERCADO", F1283))), "6.1 Despesas Administrativas (Pessoal)", IF(OR(ISNUMBER(SEARCH("DLKNET", F1283)), ISNUMBER(SEARCH("TESTE", F1283))), "6.1 Despesas Administrativas (Gerais)", IFERROR(VLOOKUP(H1283, De_Para!A:B, 2, FALSE), "NÃO MAPEADO"))), IFERROR(VLOOKUP(H1283, De_Para!A:B, 2, FALSE), "NÃO MAPEADO"))</f>
        <v/>
      </c>
    </row>
    <row r="1284">
      <c r="A1284" s="2" t="inlineStr">
        <is>
          <t>68402</t>
        </is>
      </c>
      <c r="B1284" s="2" t="inlineStr">
        <is>
          <t>Sicoob</t>
        </is>
      </c>
      <c r="C1284" s="2" t="inlineStr">
        <is>
          <t>10/06/2026</t>
        </is>
      </c>
      <c r="D1284" s="2" t="inlineStr">
        <is>
          <t>10/06/2026</t>
        </is>
      </c>
      <c r="E1284" s="2" t="inlineStr">
        <is>
          <t>Dinheiro</t>
        </is>
      </c>
      <c r="F1284" s="2" t="inlineStr">
        <is>
          <t>Boleto "58211" do cliente "PEDRO RODRIGUES DO NASCIMENTO"</t>
        </is>
      </c>
      <c r="G1284" s="2" t="inlineStr">
        <is>
          <t>system</t>
        </is>
      </c>
      <c r="H1284" s="2" t="inlineStr">
        <is>
          <t>02.03.02.01 : Cobrança Bancaria</t>
        </is>
      </c>
      <c r="I1284" s="2" t="n"/>
      <c r="J1284" s="3" t="n">
        <v>-0.88</v>
      </c>
      <c r="K1284" s="2">
        <f>IF(H1284="02.09 : Outras Saídas", IF(OR(ISNUMBER(SEARCH("CHEQUE COMPE SICREDI", F1284)), ISNUMBER(SEARCH("aniversario", F1284)), ISNUMBER(SEARCH("churrasco", F1284)), ISNUMBER(SEARCH("bolo", F1284)), ISNUMBER(SEARCH("SUPERMERCADO", F1284))), "6.1 Despesas Administrativas (Pessoal)", IF(OR(ISNUMBER(SEARCH("DLKNET", F1284)), ISNUMBER(SEARCH("TESTE", F1284))), "6.1 Despesas Administrativas (Gerais)", IFERROR(VLOOKUP(H1284, De_Para!A:B, 2, FALSE), "NÃO MAPEADO"))), IFERROR(VLOOKUP(H1284, De_Para!A:B, 2, FALSE), "NÃO MAPEADO"))</f>
        <v/>
      </c>
    </row>
    <row r="1285">
      <c r="A1285" s="2" t="inlineStr">
        <is>
          <t>68401</t>
        </is>
      </c>
      <c r="B1285" s="2" t="inlineStr">
        <is>
          <t>Sicoob</t>
        </is>
      </c>
      <c r="C1285" s="2" t="inlineStr">
        <is>
          <t>10/06/2026</t>
        </is>
      </c>
      <c r="D1285" s="2" t="inlineStr">
        <is>
          <t>10/06/2026</t>
        </is>
      </c>
      <c r="E1285" s="2" t="inlineStr">
        <is>
          <t>Dinheiro</t>
        </is>
      </c>
      <c r="F1285" s="2" t="inlineStr">
        <is>
          <t>Boleto "58211" do cliente "PEDRO RODRIGUES DO NASCIMENTO"</t>
        </is>
      </c>
      <c r="G1285" s="2" t="inlineStr">
        <is>
          <t>system</t>
        </is>
      </c>
      <c r="H1285" s="2" t="inlineStr">
        <is>
          <t>01.01.01 : Mensalidade</t>
        </is>
      </c>
      <c r="I1285" s="3" t="n">
        <v>84</v>
      </c>
      <c r="J1285" s="2" t="n"/>
      <c r="K1285" s="2">
        <f>IF(H1285="02.09 : Outras Saídas", IF(OR(ISNUMBER(SEARCH("CHEQUE COMPE SICREDI", F1285)), ISNUMBER(SEARCH("aniversario", F1285)), ISNUMBER(SEARCH("churrasco", F1285)), ISNUMBER(SEARCH("bolo", F1285)), ISNUMBER(SEARCH("SUPERMERCADO", F1285))), "6.1 Despesas Administrativas (Pessoal)", IF(OR(ISNUMBER(SEARCH("DLKNET", F1285)), ISNUMBER(SEARCH("TESTE", F1285))), "6.1 Despesas Administrativas (Gerais)", IFERROR(VLOOKUP(H1285, De_Para!A:B, 2, FALSE), "NÃO MAPEADO"))), IFERROR(VLOOKUP(H1285, De_Para!A:B, 2, FALSE), "NÃO MAPEADO"))</f>
        <v/>
      </c>
    </row>
    <row r="1286">
      <c r="A1286" s="2" t="inlineStr">
        <is>
          <t>68400</t>
        </is>
      </c>
      <c r="B1286" s="2" t="inlineStr">
        <is>
          <t>Sicoob</t>
        </is>
      </c>
      <c r="C1286" s="2" t="inlineStr">
        <is>
          <t>10/06/2026</t>
        </is>
      </c>
      <c r="D1286" s="2" t="inlineStr">
        <is>
          <t>10/06/2026</t>
        </is>
      </c>
      <c r="E1286" s="2" t="inlineStr">
        <is>
          <t>Dinheiro</t>
        </is>
      </c>
      <c r="F1286" s="2" t="inlineStr">
        <is>
          <t>Boleto "57634" do cliente "DIEGO LOPES"</t>
        </is>
      </c>
      <c r="G1286" s="2" t="inlineStr">
        <is>
          <t>system</t>
        </is>
      </c>
      <c r="H1286" s="2" t="inlineStr">
        <is>
          <t>02.03.02.01 : Cobrança Bancaria</t>
        </is>
      </c>
      <c r="I1286" s="2" t="n"/>
      <c r="J1286" s="3" t="n">
        <v>-0.88</v>
      </c>
      <c r="K1286" s="2">
        <f>IF(H1286="02.09 : Outras Saídas", IF(OR(ISNUMBER(SEARCH("CHEQUE COMPE SICREDI", F1286)), ISNUMBER(SEARCH("aniversario", F1286)), ISNUMBER(SEARCH("churrasco", F1286)), ISNUMBER(SEARCH("bolo", F1286)), ISNUMBER(SEARCH("SUPERMERCADO", F1286))), "6.1 Despesas Administrativas (Pessoal)", IF(OR(ISNUMBER(SEARCH("DLKNET", F1286)), ISNUMBER(SEARCH("TESTE", F1286))), "6.1 Despesas Administrativas (Gerais)", IFERROR(VLOOKUP(H1286, De_Para!A:B, 2, FALSE), "NÃO MAPEADO"))), IFERROR(VLOOKUP(H1286, De_Para!A:B, 2, FALSE), "NÃO MAPEADO"))</f>
        <v/>
      </c>
    </row>
    <row r="1287">
      <c r="A1287" s="2" t="inlineStr">
        <is>
          <t>68399</t>
        </is>
      </c>
      <c r="B1287" s="2" t="inlineStr">
        <is>
          <t>Sicoob</t>
        </is>
      </c>
      <c r="C1287" s="2" t="inlineStr">
        <is>
          <t>10/06/2026</t>
        </is>
      </c>
      <c r="D1287" s="2" t="inlineStr">
        <is>
          <t>10/06/2026</t>
        </is>
      </c>
      <c r="E1287" s="2" t="inlineStr">
        <is>
          <t>Dinheiro</t>
        </is>
      </c>
      <c r="F1287" s="2" t="inlineStr">
        <is>
          <t>Boleto "57634" do cliente "DIEGO LOPES"</t>
        </is>
      </c>
      <c r="G1287" s="2" t="inlineStr">
        <is>
          <t>system</t>
        </is>
      </c>
      <c r="H1287" s="2" t="inlineStr">
        <is>
          <t>01.01.01 : Mensalidade</t>
        </is>
      </c>
      <c r="I1287" s="3" t="n">
        <v>105</v>
      </c>
      <c r="J1287" s="2" t="n"/>
      <c r="K1287" s="2">
        <f>IF(H1287="02.09 : Outras Saídas", IF(OR(ISNUMBER(SEARCH("CHEQUE COMPE SICREDI", F1287)), ISNUMBER(SEARCH("aniversario", F1287)), ISNUMBER(SEARCH("churrasco", F1287)), ISNUMBER(SEARCH("bolo", F1287)), ISNUMBER(SEARCH("SUPERMERCADO", F1287))), "6.1 Despesas Administrativas (Pessoal)", IF(OR(ISNUMBER(SEARCH("DLKNET", F1287)), ISNUMBER(SEARCH("TESTE", F1287))), "6.1 Despesas Administrativas (Gerais)", IFERROR(VLOOKUP(H1287, De_Para!A:B, 2, FALSE), "NÃO MAPEADO"))), IFERROR(VLOOKUP(H1287, De_Para!A:B, 2, FALSE), "NÃO MAPEADO"))</f>
        <v/>
      </c>
    </row>
    <row r="1288">
      <c r="A1288" s="2" t="inlineStr">
        <is>
          <t>68398</t>
        </is>
      </c>
      <c r="B1288" s="2" t="inlineStr">
        <is>
          <t>Sicoob</t>
        </is>
      </c>
      <c r="C1288" s="2" t="inlineStr">
        <is>
          <t>10/06/2026</t>
        </is>
      </c>
      <c r="D1288" s="2" t="inlineStr">
        <is>
          <t>10/06/2026</t>
        </is>
      </c>
      <c r="E1288" s="2" t="inlineStr">
        <is>
          <t>Dinheiro</t>
        </is>
      </c>
      <c r="F1288" s="2" t="inlineStr">
        <is>
          <t>Boleto "57546" do cliente "JULIANO DOS SANTOS"</t>
        </is>
      </c>
      <c r="G1288" s="2" t="inlineStr">
        <is>
          <t>system</t>
        </is>
      </c>
      <c r="H1288" s="2" t="inlineStr">
        <is>
          <t>02.03.02.01 : Cobrança Bancaria</t>
        </is>
      </c>
      <c r="I1288" s="2" t="n"/>
      <c r="J1288" s="3" t="n">
        <v>-0.88</v>
      </c>
      <c r="K1288" s="2">
        <f>IF(H1288="02.09 : Outras Saídas", IF(OR(ISNUMBER(SEARCH("CHEQUE COMPE SICREDI", F1288)), ISNUMBER(SEARCH("aniversario", F1288)), ISNUMBER(SEARCH("churrasco", F1288)), ISNUMBER(SEARCH("bolo", F1288)), ISNUMBER(SEARCH("SUPERMERCADO", F1288))), "6.1 Despesas Administrativas (Pessoal)", IF(OR(ISNUMBER(SEARCH("DLKNET", F1288)), ISNUMBER(SEARCH("TESTE", F1288))), "6.1 Despesas Administrativas (Gerais)", IFERROR(VLOOKUP(H1288, De_Para!A:B, 2, FALSE), "NÃO MAPEADO"))), IFERROR(VLOOKUP(H1288, De_Para!A:B, 2, FALSE), "NÃO MAPEADO"))</f>
        <v/>
      </c>
    </row>
    <row r="1289">
      <c r="A1289" s="2" t="inlineStr">
        <is>
          <t>68397</t>
        </is>
      </c>
      <c r="B1289" s="2" t="inlineStr">
        <is>
          <t>Sicoob</t>
        </is>
      </c>
      <c r="C1289" s="2" t="inlineStr">
        <is>
          <t>10/06/2026</t>
        </is>
      </c>
      <c r="D1289" s="2" t="inlineStr">
        <is>
          <t>10/06/2026</t>
        </is>
      </c>
      <c r="E1289" s="2" t="inlineStr">
        <is>
          <t>Dinheiro</t>
        </is>
      </c>
      <c r="F1289" s="2" t="inlineStr">
        <is>
          <t>Boleto "57546" do cliente "JULIANO DOS SANTOS"</t>
        </is>
      </c>
      <c r="G1289" s="2" t="inlineStr">
        <is>
          <t>system</t>
        </is>
      </c>
      <c r="H1289" s="2" t="inlineStr">
        <is>
          <t>01.01.01 : Mensalidade</t>
        </is>
      </c>
      <c r="I1289" s="3" t="n">
        <v>105</v>
      </c>
      <c r="J1289" s="2" t="n"/>
      <c r="K1289" s="2">
        <f>IF(H1289="02.09 : Outras Saídas", IF(OR(ISNUMBER(SEARCH("CHEQUE COMPE SICREDI", F1289)), ISNUMBER(SEARCH("aniversario", F1289)), ISNUMBER(SEARCH("churrasco", F1289)), ISNUMBER(SEARCH("bolo", F1289)), ISNUMBER(SEARCH("SUPERMERCADO", F1289))), "6.1 Despesas Administrativas (Pessoal)", IF(OR(ISNUMBER(SEARCH("DLKNET", F1289)), ISNUMBER(SEARCH("TESTE", F1289))), "6.1 Despesas Administrativas (Gerais)", IFERROR(VLOOKUP(H1289, De_Para!A:B, 2, FALSE), "NÃO MAPEADO"))), IFERROR(VLOOKUP(H1289, De_Para!A:B, 2, FALSE), "NÃO MAPEADO"))</f>
        <v/>
      </c>
    </row>
    <row r="1290">
      <c r="A1290" s="2" t="inlineStr">
        <is>
          <t>68396</t>
        </is>
      </c>
      <c r="B1290" s="2" t="inlineStr">
        <is>
          <t>Sicoob</t>
        </is>
      </c>
      <c r="C1290" s="2" t="inlineStr">
        <is>
          <t>10/06/2026</t>
        </is>
      </c>
      <c r="D1290" s="2" t="inlineStr">
        <is>
          <t>10/06/2026</t>
        </is>
      </c>
      <c r="E1290" s="2" t="inlineStr">
        <is>
          <t>Dinheiro</t>
        </is>
      </c>
      <c r="F1290" s="2" t="inlineStr">
        <is>
          <t>Boleto "57491" do cliente "ANTONIO DOS SANTOS CARVALHINHO NETO"</t>
        </is>
      </c>
      <c r="G1290" s="2" t="inlineStr">
        <is>
          <t>system</t>
        </is>
      </c>
      <c r="H1290" s="2" t="inlineStr">
        <is>
          <t>02.03.02.01 : Cobrança Bancaria</t>
        </is>
      </c>
      <c r="I1290" s="2" t="n"/>
      <c r="J1290" s="3" t="n">
        <v>-0.88</v>
      </c>
      <c r="K1290" s="2">
        <f>IF(H1290="02.09 : Outras Saídas", IF(OR(ISNUMBER(SEARCH("CHEQUE COMPE SICREDI", F1290)), ISNUMBER(SEARCH("aniversario", F1290)), ISNUMBER(SEARCH("churrasco", F1290)), ISNUMBER(SEARCH("bolo", F1290)), ISNUMBER(SEARCH("SUPERMERCADO", F1290))), "6.1 Despesas Administrativas (Pessoal)", IF(OR(ISNUMBER(SEARCH("DLKNET", F1290)), ISNUMBER(SEARCH("TESTE", F1290))), "6.1 Despesas Administrativas (Gerais)", IFERROR(VLOOKUP(H1290, De_Para!A:B, 2, FALSE), "NÃO MAPEADO"))), IFERROR(VLOOKUP(H1290, De_Para!A:B, 2, FALSE), "NÃO MAPEADO"))</f>
        <v/>
      </c>
    </row>
    <row r="1291">
      <c r="A1291" s="2" t="inlineStr">
        <is>
          <t>68395</t>
        </is>
      </c>
      <c r="B1291" s="2" t="inlineStr">
        <is>
          <t>Sicoob</t>
        </is>
      </c>
      <c r="C1291" s="2" t="inlineStr">
        <is>
          <t>10/06/2026</t>
        </is>
      </c>
      <c r="D1291" s="2" t="inlineStr">
        <is>
          <t>10/06/2026</t>
        </is>
      </c>
      <c r="E1291" s="2" t="inlineStr">
        <is>
          <t>Dinheiro</t>
        </is>
      </c>
      <c r="F1291" s="2" t="inlineStr">
        <is>
          <t>Boleto "57491" do cliente "ANTONIO DOS SANTOS CARVALHINHO NETO"</t>
        </is>
      </c>
      <c r="G1291" s="2" t="inlineStr">
        <is>
          <t>system</t>
        </is>
      </c>
      <c r="H1291" s="2" t="inlineStr">
        <is>
          <t>01.01.01 : Mensalidade</t>
        </is>
      </c>
      <c r="I1291" s="3" t="n">
        <v>120</v>
      </c>
      <c r="J1291" s="2" t="n"/>
      <c r="K1291" s="2">
        <f>IF(H1291="02.09 : Outras Saídas", IF(OR(ISNUMBER(SEARCH("CHEQUE COMPE SICREDI", F1291)), ISNUMBER(SEARCH("aniversario", F1291)), ISNUMBER(SEARCH("churrasco", F1291)), ISNUMBER(SEARCH("bolo", F1291)), ISNUMBER(SEARCH("SUPERMERCADO", F1291))), "6.1 Despesas Administrativas (Pessoal)", IF(OR(ISNUMBER(SEARCH("DLKNET", F1291)), ISNUMBER(SEARCH("TESTE", F1291))), "6.1 Despesas Administrativas (Gerais)", IFERROR(VLOOKUP(H1291, De_Para!A:B, 2, FALSE), "NÃO MAPEADO"))), IFERROR(VLOOKUP(H1291, De_Para!A:B, 2, FALSE), "NÃO MAPEADO"))</f>
        <v/>
      </c>
    </row>
    <row r="1292">
      <c r="A1292" s="2" t="inlineStr">
        <is>
          <t>68394</t>
        </is>
      </c>
      <c r="B1292" s="2" t="inlineStr">
        <is>
          <t>Sicoob</t>
        </is>
      </c>
      <c r="C1292" s="2" t="inlineStr">
        <is>
          <t>10/06/2026</t>
        </is>
      </c>
      <c r="D1292" s="2" t="inlineStr">
        <is>
          <t>10/06/2026</t>
        </is>
      </c>
      <c r="E1292" s="2" t="inlineStr">
        <is>
          <t>Dinheiro</t>
        </is>
      </c>
      <c r="F1292" s="2" t="inlineStr">
        <is>
          <t>Boleto "57458" do cliente "LOPES E ALMEIDA DISTRIBUIDORA DE MATERIAIS DE CONSTRUÇÃO LTDA"</t>
        </is>
      </c>
      <c r="G1292" s="2" t="inlineStr">
        <is>
          <t>system</t>
        </is>
      </c>
      <c r="H1292" s="2" t="inlineStr">
        <is>
          <t>02.03.02.01 : Cobrança Bancaria</t>
        </is>
      </c>
      <c r="I1292" s="2" t="n"/>
      <c r="J1292" s="3" t="n">
        <v>-0.88</v>
      </c>
      <c r="K1292" s="2">
        <f>IF(H1292="02.09 : Outras Saídas", IF(OR(ISNUMBER(SEARCH("CHEQUE COMPE SICREDI", F1292)), ISNUMBER(SEARCH("aniversario", F1292)), ISNUMBER(SEARCH("churrasco", F1292)), ISNUMBER(SEARCH("bolo", F1292)), ISNUMBER(SEARCH("SUPERMERCADO", F1292))), "6.1 Despesas Administrativas (Pessoal)", IF(OR(ISNUMBER(SEARCH("DLKNET", F1292)), ISNUMBER(SEARCH("TESTE", F1292))), "6.1 Despesas Administrativas (Gerais)", IFERROR(VLOOKUP(H1292, De_Para!A:B, 2, FALSE), "NÃO MAPEADO"))), IFERROR(VLOOKUP(H1292, De_Para!A:B, 2, FALSE), "NÃO MAPEADO"))</f>
        <v/>
      </c>
    </row>
    <row r="1293">
      <c r="A1293" s="2" t="inlineStr">
        <is>
          <t>68393</t>
        </is>
      </c>
      <c r="B1293" s="2" t="inlineStr">
        <is>
          <t>Sicoob</t>
        </is>
      </c>
      <c r="C1293" s="2" t="inlineStr">
        <is>
          <t>10/06/2026</t>
        </is>
      </c>
      <c r="D1293" s="2" t="inlineStr">
        <is>
          <t>10/06/2026</t>
        </is>
      </c>
      <c r="E1293" s="2" t="inlineStr">
        <is>
          <t>Dinheiro</t>
        </is>
      </c>
      <c r="F1293" s="2" t="inlineStr">
        <is>
          <t>Boleto "57458" do cliente "LOPES E ALMEIDA DISTRIBUIDORA DE MATERIAIS DE CONSTRUÇÃO LTDA"</t>
        </is>
      </c>
      <c r="G1293" s="2" t="inlineStr">
        <is>
          <t>system</t>
        </is>
      </c>
      <c r="H1293" s="2" t="inlineStr">
        <is>
          <t>01.01.01 : Mensalidade</t>
        </is>
      </c>
      <c r="I1293" s="3" t="n">
        <v>105</v>
      </c>
      <c r="J1293" s="2" t="n"/>
      <c r="K1293" s="2">
        <f>IF(H1293="02.09 : Outras Saídas", IF(OR(ISNUMBER(SEARCH("CHEQUE COMPE SICREDI", F1293)), ISNUMBER(SEARCH("aniversario", F1293)), ISNUMBER(SEARCH("churrasco", F1293)), ISNUMBER(SEARCH("bolo", F1293)), ISNUMBER(SEARCH("SUPERMERCADO", F1293))), "6.1 Despesas Administrativas (Pessoal)", IF(OR(ISNUMBER(SEARCH("DLKNET", F1293)), ISNUMBER(SEARCH("TESTE", F1293))), "6.1 Despesas Administrativas (Gerais)", IFERROR(VLOOKUP(H1293, De_Para!A:B, 2, FALSE), "NÃO MAPEADO"))), IFERROR(VLOOKUP(H1293, De_Para!A:B, 2, FALSE), "NÃO MAPEADO"))</f>
        <v/>
      </c>
    </row>
    <row r="1294">
      <c r="A1294" s="2" t="inlineStr">
        <is>
          <t>68392</t>
        </is>
      </c>
      <c r="B1294" s="2" t="inlineStr">
        <is>
          <t>Sicoob</t>
        </is>
      </c>
      <c r="C1294" s="2" t="inlineStr">
        <is>
          <t>10/06/2026</t>
        </is>
      </c>
      <c r="D1294" s="2" t="inlineStr">
        <is>
          <t>10/06/2026</t>
        </is>
      </c>
      <c r="E1294" s="2" t="inlineStr">
        <is>
          <t>Dinheiro</t>
        </is>
      </c>
      <c r="F1294" s="2" t="inlineStr">
        <is>
          <t>Boleto "57348" do cliente "JAIR GONCALVES TORRES"</t>
        </is>
      </c>
      <c r="G1294" s="2" t="inlineStr">
        <is>
          <t>system</t>
        </is>
      </c>
      <c r="H1294" s="2" t="inlineStr">
        <is>
          <t>02.03.02.01 : Cobrança Bancaria</t>
        </is>
      </c>
      <c r="I1294" s="2" t="n"/>
      <c r="J1294" s="3" t="n">
        <v>-0.88</v>
      </c>
      <c r="K1294" s="2">
        <f>IF(H1294="02.09 : Outras Saídas", IF(OR(ISNUMBER(SEARCH("CHEQUE COMPE SICREDI", F1294)), ISNUMBER(SEARCH("aniversario", F1294)), ISNUMBER(SEARCH("churrasco", F1294)), ISNUMBER(SEARCH("bolo", F1294)), ISNUMBER(SEARCH("SUPERMERCADO", F1294))), "6.1 Despesas Administrativas (Pessoal)", IF(OR(ISNUMBER(SEARCH("DLKNET", F1294)), ISNUMBER(SEARCH("TESTE", F1294))), "6.1 Despesas Administrativas (Gerais)", IFERROR(VLOOKUP(H1294, De_Para!A:B, 2, FALSE), "NÃO MAPEADO"))), IFERROR(VLOOKUP(H1294, De_Para!A:B, 2, FALSE), "NÃO MAPEADO"))</f>
        <v/>
      </c>
    </row>
    <row r="1295">
      <c r="A1295" s="2" t="inlineStr">
        <is>
          <t>68391</t>
        </is>
      </c>
      <c r="B1295" s="2" t="inlineStr">
        <is>
          <t>Sicoob</t>
        </is>
      </c>
      <c r="C1295" s="2" t="inlineStr">
        <is>
          <t>10/06/2026</t>
        </is>
      </c>
      <c r="D1295" s="2" t="inlineStr">
        <is>
          <t>10/06/2026</t>
        </is>
      </c>
      <c r="E1295" s="2" t="inlineStr">
        <is>
          <t>Dinheiro</t>
        </is>
      </c>
      <c r="F1295" s="2" t="inlineStr">
        <is>
          <t>Boleto "57348" do cliente "JAIR GONCALVES TORRES"</t>
        </is>
      </c>
      <c r="G1295" s="2" t="inlineStr">
        <is>
          <t>system</t>
        </is>
      </c>
      <c r="H1295" s="2" t="inlineStr">
        <is>
          <t>01.01.01 : Mensalidade</t>
        </is>
      </c>
      <c r="I1295" s="3" t="n">
        <v>105</v>
      </c>
      <c r="J1295" s="2" t="n"/>
      <c r="K1295" s="2">
        <f>IF(H1295="02.09 : Outras Saídas", IF(OR(ISNUMBER(SEARCH("CHEQUE COMPE SICREDI", F1295)), ISNUMBER(SEARCH("aniversario", F1295)), ISNUMBER(SEARCH("churrasco", F1295)), ISNUMBER(SEARCH("bolo", F1295)), ISNUMBER(SEARCH("SUPERMERCADO", F1295))), "6.1 Despesas Administrativas (Pessoal)", IF(OR(ISNUMBER(SEARCH("DLKNET", F1295)), ISNUMBER(SEARCH("TESTE", F1295))), "6.1 Despesas Administrativas (Gerais)", IFERROR(VLOOKUP(H1295, De_Para!A:B, 2, FALSE), "NÃO MAPEADO"))), IFERROR(VLOOKUP(H1295, De_Para!A:B, 2, FALSE), "NÃO MAPEADO"))</f>
        <v/>
      </c>
    </row>
    <row r="1296">
      <c r="A1296" s="2" t="inlineStr">
        <is>
          <t>68390</t>
        </is>
      </c>
      <c r="B1296" s="2" t="inlineStr">
        <is>
          <t>Sicoob</t>
        </is>
      </c>
      <c r="C1296" s="2" t="inlineStr">
        <is>
          <t>10/06/2026</t>
        </is>
      </c>
      <c r="D1296" s="2" t="inlineStr">
        <is>
          <t>10/06/2026</t>
        </is>
      </c>
      <c r="E1296" s="2" t="inlineStr">
        <is>
          <t>Dinheiro</t>
        </is>
      </c>
      <c r="F1296" s="2" t="inlineStr">
        <is>
          <t>Boleto "56445" do cliente "ROSILEY DE CASTRO LIMA"</t>
        </is>
      </c>
      <c r="G1296" s="2" t="inlineStr">
        <is>
          <t>system</t>
        </is>
      </c>
      <c r="H1296" s="2" t="inlineStr">
        <is>
          <t>02.03.02.01 : Cobrança Bancaria</t>
        </is>
      </c>
      <c r="I1296" s="2" t="n"/>
      <c r="J1296" s="3" t="n">
        <v>-0.88</v>
      </c>
      <c r="K1296" s="2">
        <f>IF(H1296="02.09 : Outras Saídas", IF(OR(ISNUMBER(SEARCH("CHEQUE COMPE SICREDI", F1296)), ISNUMBER(SEARCH("aniversario", F1296)), ISNUMBER(SEARCH("churrasco", F1296)), ISNUMBER(SEARCH("bolo", F1296)), ISNUMBER(SEARCH("SUPERMERCADO", F1296))), "6.1 Despesas Administrativas (Pessoal)", IF(OR(ISNUMBER(SEARCH("DLKNET", F1296)), ISNUMBER(SEARCH("TESTE", F1296))), "6.1 Despesas Administrativas (Gerais)", IFERROR(VLOOKUP(H1296, De_Para!A:B, 2, FALSE), "NÃO MAPEADO"))), IFERROR(VLOOKUP(H1296, De_Para!A:B, 2, FALSE), "NÃO MAPEADO"))</f>
        <v/>
      </c>
    </row>
    <row r="1297">
      <c r="A1297" s="2" t="inlineStr">
        <is>
          <t>68389</t>
        </is>
      </c>
      <c r="B1297" s="2" t="inlineStr">
        <is>
          <t>Sicoob</t>
        </is>
      </c>
      <c r="C1297" s="2" t="inlineStr">
        <is>
          <t>10/06/2026</t>
        </is>
      </c>
      <c r="D1297" s="2" t="inlineStr">
        <is>
          <t>10/06/2026</t>
        </is>
      </c>
      <c r="E1297" s="2" t="inlineStr">
        <is>
          <t>Dinheiro</t>
        </is>
      </c>
      <c r="F1297" s="2" t="inlineStr">
        <is>
          <t>Boleto "56445" do cliente "ROSILEY DE CASTRO LIMA"</t>
        </is>
      </c>
      <c r="G1297" s="2" t="inlineStr">
        <is>
          <t>system</t>
        </is>
      </c>
      <c r="H1297" s="2" t="inlineStr">
        <is>
          <t>01.03.01 : Mensalidade</t>
        </is>
      </c>
      <c r="I1297" s="3" t="n">
        <v>105</v>
      </c>
      <c r="J1297" s="2" t="n"/>
      <c r="K1297" s="2">
        <f>IF(H1297="02.09 : Outras Saídas", IF(OR(ISNUMBER(SEARCH("CHEQUE COMPE SICREDI", F1297)), ISNUMBER(SEARCH("aniversario", F1297)), ISNUMBER(SEARCH("churrasco", F1297)), ISNUMBER(SEARCH("bolo", F1297)), ISNUMBER(SEARCH("SUPERMERCADO", F1297))), "6.1 Despesas Administrativas (Pessoal)", IF(OR(ISNUMBER(SEARCH("DLKNET", F1297)), ISNUMBER(SEARCH("TESTE", F1297))), "6.1 Despesas Administrativas (Gerais)", IFERROR(VLOOKUP(H1297, De_Para!A:B, 2, FALSE), "NÃO MAPEADO"))), IFERROR(VLOOKUP(H1297, De_Para!A:B, 2, FALSE), "NÃO MAPEADO"))</f>
        <v/>
      </c>
    </row>
    <row r="1298">
      <c r="A1298" s="2" t="inlineStr">
        <is>
          <t>68388</t>
        </is>
      </c>
      <c r="B1298" s="2" t="inlineStr">
        <is>
          <t>Sicredi SNI</t>
        </is>
      </c>
      <c r="C1298" s="2" t="inlineStr">
        <is>
          <t>10/06/2026</t>
        </is>
      </c>
      <c r="D1298" s="2" t="inlineStr">
        <is>
          <t>10/06/2026</t>
        </is>
      </c>
      <c r="E1298" s="2" t="inlineStr">
        <is>
          <t>PIX</t>
        </is>
      </c>
      <c r="F1298" s="2" t="inlineStr">
        <is>
          <t>Boleto "57107" do cliente "MARCIO GABRIEL DA ROCHA"</t>
        </is>
      </c>
      <c r="G1298" s="2" t="inlineStr">
        <is>
          <t>system</t>
        </is>
      </c>
      <c r="H1298" s="2" t="inlineStr">
        <is>
          <t>02.03.02.01 : Cobrança Bancaria</t>
        </is>
      </c>
      <c r="I1298" s="2" t="n"/>
      <c r="J1298" s="3" t="n">
        <v>-0.49</v>
      </c>
      <c r="K1298" s="2">
        <f>IF(H1298="02.09 : Outras Saídas", IF(OR(ISNUMBER(SEARCH("CHEQUE COMPE SICREDI", F1298)), ISNUMBER(SEARCH("aniversario", F1298)), ISNUMBER(SEARCH("churrasco", F1298)), ISNUMBER(SEARCH("bolo", F1298)), ISNUMBER(SEARCH("SUPERMERCADO", F1298))), "6.1 Despesas Administrativas (Pessoal)", IF(OR(ISNUMBER(SEARCH("DLKNET", F1298)), ISNUMBER(SEARCH("TESTE", F1298))), "6.1 Despesas Administrativas (Gerais)", IFERROR(VLOOKUP(H1298, De_Para!A:B, 2, FALSE), "NÃO MAPEADO"))), IFERROR(VLOOKUP(H1298, De_Para!A:B, 2, FALSE), "NÃO MAPEADO"))</f>
        <v/>
      </c>
    </row>
    <row r="1299">
      <c r="A1299" s="2" t="inlineStr">
        <is>
          <t>68387</t>
        </is>
      </c>
      <c r="B1299" s="2" t="inlineStr">
        <is>
          <t>Sicredi SNI</t>
        </is>
      </c>
      <c r="C1299" s="2" t="inlineStr">
        <is>
          <t>10/06/2026</t>
        </is>
      </c>
      <c r="D1299" s="2" t="inlineStr">
        <is>
          <t>10/06/2026</t>
        </is>
      </c>
      <c r="E1299" s="2" t="inlineStr">
        <is>
          <t>PIX</t>
        </is>
      </c>
      <c r="F1299" s="2" t="inlineStr">
        <is>
          <t>Boleto "57107" do cliente "MARCIO GABRIEL DA ROCHA"</t>
        </is>
      </c>
      <c r="G1299" s="2" t="inlineStr">
        <is>
          <t>system</t>
        </is>
      </c>
      <c r="H1299" s="2" t="inlineStr">
        <is>
          <t>01.01.01 : Mensalidade</t>
        </is>
      </c>
      <c r="I1299" s="3" t="n">
        <v>105</v>
      </c>
      <c r="J1299" s="2" t="n"/>
      <c r="K1299" s="2">
        <f>IF(H1299="02.09 : Outras Saídas", IF(OR(ISNUMBER(SEARCH("CHEQUE COMPE SICREDI", F1299)), ISNUMBER(SEARCH("aniversario", F1299)), ISNUMBER(SEARCH("churrasco", F1299)), ISNUMBER(SEARCH("bolo", F1299)), ISNUMBER(SEARCH("SUPERMERCADO", F1299))), "6.1 Despesas Administrativas (Pessoal)", IF(OR(ISNUMBER(SEARCH("DLKNET", F1299)), ISNUMBER(SEARCH("TESTE", F1299))), "6.1 Despesas Administrativas (Gerais)", IFERROR(VLOOKUP(H1299, De_Para!A:B, 2, FALSE), "NÃO MAPEADO"))), IFERROR(VLOOKUP(H1299, De_Para!A:B, 2, FALSE), "NÃO MAPEADO"))</f>
        <v/>
      </c>
    </row>
    <row r="1300">
      <c r="A1300" s="2" t="inlineStr">
        <is>
          <t>68386</t>
        </is>
      </c>
      <c r="B1300" s="2" t="inlineStr">
        <is>
          <t>Sicredi SNI</t>
        </is>
      </c>
      <c r="C1300" s="2" t="inlineStr">
        <is>
          <t>10/06/2026</t>
        </is>
      </c>
      <c r="D1300" s="2" t="inlineStr">
        <is>
          <t>10/06/2026</t>
        </is>
      </c>
      <c r="E1300" s="2" t="inlineStr">
        <is>
          <t>PIX</t>
        </is>
      </c>
      <c r="F1300" s="2" t="inlineStr">
        <is>
          <t>Boleto "66778" do cliente "REGIANA RODRIGUES DE SOUZA"</t>
        </is>
      </c>
      <c r="G1300" s="2" t="inlineStr">
        <is>
          <t>system</t>
        </is>
      </c>
      <c r="H1300" s="2" t="inlineStr">
        <is>
          <t>02.03.02.01 : Cobrança Bancaria</t>
        </is>
      </c>
      <c r="I1300" s="2" t="n"/>
      <c r="J1300" s="3" t="n">
        <v>-0.49</v>
      </c>
      <c r="K1300" s="2">
        <f>IF(H1300="02.09 : Outras Saídas", IF(OR(ISNUMBER(SEARCH("CHEQUE COMPE SICREDI", F1300)), ISNUMBER(SEARCH("aniversario", F1300)), ISNUMBER(SEARCH("churrasco", F1300)), ISNUMBER(SEARCH("bolo", F1300)), ISNUMBER(SEARCH("SUPERMERCADO", F1300))), "6.1 Despesas Administrativas (Pessoal)", IF(OR(ISNUMBER(SEARCH("DLKNET", F1300)), ISNUMBER(SEARCH("TESTE", F1300))), "6.1 Despesas Administrativas (Gerais)", IFERROR(VLOOKUP(H1300, De_Para!A:B, 2, FALSE), "NÃO MAPEADO"))), IFERROR(VLOOKUP(H1300, De_Para!A:B, 2, FALSE), "NÃO MAPEADO"))</f>
        <v/>
      </c>
    </row>
    <row r="1301">
      <c r="A1301" s="2" t="inlineStr">
        <is>
          <t>68385</t>
        </is>
      </c>
      <c r="B1301" s="2" t="inlineStr">
        <is>
          <t>Sicredi SNI</t>
        </is>
      </c>
      <c r="C1301" s="2" t="inlineStr">
        <is>
          <t>10/06/2026</t>
        </is>
      </c>
      <c r="D1301" s="2" t="inlineStr">
        <is>
          <t>10/06/2026</t>
        </is>
      </c>
      <c r="E1301" s="2" t="inlineStr">
        <is>
          <t>PIX</t>
        </is>
      </c>
      <c r="F1301" s="2" t="inlineStr">
        <is>
          <t>Boleto "66778" do cliente "REGIANA RODRIGUES DE SOUZA"</t>
        </is>
      </c>
      <c r="G1301" s="2" t="inlineStr">
        <is>
          <t>system</t>
        </is>
      </c>
      <c r="H1301" s="2" t="inlineStr">
        <is>
          <t>01.05.02 : Adesão</t>
        </is>
      </c>
      <c r="I1301" s="3" t="n">
        <v>97.06</v>
      </c>
      <c r="J1301" s="2" t="n"/>
      <c r="K1301" s="2">
        <f>IF(H1301="02.09 : Outras Saídas", IF(OR(ISNUMBER(SEARCH("CHEQUE COMPE SICREDI", F1301)), ISNUMBER(SEARCH("aniversario", F1301)), ISNUMBER(SEARCH("churrasco", F1301)), ISNUMBER(SEARCH("bolo", F1301)), ISNUMBER(SEARCH("SUPERMERCADO", F1301))), "6.1 Despesas Administrativas (Pessoal)", IF(OR(ISNUMBER(SEARCH("DLKNET", F1301)), ISNUMBER(SEARCH("TESTE", F1301))), "6.1 Despesas Administrativas (Gerais)", IFERROR(VLOOKUP(H1301, De_Para!A:B, 2, FALSE), "NÃO MAPEADO"))), IFERROR(VLOOKUP(H1301, De_Para!A:B, 2, FALSE), "NÃO MAPEADO"))</f>
        <v/>
      </c>
    </row>
    <row r="1302">
      <c r="A1302" s="2" t="inlineStr">
        <is>
          <t>68384</t>
        </is>
      </c>
      <c r="B1302" s="2" t="inlineStr">
        <is>
          <t>Sicredi SNI</t>
        </is>
      </c>
      <c r="C1302" s="2" t="inlineStr">
        <is>
          <t>10/06/2026</t>
        </is>
      </c>
      <c r="D1302" s="2" t="inlineStr">
        <is>
          <t>10/06/2026</t>
        </is>
      </c>
      <c r="E1302" s="2" t="inlineStr">
        <is>
          <t>PIX</t>
        </is>
      </c>
      <c r="F1302" s="2" t="inlineStr">
        <is>
          <t>Boleto "57713" do cliente "AGNALDO BORBA"</t>
        </is>
      </c>
      <c r="G1302" s="2" t="inlineStr">
        <is>
          <t>system</t>
        </is>
      </c>
      <c r="H1302" s="2" t="inlineStr">
        <is>
          <t>02.03.02.01 : Cobrança Bancaria</t>
        </is>
      </c>
      <c r="I1302" s="2" t="n"/>
      <c r="J1302" s="3" t="n">
        <v>-0.49</v>
      </c>
      <c r="K1302" s="2">
        <f>IF(H1302="02.09 : Outras Saídas", IF(OR(ISNUMBER(SEARCH("CHEQUE COMPE SICREDI", F1302)), ISNUMBER(SEARCH("aniversario", F1302)), ISNUMBER(SEARCH("churrasco", F1302)), ISNUMBER(SEARCH("bolo", F1302)), ISNUMBER(SEARCH("SUPERMERCADO", F1302))), "6.1 Despesas Administrativas (Pessoal)", IF(OR(ISNUMBER(SEARCH("DLKNET", F1302)), ISNUMBER(SEARCH("TESTE", F1302))), "6.1 Despesas Administrativas (Gerais)", IFERROR(VLOOKUP(H1302, De_Para!A:B, 2, FALSE), "NÃO MAPEADO"))), IFERROR(VLOOKUP(H1302, De_Para!A:B, 2, FALSE), "NÃO MAPEADO"))</f>
        <v/>
      </c>
    </row>
    <row r="1303">
      <c r="A1303" s="2" t="inlineStr">
        <is>
          <t>68383</t>
        </is>
      </c>
      <c r="B1303" s="2" t="inlineStr">
        <is>
          <t>Sicredi SNI</t>
        </is>
      </c>
      <c r="C1303" s="2" t="inlineStr">
        <is>
          <t>10/06/2026</t>
        </is>
      </c>
      <c r="D1303" s="2" t="inlineStr">
        <is>
          <t>10/06/2026</t>
        </is>
      </c>
      <c r="E1303" s="2" t="inlineStr">
        <is>
          <t>PIX</t>
        </is>
      </c>
      <c r="F1303" s="2" t="inlineStr">
        <is>
          <t>Boleto "57713" do cliente "AGNALDO BORBA"</t>
        </is>
      </c>
      <c r="G1303" s="2" t="inlineStr">
        <is>
          <t>system</t>
        </is>
      </c>
      <c r="H1303" s="2" t="inlineStr">
        <is>
          <t>01.01.01 : Mensalidade</t>
        </is>
      </c>
      <c r="I1303" s="3" t="n">
        <v>100</v>
      </c>
      <c r="J1303" s="2" t="n"/>
      <c r="K1303" s="2">
        <f>IF(H1303="02.09 : Outras Saídas", IF(OR(ISNUMBER(SEARCH("CHEQUE COMPE SICREDI", F1303)), ISNUMBER(SEARCH("aniversario", F1303)), ISNUMBER(SEARCH("churrasco", F1303)), ISNUMBER(SEARCH("bolo", F1303)), ISNUMBER(SEARCH("SUPERMERCADO", F1303))), "6.1 Despesas Administrativas (Pessoal)", IF(OR(ISNUMBER(SEARCH("DLKNET", F1303)), ISNUMBER(SEARCH("TESTE", F1303))), "6.1 Despesas Administrativas (Gerais)", IFERROR(VLOOKUP(H1303, De_Para!A:B, 2, FALSE), "NÃO MAPEADO"))), IFERROR(VLOOKUP(H1303, De_Para!A:B, 2, FALSE), "NÃO MAPEADO"))</f>
        <v/>
      </c>
    </row>
    <row r="1304">
      <c r="A1304" s="2" t="inlineStr">
        <is>
          <t>68382</t>
        </is>
      </c>
      <c r="B1304" s="2" t="inlineStr">
        <is>
          <t>Sicredi SNI</t>
        </is>
      </c>
      <c r="C1304" s="2" t="inlineStr">
        <is>
          <t>10/06/2026</t>
        </is>
      </c>
      <c r="D1304" s="2" t="inlineStr">
        <is>
          <t>10/06/2026</t>
        </is>
      </c>
      <c r="E1304" s="2" t="inlineStr">
        <is>
          <t>Dinheiro</t>
        </is>
      </c>
      <c r="F1304" s="2" t="inlineStr">
        <is>
          <t>Boleto "66244" do cliente "ANTONIO SERGIO CHERUBIM"</t>
        </is>
      </c>
      <c r="G1304" s="2" t="inlineStr">
        <is>
          <t>system</t>
        </is>
      </c>
      <c r="H1304" s="2" t="inlineStr">
        <is>
          <t>02.03.02.01 : Cobrança Bancaria</t>
        </is>
      </c>
      <c r="I1304" s="2" t="n"/>
      <c r="J1304" s="3" t="n">
        <v>-1.08</v>
      </c>
      <c r="K1304" s="2">
        <f>IF(H1304="02.09 : Outras Saídas", IF(OR(ISNUMBER(SEARCH("CHEQUE COMPE SICREDI", F1304)), ISNUMBER(SEARCH("aniversario", F1304)), ISNUMBER(SEARCH("churrasco", F1304)), ISNUMBER(SEARCH("bolo", F1304)), ISNUMBER(SEARCH("SUPERMERCADO", F1304))), "6.1 Despesas Administrativas (Pessoal)", IF(OR(ISNUMBER(SEARCH("DLKNET", F1304)), ISNUMBER(SEARCH("TESTE", F1304))), "6.1 Despesas Administrativas (Gerais)", IFERROR(VLOOKUP(H1304, De_Para!A:B, 2, FALSE), "NÃO MAPEADO"))), IFERROR(VLOOKUP(H1304, De_Para!A:B, 2, FALSE), "NÃO MAPEADO"))</f>
        <v/>
      </c>
    </row>
    <row r="1305">
      <c r="A1305" s="2" t="inlineStr">
        <is>
          <t>68381</t>
        </is>
      </c>
      <c r="B1305" s="2" t="inlineStr">
        <is>
          <t>Sicredi SNI</t>
        </is>
      </c>
      <c r="C1305" s="2" t="inlineStr">
        <is>
          <t>10/06/2026</t>
        </is>
      </c>
      <c r="D1305" s="2" t="inlineStr">
        <is>
          <t>10/06/2026</t>
        </is>
      </c>
      <c r="E1305" s="2" t="inlineStr">
        <is>
          <t>Dinheiro</t>
        </is>
      </c>
      <c r="F1305" s="2" t="inlineStr">
        <is>
          <t>Boleto "66244" do cliente "ANTONIO SERGIO CHERUBIM"</t>
        </is>
      </c>
      <c r="G1305" s="2" t="inlineStr">
        <is>
          <t>system</t>
        </is>
      </c>
      <c r="H1305" s="2" t="inlineStr">
        <is>
          <t>01.01.01 : Mensalidade</t>
        </is>
      </c>
      <c r="I1305" s="3" t="n">
        <v>109.9</v>
      </c>
      <c r="J1305" s="2" t="n"/>
      <c r="K1305" s="2">
        <f>IF(H1305="02.09 : Outras Saídas", IF(OR(ISNUMBER(SEARCH("CHEQUE COMPE SICREDI", F1305)), ISNUMBER(SEARCH("aniversario", F1305)), ISNUMBER(SEARCH("churrasco", F1305)), ISNUMBER(SEARCH("bolo", F1305)), ISNUMBER(SEARCH("SUPERMERCADO", F1305))), "6.1 Despesas Administrativas (Pessoal)", IF(OR(ISNUMBER(SEARCH("DLKNET", F1305)), ISNUMBER(SEARCH("TESTE", F1305))), "6.1 Despesas Administrativas (Gerais)", IFERROR(VLOOKUP(H1305, De_Para!A:B, 2, FALSE), "NÃO MAPEADO"))), IFERROR(VLOOKUP(H1305, De_Para!A:B, 2, FALSE), "NÃO MAPEADO"))</f>
        <v/>
      </c>
    </row>
    <row r="1306">
      <c r="A1306" s="2" t="inlineStr">
        <is>
          <t>68380</t>
        </is>
      </c>
      <c r="B1306" s="2" t="inlineStr">
        <is>
          <t>Sicredi SNI</t>
        </is>
      </c>
      <c r="C1306" s="2" t="inlineStr">
        <is>
          <t>10/06/2026</t>
        </is>
      </c>
      <c r="D1306" s="2" t="inlineStr">
        <is>
          <t>10/06/2026</t>
        </is>
      </c>
      <c r="E1306" s="2" t="inlineStr">
        <is>
          <t>Dinheiro</t>
        </is>
      </c>
      <c r="F1306" s="2" t="inlineStr">
        <is>
          <t>Boleto "66140" do cliente "EDUARDO MATIAS DOS SANTOS"</t>
        </is>
      </c>
      <c r="G1306" s="2" t="inlineStr">
        <is>
          <t>system</t>
        </is>
      </c>
      <c r="H1306" s="2" t="inlineStr">
        <is>
          <t>02.03.02.01 : Cobrança Bancaria</t>
        </is>
      </c>
      <c r="I1306" s="2" t="n"/>
      <c r="J1306" s="3" t="n">
        <v>-1.08</v>
      </c>
      <c r="K1306" s="2">
        <f>IF(H1306="02.09 : Outras Saídas", IF(OR(ISNUMBER(SEARCH("CHEQUE COMPE SICREDI", F1306)), ISNUMBER(SEARCH("aniversario", F1306)), ISNUMBER(SEARCH("churrasco", F1306)), ISNUMBER(SEARCH("bolo", F1306)), ISNUMBER(SEARCH("SUPERMERCADO", F1306))), "6.1 Despesas Administrativas (Pessoal)", IF(OR(ISNUMBER(SEARCH("DLKNET", F1306)), ISNUMBER(SEARCH("TESTE", F1306))), "6.1 Despesas Administrativas (Gerais)", IFERROR(VLOOKUP(H1306, De_Para!A:B, 2, FALSE), "NÃO MAPEADO"))), IFERROR(VLOOKUP(H1306, De_Para!A:B, 2, FALSE), "NÃO MAPEADO"))</f>
        <v/>
      </c>
    </row>
    <row r="1307">
      <c r="A1307" s="2" t="inlineStr">
        <is>
          <t>68379</t>
        </is>
      </c>
      <c r="B1307" s="2" t="inlineStr">
        <is>
          <t>Sicredi SNI</t>
        </is>
      </c>
      <c r="C1307" s="2" t="inlineStr">
        <is>
          <t>10/06/2026</t>
        </is>
      </c>
      <c r="D1307" s="2" t="inlineStr">
        <is>
          <t>10/06/2026</t>
        </is>
      </c>
      <c r="E1307" s="2" t="inlineStr">
        <is>
          <t>Dinheiro</t>
        </is>
      </c>
      <c r="F1307" s="2" t="inlineStr">
        <is>
          <t>Boleto "66140" do cliente "EDUARDO MATIAS DOS SANTOS"</t>
        </is>
      </c>
      <c r="G1307" s="2" t="inlineStr">
        <is>
          <t>system</t>
        </is>
      </c>
      <c r="H1307" s="2" t="inlineStr">
        <is>
          <t>01.01.01 : Mensalidade</t>
        </is>
      </c>
      <c r="I1307" s="3" t="n">
        <v>109.9</v>
      </c>
      <c r="J1307" s="2" t="n"/>
      <c r="K1307" s="2">
        <f>IF(H1307="02.09 : Outras Saídas", IF(OR(ISNUMBER(SEARCH("CHEQUE COMPE SICREDI", F1307)), ISNUMBER(SEARCH("aniversario", F1307)), ISNUMBER(SEARCH("churrasco", F1307)), ISNUMBER(SEARCH("bolo", F1307)), ISNUMBER(SEARCH("SUPERMERCADO", F1307))), "6.1 Despesas Administrativas (Pessoal)", IF(OR(ISNUMBER(SEARCH("DLKNET", F1307)), ISNUMBER(SEARCH("TESTE", F1307))), "6.1 Despesas Administrativas (Gerais)", IFERROR(VLOOKUP(H1307, De_Para!A:B, 2, FALSE), "NÃO MAPEADO"))), IFERROR(VLOOKUP(H1307, De_Para!A:B, 2, FALSE), "NÃO MAPEADO"))</f>
        <v/>
      </c>
    </row>
    <row r="1308">
      <c r="A1308" s="2" t="inlineStr">
        <is>
          <t>68378</t>
        </is>
      </c>
      <c r="B1308" s="2" t="inlineStr">
        <is>
          <t>Sicredi SNI</t>
        </is>
      </c>
      <c r="C1308" s="2" t="inlineStr">
        <is>
          <t>10/06/2026</t>
        </is>
      </c>
      <c r="D1308" s="2" t="inlineStr">
        <is>
          <t>10/06/2026</t>
        </is>
      </c>
      <c r="E1308" s="2" t="inlineStr">
        <is>
          <t>Dinheiro</t>
        </is>
      </c>
      <c r="F1308" s="2" t="inlineStr">
        <is>
          <t>Boleto "57756" do cliente "LOURIVAL FRANCISCO DA SILVA"</t>
        </is>
      </c>
      <c r="G1308" s="2" t="inlineStr">
        <is>
          <t>system</t>
        </is>
      </c>
      <c r="H1308" s="2" t="inlineStr">
        <is>
          <t>02.03.02.01 : Cobrança Bancaria</t>
        </is>
      </c>
      <c r="I1308" s="2" t="n"/>
      <c r="J1308" s="3" t="n">
        <v>-1.08</v>
      </c>
      <c r="K1308" s="2">
        <f>IF(H1308="02.09 : Outras Saídas", IF(OR(ISNUMBER(SEARCH("CHEQUE COMPE SICREDI", F1308)), ISNUMBER(SEARCH("aniversario", F1308)), ISNUMBER(SEARCH("churrasco", F1308)), ISNUMBER(SEARCH("bolo", F1308)), ISNUMBER(SEARCH("SUPERMERCADO", F1308))), "6.1 Despesas Administrativas (Pessoal)", IF(OR(ISNUMBER(SEARCH("DLKNET", F1308)), ISNUMBER(SEARCH("TESTE", F1308))), "6.1 Despesas Administrativas (Gerais)", IFERROR(VLOOKUP(H1308, De_Para!A:B, 2, FALSE), "NÃO MAPEADO"))), IFERROR(VLOOKUP(H1308, De_Para!A:B, 2, FALSE), "NÃO MAPEADO"))</f>
        <v/>
      </c>
    </row>
    <row r="1309">
      <c r="A1309" s="2" t="inlineStr">
        <is>
          <t>68377</t>
        </is>
      </c>
      <c r="B1309" s="2" t="inlineStr">
        <is>
          <t>Sicredi SNI</t>
        </is>
      </c>
      <c r="C1309" s="2" t="inlineStr">
        <is>
          <t>10/06/2026</t>
        </is>
      </c>
      <c r="D1309" s="2" t="inlineStr">
        <is>
          <t>10/06/2026</t>
        </is>
      </c>
      <c r="E1309" s="2" t="inlineStr">
        <is>
          <t>Dinheiro</t>
        </is>
      </c>
      <c r="F1309" s="2" t="inlineStr">
        <is>
          <t>Boleto "57756" do cliente "LOURIVAL FRANCISCO DA SILVA"</t>
        </is>
      </c>
      <c r="G1309" s="2" t="inlineStr">
        <is>
          <t>system</t>
        </is>
      </c>
      <c r="H1309" s="2" t="inlineStr">
        <is>
          <t>01.01.01 : Mensalidade</t>
        </is>
      </c>
      <c r="I1309" s="3" t="n">
        <v>105</v>
      </c>
      <c r="J1309" s="2" t="n"/>
      <c r="K1309" s="2">
        <f>IF(H1309="02.09 : Outras Saídas", IF(OR(ISNUMBER(SEARCH("CHEQUE COMPE SICREDI", F1309)), ISNUMBER(SEARCH("aniversario", F1309)), ISNUMBER(SEARCH("churrasco", F1309)), ISNUMBER(SEARCH("bolo", F1309)), ISNUMBER(SEARCH("SUPERMERCADO", F1309))), "6.1 Despesas Administrativas (Pessoal)", IF(OR(ISNUMBER(SEARCH("DLKNET", F1309)), ISNUMBER(SEARCH("TESTE", F1309))), "6.1 Despesas Administrativas (Gerais)", IFERROR(VLOOKUP(H1309, De_Para!A:B, 2, FALSE), "NÃO MAPEADO"))), IFERROR(VLOOKUP(H1309, De_Para!A:B, 2, FALSE), "NÃO MAPEADO"))</f>
        <v/>
      </c>
    </row>
    <row r="1310">
      <c r="A1310" s="2" t="inlineStr">
        <is>
          <t>68376</t>
        </is>
      </c>
      <c r="B1310" s="2" t="inlineStr">
        <is>
          <t>Sicredi SNI</t>
        </is>
      </c>
      <c r="C1310" s="2" t="inlineStr">
        <is>
          <t>10/06/2026</t>
        </is>
      </c>
      <c r="D1310" s="2" t="inlineStr">
        <is>
          <t>10/06/2026</t>
        </is>
      </c>
      <c r="E1310" s="2" t="inlineStr">
        <is>
          <t>Dinheiro</t>
        </is>
      </c>
      <c r="F1310" s="2" t="inlineStr">
        <is>
          <t>Boleto "57041" do cliente "SIDNEIA SOARES GUIMARAES MARTINS"</t>
        </is>
      </c>
      <c r="G1310" s="2" t="inlineStr">
        <is>
          <t>system</t>
        </is>
      </c>
      <c r="H1310" s="2" t="inlineStr">
        <is>
          <t>02.03.02.01 : Cobrança Bancaria</t>
        </is>
      </c>
      <c r="I1310" s="2" t="n"/>
      <c r="J1310" s="3" t="n">
        <v>-1.08</v>
      </c>
      <c r="K1310" s="2">
        <f>IF(H1310="02.09 : Outras Saídas", IF(OR(ISNUMBER(SEARCH("CHEQUE COMPE SICREDI", F1310)), ISNUMBER(SEARCH("aniversario", F1310)), ISNUMBER(SEARCH("churrasco", F1310)), ISNUMBER(SEARCH("bolo", F1310)), ISNUMBER(SEARCH("SUPERMERCADO", F1310))), "6.1 Despesas Administrativas (Pessoal)", IF(OR(ISNUMBER(SEARCH("DLKNET", F1310)), ISNUMBER(SEARCH("TESTE", F1310))), "6.1 Despesas Administrativas (Gerais)", IFERROR(VLOOKUP(H1310, De_Para!A:B, 2, FALSE), "NÃO MAPEADO"))), IFERROR(VLOOKUP(H1310, De_Para!A:B, 2, FALSE), "NÃO MAPEADO"))</f>
        <v/>
      </c>
    </row>
    <row r="1311">
      <c r="A1311" s="2" t="inlineStr">
        <is>
          <t>68375</t>
        </is>
      </c>
      <c r="B1311" s="2" t="inlineStr">
        <is>
          <t>Sicredi SNI</t>
        </is>
      </c>
      <c r="C1311" s="2" t="inlineStr">
        <is>
          <t>10/06/2026</t>
        </is>
      </c>
      <c r="D1311" s="2" t="inlineStr">
        <is>
          <t>10/06/2026</t>
        </is>
      </c>
      <c r="E1311" s="2" t="inlineStr">
        <is>
          <t>Dinheiro</t>
        </is>
      </c>
      <c r="F1311" s="2" t="inlineStr">
        <is>
          <t>Boleto "57041" do cliente "SIDNEIA SOARES GUIMARAES MARTINS"</t>
        </is>
      </c>
      <c r="G1311" s="2" t="inlineStr">
        <is>
          <t>system</t>
        </is>
      </c>
      <c r="H1311" s="2" t="inlineStr">
        <is>
          <t>01.01.01 : Mensalidade</t>
        </is>
      </c>
      <c r="I1311" s="3" t="n">
        <v>100</v>
      </c>
      <c r="J1311" s="2" t="n"/>
      <c r="K1311" s="2">
        <f>IF(H1311="02.09 : Outras Saídas", IF(OR(ISNUMBER(SEARCH("CHEQUE COMPE SICREDI", F1311)), ISNUMBER(SEARCH("aniversario", F1311)), ISNUMBER(SEARCH("churrasco", F1311)), ISNUMBER(SEARCH("bolo", F1311)), ISNUMBER(SEARCH("SUPERMERCADO", F1311))), "6.1 Despesas Administrativas (Pessoal)", IF(OR(ISNUMBER(SEARCH("DLKNET", F1311)), ISNUMBER(SEARCH("TESTE", F1311))), "6.1 Despesas Administrativas (Gerais)", IFERROR(VLOOKUP(H1311, De_Para!A:B, 2, FALSE), "NÃO MAPEADO"))), IFERROR(VLOOKUP(H1311, De_Para!A:B, 2, FALSE), "NÃO MAPEADO"))</f>
        <v/>
      </c>
    </row>
    <row r="1312">
      <c r="A1312" s="2" t="inlineStr">
        <is>
          <t>68374</t>
        </is>
      </c>
      <c r="B1312" s="2" t="inlineStr">
        <is>
          <t>Sicredi SNI</t>
        </is>
      </c>
      <c r="C1312" s="2" t="inlineStr">
        <is>
          <t>10/06/2026</t>
        </is>
      </c>
      <c r="D1312" s="2" t="inlineStr">
        <is>
          <t>10/06/2026</t>
        </is>
      </c>
      <c r="E1312" s="2" t="inlineStr">
        <is>
          <t>Dinheiro</t>
        </is>
      </c>
      <c r="F1312" s="2" t="inlineStr">
        <is>
          <t>Boleto "56942" do cliente "ARNALDO TEIXEIRA"</t>
        </is>
      </c>
      <c r="G1312" s="2" t="inlineStr">
        <is>
          <t>system</t>
        </is>
      </c>
      <c r="H1312" s="2" t="inlineStr">
        <is>
          <t>02.03.02.01 : Cobrança Bancaria</t>
        </is>
      </c>
      <c r="I1312" s="2" t="n"/>
      <c r="J1312" s="3" t="n">
        <v>-1.08</v>
      </c>
      <c r="K1312" s="2">
        <f>IF(H1312="02.09 : Outras Saídas", IF(OR(ISNUMBER(SEARCH("CHEQUE COMPE SICREDI", F1312)), ISNUMBER(SEARCH("aniversario", F1312)), ISNUMBER(SEARCH("churrasco", F1312)), ISNUMBER(SEARCH("bolo", F1312)), ISNUMBER(SEARCH("SUPERMERCADO", F1312))), "6.1 Despesas Administrativas (Pessoal)", IF(OR(ISNUMBER(SEARCH("DLKNET", F1312)), ISNUMBER(SEARCH("TESTE", F1312))), "6.1 Despesas Administrativas (Gerais)", IFERROR(VLOOKUP(H1312, De_Para!A:B, 2, FALSE), "NÃO MAPEADO"))), IFERROR(VLOOKUP(H1312, De_Para!A:B, 2, FALSE), "NÃO MAPEADO"))</f>
        <v/>
      </c>
    </row>
    <row r="1313">
      <c r="A1313" s="2" t="inlineStr">
        <is>
          <t>68373</t>
        </is>
      </c>
      <c r="B1313" s="2" t="inlineStr">
        <is>
          <t>Sicredi SNI</t>
        </is>
      </c>
      <c r="C1313" s="2" t="inlineStr">
        <is>
          <t>10/06/2026</t>
        </is>
      </c>
      <c r="D1313" s="2" t="inlineStr">
        <is>
          <t>10/06/2026</t>
        </is>
      </c>
      <c r="E1313" s="2" t="inlineStr">
        <is>
          <t>Dinheiro</t>
        </is>
      </c>
      <c r="F1313" s="2" t="inlineStr">
        <is>
          <t>Boleto "56942" do cliente "ARNALDO TEIXEIRA"</t>
        </is>
      </c>
      <c r="G1313" s="2" t="inlineStr">
        <is>
          <t>system</t>
        </is>
      </c>
      <c r="H1313" s="2" t="inlineStr">
        <is>
          <t>01.01.01 : Mensalidade</t>
        </is>
      </c>
      <c r="I1313" s="3" t="n">
        <v>100</v>
      </c>
      <c r="J1313" s="2" t="n"/>
      <c r="K1313" s="2">
        <f>IF(H1313="02.09 : Outras Saídas", IF(OR(ISNUMBER(SEARCH("CHEQUE COMPE SICREDI", F1313)), ISNUMBER(SEARCH("aniversario", F1313)), ISNUMBER(SEARCH("churrasco", F1313)), ISNUMBER(SEARCH("bolo", F1313)), ISNUMBER(SEARCH("SUPERMERCADO", F1313))), "6.1 Despesas Administrativas (Pessoal)", IF(OR(ISNUMBER(SEARCH("DLKNET", F1313)), ISNUMBER(SEARCH("TESTE", F1313))), "6.1 Despesas Administrativas (Gerais)", IFERROR(VLOOKUP(H1313, De_Para!A:B, 2, FALSE), "NÃO MAPEADO"))), IFERROR(VLOOKUP(H1313, De_Para!A:B, 2, FALSE), "NÃO MAPEADO"))</f>
        <v/>
      </c>
    </row>
    <row r="1314">
      <c r="A1314" s="2" t="inlineStr">
        <is>
          <t>68372</t>
        </is>
      </c>
      <c r="B1314" s="2" t="inlineStr">
        <is>
          <t>Sicredi SNI</t>
        </is>
      </c>
      <c r="C1314" s="2" t="inlineStr">
        <is>
          <t>10/06/2026</t>
        </is>
      </c>
      <c r="D1314" s="2" t="inlineStr">
        <is>
          <t>10/06/2026</t>
        </is>
      </c>
      <c r="E1314" s="2" t="inlineStr">
        <is>
          <t>Dinheiro</t>
        </is>
      </c>
      <c r="F1314" s="2" t="inlineStr">
        <is>
          <t>Boleto "56865" do cliente "ANTONIO DE CARVALHO PEREIRA"</t>
        </is>
      </c>
      <c r="G1314" s="2" t="inlineStr">
        <is>
          <t>system</t>
        </is>
      </c>
      <c r="H1314" s="2" t="inlineStr">
        <is>
          <t>02.03.02.01 : Cobrança Bancaria</t>
        </is>
      </c>
      <c r="I1314" s="2" t="n"/>
      <c r="J1314" s="3" t="n">
        <v>-1.08</v>
      </c>
      <c r="K1314" s="2">
        <f>IF(H1314="02.09 : Outras Saídas", IF(OR(ISNUMBER(SEARCH("CHEQUE COMPE SICREDI", F1314)), ISNUMBER(SEARCH("aniversario", F1314)), ISNUMBER(SEARCH("churrasco", F1314)), ISNUMBER(SEARCH("bolo", F1314)), ISNUMBER(SEARCH("SUPERMERCADO", F1314))), "6.1 Despesas Administrativas (Pessoal)", IF(OR(ISNUMBER(SEARCH("DLKNET", F1314)), ISNUMBER(SEARCH("TESTE", F1314))), "6.1 Despesas Administrativas (Gerais)", IFERROR(VLOOKUP(H1314, De_Para!A:B, 2, FALSE), "NÃO MAPEADO"))), IFERROR(VLOOKUP(H1314, De_Para!A:B, 2, FALSE), "NÃO MAPEADO"))</f>
        <v/>
      </c>
    </row>
    <row r="1315">
      <c r="A1315" s="2" t="inlineStr">
        <is>
          <t>68371</t>
        </is>
      </c>
      <c r="B1315" s="2" t="inlineStr">
        <is>
          <t>Sicredi SNI</t>
        </is>
      </c>
      <c r="C1315" s="2" t="inlineStr">
        <is>
          <t>10/06/2026</t>
        </is>
      </c>
      <c r="D1315" s="2" t="inlineStr">
        <is>
          <t>10/06/2026</t>
        </is>
      </c>
      <c r="E1315" s="2" t="inlineStr">
        <is>
          <t>Dinheiro</t>
        </is>
      </c>
      <c r="F1315" s="2" t="inlineStr">
        <is>
          <t>Boleto "56865" do cliente "ANTONIO DE CARVALHO PEREIRA"</t>
        </is>
      </c>
      <c r="G1315" s="2" t="inlineStr">
        <is>
          <t>system</t>
        </is>
      </c>
      <c r="H1315" s="2" t="inlineStr">
        <is>
          <t>01.01.01 : Mensalidade</t>
        </is>
      </c>
      <c r="I1315" s="3" t="n">
        <v>105</v>
      </c>
      <c r="J1315" s="2" t="n"/>
      <c r="K1315" s="2">
        <f>IF(H1315="02.09 : Outras Saídas", IF(OR(ISNUMBER(SEARCH("CHEQUE COMPE SICREDI", F1315)), ISNUMBER(SEARCH("aniversario", F1315)), ISNUMBER(SEARCH("churrasco", F1315)), ISNUMBER(SEARCH("bolo", F1315)), ISNUMBER(SEARCH("SUPERMERCADO", F1315))), "6.1 Despesas Administrativas (Pessoal)", IF(OR(ISNUMBER(SEARCH("DLKNET", F1315)), ISNUMBER(SEARCH("TESTE", F1315))), "6.1 Despesas Administrativas (Gerais)", IFERROR(VLOOKUP(H1315, De_Para!A:B, 2, FALSE), "NÃO MAPEADO"))), IFERROR(VLOOKUP(H1315, De_Para!A:B, 2, FALSE), "NÃO MAPEADO"))</f>
        <v/>
      </c>
    </row>
    <row r="1316">
      <c r="A1316" s="2" t="inlineStr">
        <is>
          <t>68370</t>
        </is>
      </c>
      <c r="B1316" s="2" t="inlineStr">
        <is>
          <t>Sicredi SNI</t>
        </is>
      </c>
      <c r="C1316" s="2" t="inlineStr">
        <is>
          <t>10/06/2026</t>
        </is>
      </c>
      <c r="D1316" s="2" t="inlineStr">
        <is>
          <t>10/06/2026</t>
        </is>
      </c>
      <c r="E1316" s="2" t="inlineStr">
        <is>
          <t>Dinheiro</t>
        </is>
      </c>
      <c r="F1316" s="2" t="inlineStr">
        <is>
          <t>Boleto "56777" do cliente "VALTER DE LIMA"</t>
        </is>
      </c>
      <c r="G1316" s="2" t="inlineStr">
        <is>
          <t>system</t>
        </is>
      </c>
      <c r="H1316" s="2" t="inlineStr">
        <is>
          <t>02.03.02.01 : Cobrança Bancaria</t>
        </is>
      </c>
      <c r="I1316" s="2" t="n"/>
      <c r="J1316" s="3" t="n">
        <v>-1.08</v>
      </c>
      <c r="K1316" s="2">
        <f>IF(H1316="02.09 : Outras Saídas", IF(OR(ISNUMBER(SEARCH("CHEQUE COMPE SICREDI", F1316)), ISNUMBER(SEARCH("aniversario", F1316)), ISNUMBER(SEARCH("churrasco", F1316)), ISNUMBER(SEARCH("bolo", F1316)), ISNUMBER(SEARCH("SUPERMERCADO", F1316))), "6.1 Despesas Administrativas (Pessoal)", IF(OR(ISNUMBER(SEARCH("DLKNET", F1316)), ISNUMBER(SEARCH("TESTE", F1316))), "6.1 Despesas Administrativas (Gerais)", IFERROR(VLOOKUP(H1316, De_Para!A:B, 2, FALSE), "NÃO MAPEADO"))), IFERROR(VLOOKUP(H1316, De_Para!A:B, 2, FALSE), "NÃO MAPEADO"))</f>
        <v/>
      </c>
    </row>
    <row r="1317">
      <c r="A1317" s="2" t="inlineStr">
        <is>
          <t>68369</t>
        </is>
      </c>
      <c r="B1317" s="2" t="inlineStr">
        <is>
          <t>Sicredi SNI</t>
        </is>
      </c>
      <c r="C1317" s="2" t="inlineStr">
        <is>
          <t>10/06/2026</t>
        </is>
      </c>
      <c r="D1317" s="2" t="inlineStr">
        <is>
          <t>10/06/2026</t>
        </is>
      </c>
      <c r="E1317" s="2" t="inlineStr">
        <is>
          <t>Dinheiro</t>
        </is>
      </c>
      <c r="F1317" s="2" t="inlineStr">
        <is>
          <t>Boleto "56777" do cliente "VALTER DE LIMA"</t>
        </is>
      </c>
      <c r="G1317" s="2" t="inlineStr">
        <is>
          <t>system</t>
        </is>
      </c>
      <c r="H1317" s="2" t="inlineStr">
        <is>
          <t>01.01.01 : Mensalidade</t>
        </is>
      </c>
      <c r="I1317" s="3" t="n">
        <v>100</v>
      </c>
      <c r="J1317" s="2" t="n"/>
      <c r="K1317" s="2">
        <f>IF(H1317="02.09 : Outras Saídas", IF(OR(ISNUMBER(SEARCH("CHEQUE COMPE SICREDI", F1317)), ISNUMBER(SEARCH("aniversario", F1317)), ISNUMBER(SEARCH("churrasco", F1317)), ISNUMBER(SEARCH("bolo", F1317)), ISNUMBER(SEARCH("SUPERMERCADO", F1317))), "6.1 Despesas Administrativas (Pessoal)", IF(OR(ISNUMBER(SEARCH("DLKNET", F1317)), ISNUMBER(SEARCH("TESTE", F1317))), "6.1 Despesas Administrativas (Gerais)", IFERROR(VLOOKUP(H1317, De_Para!A:B, 2, FALSE), "NÃO MAPEADO"))), IFERROR(VLOOKUP(H1317, De_Para!A:B, 2, FALSE), "NÃO MAPEADO"))</f>
        <v/>
      </c>
    </row>
    <row r="1318">
      <c r="A1318" s="2" t="inlineStr">
        <is>
          <t>68368</t>
        </is>
      </c>
      <c r="B1318" s="2" t="inlineStr">
        <is>
          <t>Sicredi SNI</t>
        </is>
      </c>
      <c r="C1318" s="2" t="inlineStr">
        <is>
          <t>10/06/2026</t>
        </is>
      </c>
      <c r="D1318" s="2" t="inlineStr">
        <is>
          <t>10/06/2026</t>
        </is>
      </c>
      <c r="E1318" s="2" t="inlineStr">
        <is>
          <t>Dinheiro</t>
        </is>
      </c>
      <c r="F1318" s="2" t="inlineStr">
        <is>
          <t>Boleto "56679" do cliente "ELAINE GIL DA SILVA"</t>
        </is>
      </c>
      <c r="G1318" s="2" t="inlineStr">
        <is>
          <t>system</t>
        </is>
      </c>
      <c r="H1318" s="2" t="inlineStr">
        <is>
          <t>02.03.02.01 : Cobrança Bancaria</t>
        </is>
      </c>
      <c r="I1318" s="2" t="n"/>
      <c r="J1318" s="3" t="n">
        <v>-1.08</v>
      </c>
      <c r="K1318" s="2">
        <f>IF(H1318="02.09 : Outras Saídas", IF(OR(ISNUMBER(SEARCH("CHEQUE COMPE SICREDI", F1318)), ISNUMBER(SEARCH("aniversario", F1318)), ISNUMBER(SEARCH("churrasco", F1318)), ISNUMBER(SEARCH("bolo", F1318)), ISNUMBER(SEARCH("SUPERMERCADO", F1318))), "6.1 Despesas Administrativas (Pessoal)", IF(OR(ISNUMBER(SEARCH("DLKNET", F1318)), ISNUMBER(SEARCH("TESTE", F1318))), "6.1 Despesas Administrativas (Gerais)", IFERROR(VLOOKUP(H1318, De_Para!A:B, 2, FALSE), "NÃO MAPEADO"))), IFERROR(VLOOKUP(H1318, De_Para!A:B, 2, FALSE), "NÃO MAPEADO"))</f>
        <v/>
      </c>
    </row>
    <row r="1319">
      <c r="A1319" s="2" t="inlineStr">
        <is>
          <t>68367</t>
        </is>
      </c>
      <c r="B1319" s="2" t="inlineStr">
        <is>
          <t>Sicredi SNI</t>
        </is>
      </c>
      <c r="C1319" s="2" t="inlineStr">
        <is>
          <t>10/06/2026</t>
        </is>
      </c>
      <c r="D1319" s="2" t="inlineStr">
        <is>
          <t>10/06/2026</t>
        </is>
      </c>
      <c r="E1319" s="2" t="inlineStr">
        <is>
          <t>Dinheiro</t>
        </is>
      </c>
      <c r="F1319" s="2" t="inlineStr">
        <is>
          <t>Boleto "56679" do cliente "ELAINE GIL DA SILVA"</t>
        </is>
      </c>
      <c r="G1319" s="2" t="inlineStr">
        <is>
          <t>system</t>
        </is>
      </c>
      <c r="H1319" s="2" t="inlineStr">
        <is>
          <t>01.01.01 : Mensalidade</t>
        </is>
      </c>
      <c r="I1319" s="3" t="n">
        <v>107.3</v>
      </c>
      <c r="J1319" s="2" t="n"/>
      <c r="K1319" s="2">
        <f>IF(H1319="02.09 : Outras Saídas", IF(OR(ISNUMBER(SEARCH("CHEQUE COMPE SICREDI", F1319)), ISNUMBER(SEARCH("aniversario", F1319)), ISNUMBER(SEARCH("churrasco", F1319)), ISNUMBER(SEARCH("bolo", F1319)), ISNUMBER(SEARCH("SUPERMERCADO", F1319))), "6.1 Despesas Administrativas (Pessoal)", IF(OR(ISNUMBER(SEARCH("DLKNET", F1319)), ISNUMBER(SEARCH("TESTE", F1319))), "6.1 Despesas Administrativas (Gerais)", IFERROR(VLOOKUP(H1319, De_Para!A:B, 2, FALSE), "NÃO MAPEADO"))), IFERROR(VLOOKUP(H1319, De_Para!A:B, 2, FALSE), "NÃO MAPEADO"))</f>
        <v/>
      </c>
    </row>
    <row r="1320">
      <c r="A1320" s="2" t="inlineStr">
        <is>
          <t>68366</t>
        </is>
      </c>
      <c r="B1320" s="2" t="inlineStr">
        <is>
          <t>Sicoob</t>
        </is>
      </c>
      <c r="C1320" s="2" t="inlineStr">
        <is>
          <t>10/06/2026</t>
        </is>
      </c>
      <c r="D1320" s="2" t="inlineStr">
        <is>
          <t>10/06/2026</t>
        </is>
      </c>
      <c r="E1320" s="2" t="inlineStr">
        <is>
          <t>Dinheiro</t>
        </is>
      </c>
      <c r="F1320" s="2" t="inlineStr">
        <is>
          <t>Boleto "69924" do cliente "EDGAR BUKALOWSKI"</t>
        </is>
      </c>
      <c r="G1320" s="2" t="inlineStr">
        <is>
          <t>system</t>
        </is>
      </c>
      <c r="H1320" s="2" t="inlineStr">
        <is>
          <t>02.03.02.01 : Cobrança Bancaria</t>
        </is>
      </c>
      <c r="I1320" s="2" t="n"/>
      <c r="J1320" s="3" t="n">
        <v>-0.88</v>
      </c>
      <c r="K1320" s="2">
        <f>IF(H1320="02.09 : Outras Saídas", IF(OR(ISNUMBER(SEARCH("CHEQUE COMPE SICREDI", F1320)), ISNUMBER(SEARCH("aniversario", F1320)), ISNUMBER(SEARCH("churrasco", F1320)), ISNUMBER(SEARCH("bolo", F1320)), ISNUMBER(SEARCH("SUPERMERCADO", F1320))), "6.1 Despesas Administrativas (Pessoal)", IF(OR(ISNUMBER(SEARCH("DLKNET", F1320)), ISNUMBER(SEARCH("TESTE", F1320))), "6.1 Despesas Administrativas (Gerais)", IFERROR(VLOOKUP(H1320, De_Para!A:B, 2, FALSE), "NÃO MAPEADO"))), IFERROR(VLOOKUP(H1320, De_Para!A:B, 2, FALSE), "NÃO MAPEADO"))</f>
        <v/>
      </c>
    </row>
    <row r="1321">
      <c r="A1321" s="2" t="inlineStr">
        <is>
          <t>68365</t>
        </is>
      </c>
      <c r="B1321" s="2" t="inlineStr">
        <is>
          <t>Sicoob</t>
        </is>
      </c>
      <c r="C1321" s="2" t="inlineStr">
        <is>
          <t>10/06/2026</t>
        </is>
      </c>
      <c r="D1321" s="2" t="inlineStr">
        <is>
          <t>10/06/2026</t>
        </is>
      </c>
      <c r="E1321" s="2" t="inlineStr">
        <is>
          <t>Dinheiro</t>
        </is>
      </c>
      <c r="F1321" s="2" t="inlineStr">
        <is>
          <t>Boleto "69924" do cliente "EDGAR BUKALOWSKI"</t>
        </is>
      </c>
      <c r="G1321" s="2" t="inlineStr">
        <is>
          <t>system</t>
        </is>
      </c>
      <c r="H1321" s="2" t="inlineStr">
        <is>
          <t>01.01.01 : Mensalidade</t>
        </is>
      </c>
      <c r="I1321" s="3" t="n">
        <v>93.23999999999999</v>
      </c>
      <c r="J1321" s="2" t="n"/>
      <c r="K1321" s="2">
        <f>IF(H1321="02.09 : Outras Saídas", IF(OR(ISNUMBER(SEARCH("CHEQUE COMPE SICREDI", F1321)), ISNUMBER(SEARCH("aniversario", F1321)), ISNUMBER(SEARCH("churrasco", F1321)), ISNUMBER(SEARCH("bolo", F1321)), ISNUMBER(SEARCH("SUPERMERCADO", F1321))), "6.1 Despesas Administrativas (Pessoal)", IF(OR(ISNUMBER(SEARCH("DLKNET", F1321)), ISNUMBER(SEARCH("TESTE", F1321))), "6.1 Despesas Administrativas (Gerais)", IFERROR(VLOOKUP(H1321, De_Para!A:B, 2, FALSE), "NÃO MAPEADO"))), IFERROR(VLOOKUP(H1321, De_Para!A:B, 2, FALSE), "NÃO MAPEADO"))</f>
        <v/>
      </c>
    </row>
    <row r="1322">
      <c r="A1322" s="2" t="inlineStr">
        <is>
          <t>68364</t>
        </is>
      </c>
      <c r="B1322" s="2" t="inlineStr">
        <is>
          <t>Sicoob</t>
        </is>
      </c>
      <c r="C1322" s="2" t="inlineStr">
        <is>
          <t>10/06/2026</t>
        </is>
      </c>
      <c r="D1322" s="2" t="inlineStr">
        <is>
          <t>10/06/2026</t>
        </is>
      </c>
      <c r="E1322" s="2" t="inlineStr">
        <is>
          <t>Dinheiro</t>
        </is>
      </c>
      <c r="F1322" s="2" t="inlineStr">
        <is>
          <t>Boleto "65763" do cliente "ROSE MARI DA SILVA"</t>
        </is>
      </c>
      <c r="G1322" s="2" t="inlineStr">
        <is>
          <t>system</t>
        </is>
      </c>
      <c r="H1322" s="2" t="inlineStr">
        <is>
          <t>02.03.02.01 : Cobrança Bancaria</t>
        </is>
      </c>
      <c r="I1322" s="2" t="n"/>
      <c r="J1322" s="3" t="n">
        <v>-0.88</v>
      </c>
      <c r="K1322" s="2">
        <f>IF(H1322="02.09 : Outras Saídas", IF(OR(ISNUMBER(SEARCH("CHEQUE COMPE SICREDI", F1322)), ISNUMBER(SEARCH("aniversario", F1322)), ISNUMBER(SEARCH("churrasco", F1322)), ISNUMBER(SEARCH("bolo", F1322)), ISNUMBER(SEARCH("SUPERMERCADO", F1322))), "6.1 Despesas Administrativas (Pessoal)", IF(OR(ISNUMBER(SEARCH("DLKNET", F1322)), ISNUMBER(SEARCH("TESTE", F1322))), "6.1 Despesas Administrativas (Gerais)", IFERROR(VLOOKUP(H1322, De_Para!A:B, 2, FALSE), "NÃO MAPEADO"))), IFERROR(VLOOKUP(H1322, De_Para!A:B, 2, FALSE), "NÃO MAPEADO"))</f>
        <v/>
      </c>
    </row>
    <row r="1323">
      <c r="A1323" s="2" t="inlineStr">
        <is>
          <t>68363</t>
        </is>
      </c>
      <c r="B1323" s="2" t="inlineStr">
        <is>
          <t>Sicoob</t>
        </is>
      </c>
      <c r="C1323" s="2" t="inlineStr">
        <is>
          <t>10/06/2026</t>
        </is>
      </c>
      <c r="D1323" s="2" t="inlineStr">
        <is>
          <t>10/06/2026</t>
        </is>
      </c>
      <c r="E1323" s="2" t="inlineStr">
        <is>
          <t>Dinheiro</t>
        </is>
      </c>
      <c r="F1323" s="2" t="inlineStr">
        <is>
          <t>Boleto "65763" do cliente "ROSE MARI DA SILVA"</t>
        </is>
      </c>
      <c r="G1323" s="2" t="inlineStr">
        <is>
          <t>system</t>
        </is>
      </c>
      <c r="H1323" s="2" t="inlineStr">
        <is>
          <t>01.01.01 : Mensalidade</t>
        </is>
      </c>
      <c r="I1323" s="3" t="n">
        <v>109.9</v>
      </c>
      <c r="J1323" s="2" t="n"/>
      <c r="K1323" s="2">
        <f>IF(H1323="02.09 : Outras Saídas", IF(OR(ISNUMBER(SEARCH("CHEQUE COMPE SICREDI", F1323)), ISNUMBER(SEARCH("aniversario", F1323)), ISNUMBER(SEARCH("churrasco", F1323)), ISNUMBER(SEARCH("bolo", F1323)), ISNUMBER(SEARCH("SUPERMERCADO", F1323))), "6.1 Despesas Administrativas (Pessoal)", IF(OR(ISNUMBER(SEARCH("DLKNET", F1323)), ISNUMBER(SEARCH("TESTE", F1323))), "6.1 Despesas Administrativas (Gerais)", IFERROR(VLOOKUP(H1323, De_Para!A:B, 2, FALSE), "NÃO MAPEADO"))), IFERROR(VLOOKUP(H1323, De_Para!A:B, 2, FALSE), "NÃO MAPEADO"))</f>
        <v/>
      </c>
    </row>
    <row r="1324">
      <c r="A1324" s="2" t="inlineStr">
        <is>
          <t>68362</t>
        </is>
      </c>
      <c r="B1324" s="2" t="inlineStr">
        <is>
          <t>Sicoob</t>
        </is>
      </c>
      <c r="C1324" s="2" t="inlineStr">
        <is>
          <t>10/06/2026</t>
        </is>
      </c>
      <c r="D1324" s="2" t="inlineStr">
        <is>
          <t>10/06/2026</t>
        </is>
      </c>
      <c r="E1324" s="2" t="inlineStr">
        <is>
          <t>Dinheiro</t>
        </is>
      </c>
      <c r="F1324" s="2" t="inlineStr">
        <is>
          <t>Boleto "64054" do cliente "RICARDO MASSATOSHI SASSAKI"</t>
        </is>
      </c>
      <c r="G1324" s="2" t="inlineStr">
        <is>
          <t>system</t>
        </is>
      </c>
      <c r="H1324" s="2" t="inlineStr">
        <is>
          <t>02.03.02.01 : Cobrança Bancaria</t>
        </is>
      </c>
      <c r="I1324" s="2" t="n"/>
      <c r="J1324" s="3" t="n">
        <v>-0.88</v>
      </c>
      <c r="K1324" s="2">
        <f>IF(H1324="02.09 : Outras Saídas", IF(OR(ISNUMBER(SEARCH("CHEQUE COMPE SICREDI", F1324)), ISNUMBER(SEARCH("aniversario", F1324)), ISNUMBER(SEARCH("churrasco", F1324)), ISNUMBER(SEARCH("bolo", F1324)), ISNUMBER(SEARCH("SUPERMERCADO", F1324))), "6.1 Despesas Administrativas (Pessoal)", IF(OR(ISNUMBER(SEARCH("DLKNET", F1324)), ISNUMBER(SEARCH("TESTE", F1324))), "6.1 Despesas Administrativas (Gerais)", IFERROR(VLOOKUP(H1324, De_Para!A:B, 2, FALSE), "NÃO MAPEADO"))), IFERROR(VLOOKUP(H1324, De_Para!A:B, 2, FALSE), "NÃO MAPEADO"))</f>
        <v/>
      </c>
    </row>
    <row r="1325">
      <c r="A1325" s="2" t="inlineStr">
        <is>
          <t>68361</t>
        </is>
      </c>
      <c r="B1325" s="2" t="inlineStr">
        <is>
          <t>Sicoob</t>
        </is>
      </c>
      <c r="C1325" s="2" t="inlineStr">
        <is>
          <t>10/06/2026</t>
        </is>
      </c>
      <c r="D1325" s="2" t="inlineStr">
        <is>
          <t>10/06/2026</t>
        </is>
      </c>
      <c r="E1325" s="2" t="inlineStr">
        <is>
          <t>Dinheiro</t>
        </is>
      </c>
      <c r="F1325" s="2" t="inlineStr">
        <is>
          <t>Boleto "64054" do cliente "RICARDO MASSATOSHI SASSAKI"</t>
        </is>
      </c>
      <c r="G1325" s="2" t="inlineStr">
        <is>
          <t>system</t>
        </is>
      </c>
      <c r="H1325" s="2" t="inlineStr">
        <is>
          <t>01.01.01 : Mensalidade</t>
        </is>
      </c>
      <c r="I1325" s="3" t="n">
        <v>109.9</v>
      </c>
      <c r="J1325" s="2" t="n"/>
      <c r="K1325" s="2">
        <f>IF(H1325="02.09 : Outras Saídas", IF(OR(ISNUMBER(SEARCH("CHEQUE COMPE SICREDI", F1325)), ISNUMBER(SEARCH("aniversario", F1325)), ISNUMBER(SEARCH("churrasco", F1325)), ISNUMBER(SEARCH("bolo", F1325)), ISNUMBER(SEARCH("SUPERMERCADO", F1325))), "6.1 Despesas Administrativas (Pessoal)", IF(OR(ISNUMBER(SEARCH("DLKNET", F1325)), ISNUMBER(SEARCH("TESTE", F1325))), "6.1 Despesas Administrativas (Gerais)", IFERROR(VLOOKUP(H1325, De_Para!A:B, 2, FALSE), "NÃO MAPEADO"))), IFERROR(VLOOKUP(H1325, De_Para!A:B, 2, FALSE), "NÃO MAPEADO"))</f>
        <v/>
      </c>
    </row>
    <row r="1326">
      <c r="A1326" s="2" t="inlineStr">
        <is>
          <t>68360</t>
        </is>
      </c>
      <c r="B1326" s="2" t="inlineStr">
        <is>
          <t>Sicoob</t>
        </is>
      </c>
      <c r="C1326" s="2" t="inlineStr">
        <is>
          <t>10/06/2026</t>
        </is>
      </c>
      <c r="D1326" s="2" t="inlineStr">
        <is>
          <t>10/06/2026</t>
        </is>
      </c>
      <c r="E1326" s="2" t="inlineStr">
        <is>
          <t>Dinheiro</t>
        </is>
      </c>
      <c r="F1326" s="2" t="inlineStr">
        <is>
          <t>Boleto "60753" do cliente "PALOMA DE FATIMA DA LUZ FARIA"</t>
        </is>
      </c>
      <c r="G1326" s="2" t="inlineStr">
        <is>
          <t>system</t>
        </is>
      </c>
      <c r="H1326" s="2" t="inlineStr">
        <is>
          <t>02.03.02.01 : Cobrança Bancaria</t>
        </is>
      </c>
      <c r="I1326" s="2" t="n"/>
      <c r="J1326" s="3" t="n">
        <v>-0.88</v>
      </c>
      <c r="K1326" s="2">
        <f>IF(H1326="02.09 : Outras Saídas", IF(OR(ISNUMBER(SEARCH("CHEQUE COMPE SICREDI", F1326)), ISNUMBER(SEARCH("aniversario", F1326)), ISNUMBER(SEARCH("churrasco", F1326)), ISNUMBER(SEARCH("bolo", F1326)), ISNUMBER(SEARCH("SUPERMERCADO", F1326))), "6.1 Despesas Administrativas (Pessoal)", IF(OR(ISNUMBER(SEARCH("DLKNET", F1326)), ISNUMBER(SEARCH("TESTE", F1326))), "6.1 Despesas Administrativas (Gerais)", IFERROR(VLOOKUP(H1326, De_Para!A:B, 2, FALSE), "NÃO MAPEADO"))), IFERROR(VLOOKUP(H1326, De_Para!A:B, 2, FALSE), "NÃO MAPEADO"))</f>
        <v/>
      </c>
    </row>
    <row r="1327">
      <c r="A1327" s="2" t="inlineStr">
        <is>
          <t>68359</t>
        </is>
      </c>
      <c r="B1327" s="2" t="inlineStr">
        <is>
          <t>Sicoob</t>
        </is>
      </c>
      <c r="C1327" s="2" t="inlineStr">
        <is>
          <t>10/06/2026</t>
        </is>
      </c>
      <c r="D1327" s="2" t="inlineStr">
        <is>
          <t>10/06/2026</t>
        </is>
      </c>
      <c r="E1327" s="2" t="inlineStr">
        <is>
          <t>Dinheiro</t>
        </is>
      </c>
      <c r="F1327" s="2" t="inlineStr">
        <is>
          <t>Boleto "60753" do cliente "PALOMA DE FATIMA DA LUZ FARIA"</t>
        </is>
      </c>
      <c r="G1327" s="2" t="inlineStr">
        <is>
          <t>system</t>
        </is>
      </c>
      <c r="H1327" s="2" t="inlineStr">
        <is>
          <t>01.01.01 : Mensalidade</t>
        </is>
      </c>
      <c r="I1327" s="3" t="n">
        <v>107.41</v>
      </c>
      <c r="J1327" s="2" t="n"/>
      <c r="K1327" s="2">
        <f>IF(H1327="02.09 : Outras Saídas", IF(OR(ISNUMBER(SEARCH("CHEQUE COMPE SICREDI", F1327)), ISNUMBER(SEARCH("aniversario", F1327)), ISNUMBER(SEARCH("churrasco", F1327)), ISNUMBER(SEARCH("bolo", F1327)), ISNUMBER(SEARCH("SUPERMERCADO", F1327))), "6.1 Despesas Administrativas (Pessoal)", IF(OR(ISNUMBER(SEARCH("DLKNET", F1327)), ISNUMBER(SEARCH("TESTE", F1327))), "6.1 Despesas Administrativas (Gerais)", IFERROR(VLOOKUP(H1327, De_Para!A:B, 2, FALSE), "NÃO MAPEADO"))), IFERROR(VLOOKUP(H1327, De_Para!A:B, 2, FALSE), "NÃO MAPEADO"))</f>
        <v/>
      </c>
    </row>
    <row r="1328">
      <c r="A1328" s="2" t="inlineStr">
        <is>
          <t>68358</t>
        </is>
      </c>
      <c r="B1328" s="2" t="inlineStr">
        <is>
          <t>Sicoob</t>
        </is>
      </c>
      <c r="C1328" s="2" t="inlineStr">
        <is>
          <t>10/06/2026</t>
        </is>
      </c>
      <c r="D1328" s="2" t="inlineStr">
        <is>
          <t>10/06/2026</t>
        </is>
      </c>
      <c r="E1328" s="2" t="inlineStr">
        <is>
          <t>Dinheiro</t>
        </is>
      </c>
      <c r="F1328" s="2" t="inlineStr">
        <is>
          <t>Boleto "57780" do cliente "ANTONIO APARECIDO DE SIQUEIRA"</t>
        </is>
      </c>
      <c r="G1328" s="2" t="inlineStr">
        <is>
          <t>system</t>
        </is>
      </c>
      <c r="H1328" s="2" t="inlineStr">
        <is>
          <t>02.03.02.01 : Cobrança Bancaria</t>
        </is>
      </c>
      <c r="I1328" s="2" t="n"/>
      <c r="J1328" s="3" t="n">
        <v>-0.88</v>
      </c>
      <c r="K1328" s="2">
        <f>IF(H1328="02.09 : Outras Saídas", IF(OR(ISNUMBER(SEARCH("CHEQUE COMPE SICREDI", F1328)), ISNUMBER(SEARCH("aniversario", F1328)), ISNUMBER(SEARCH("churrasco", F1328)), ISNUMBER(SEARCH("bolo", F1328)), ISNUMBER(SEARCH("SUPERMERCADO", F1328))), "6.1 Despesas Administrativas (Pessoal)", IF(OR(ISNUMBER(SEARCH("DLKNET", F1328)), ISNUMBER(SEARCH("TESTE", F1328))), "6.1 Despesas Administrativas (Gerais)", IFERROR(VLOOKUP(H1328, De_Para!A:B, 2, FALSE), "NÃO MAPEADO"))), IFERROR(VLOOKUP(H1328, De_Para!A:B, 2, FALSE), "NÃO MAPEADO"))</f>
        <v/>
      </c>
    </row>
    <row r="1329">
      <c r="A1329" s="2" t="inlineStr">
        <is>
          <t>68357</t>
        </is>
      </c>
      <c r="B1329" s="2" t="inlineStr">
        <is>
          <t>Sicoob</t>
        </is>
      </c>
      <c r="C1329" s="2" t="inlineStr">
        <is>
          <t>10/06/2026</t>
        </is>
      </c>
      <c r="D1329" s="2" t="inlineStr">
        <is>
          <t>10/06/2026</t>
        </is>
      </c>
      <c r="E1329" s="2" t="inlineStr">
        <is>
          <t>Dinheiro</t>
        </is>
      </c>
      <c r="F1329" s="2" t="inlineStr">
        <is>
          <t>Boleto "57780" do cliente "ANTONIO APARECIDO DE SIQUEIRA"</t>
        </is>
      </c>
      <c r="G1329" s="2" t="inlineStr">
        <is>
          <t>system</t>
        </is>
      </c>
      <c r="H1329" s="2" t="inlineStr">
        <is>
          <t>01.01.01 : Mensalidade</t>
        </is>
      </c>
      <c r="I1329" s="3" t="n">
        <v>105</v>
      </c>
      <c r="J1329" s="2" t="n"/>
      <c r="K1329" s="2">
        <f>IF(H1329="02.09 : Outras Saídas", IF(OR(ISNUMBER(SEARCH("CHEQUE COMPE SICREDI", F1329)), ISNUMBER(SEARCH("aniversario", F1329)), ISNUMBER(SEARCH("churrasco", F1329)), ISNUMBER(SEARCH("bolo", F1329)), ISNUMBER(SEARCH("SUPERMERCADO", F1329))), "6.1 Despesas Administrativas (Pessoal)", IF(OR(ISNUMBER(SEARCH("DLKNET", F1329)), ISNUMBER(SEARCH("TESTE", F1329))), "6.1 Despesas Administrativas (Gerais)", IFERROR(VLOOKUP(H1329, De_Para!A:B, 2, FALSE), "NÃO MAPEADO"))), IFERROR(VLOOKUP(H1329, De_Para!A:B, 2, FALSE), "NÃO MAPEADO"))</f>
        <v/>
      </c>
    </row>
    <row r="1330">
      <c r="A1330" s="2" t="inlineStr">
        <is>
          <t>68356</t>
        </is>
      </c>
      <c r="B1330" s="2" t="inlineStr">
        <is>
          <t>Sicoob</t>
        </is>
      </c>
      <c r="C1330" s="2" t="inlineStr">
        <is>
          <t>10/06/2026</t>
        </is>
      </c>
      <c r="D1330" s="2" t="inlineStr">
        <is>
          <t>10/06/2026</t>
        </is>
      </c>
      <c r="E1330" s="2" t="inlineStr">
        <is>
          <t>Dinheiro</t>
        </is>
      </c>
      <c r="F1330" s="2" t="inlineStr">
        <is>
          <t>Boleto "57535" do cliente "FELIPE DO VALE DAMRATT"</t>
        </is>
      </c>
      <c r="G1330" s="2" t="inlineStr">
        <is>
          <t>system</t>
        </is>
      </c>
      <c r="H1330" s="2" t="inlineStr">
        <is>
          <t>02.03.02.01 : Cobrança Bancaria</t>
        </is>
      </c>
      <c r="I1330" s="2" t="n"/>
      <c r="J1330" s="3" t="n">
        <v>-0.88</v>
      </c>
      <c r="K1330" s="2">
        <f>IF(H1330="02.09 : Outras Saídas", IF(OR(ISNUMBER(SEARCH("CHEQUE COMPE SICREDI", F1330)), ISNUMBER(SEARCH("aniversario", F1330)), ISNUMBER(SEARCH("churrasco", F1330)), ISNUMBER(SEARCH("bolo", F1330)), ISNUMBER(SEARCH("SUPERMERCADO", F1330))), "6.1 Despesas Administrativas (Pessoal)", IF(OR(ISNUMBER(SEARCH("DLKNET", F1330)), ISNUMBER(SEARCH("TESTE", F1330))), "6.1 Despesas Administrativas (Gerais)", IFERROR(VLOOKUP(H1330, De_Para!A:B, 2, FALSE), "NÃO MAPEADO"))), IFERROR(VLOOKUP(H1330, De_Para!A:B, 2, FALSE), "NÃO MAPEADO"))</f>
        <v/>
      </c>
    </row>
    <row r="1331">
      <c r="A1331" s="2" t="inlineStr">
        <is>
          <t>68355</t>
        </is>
      </c>
      <c r="B1331" s="2" t="inlineStr">
        <is>
          <t>Sicoob</t>
        </is>
      </c>
      <c r="C1331" s="2" t="inlineStr">
        <is>
          <t>10/06/2026</t>
        </is>
      </c>
      <c r="D1331" s="2" t="inlineStr">
        <is>
          <t>10/06/2026</t>
        </is>
      </c>
      <c r="E1331" s="2" t="inlineStr">
        <is>
          <t>Dinheiro</t>
        </is>
      </c>
      <c r="F1331" s="2" t="inlineStr">
        <is>
          <t>Boleto "57535" do cliente "FELIPE DO VALE DAMRATT"</t>
        </is>
      </c>
      <c r="G1331" s="2" t="inlineStr">
        <is>
          <t>system</t>
        </is>
      </c>
      <c r="H1331" s="2" t="inlineStr">
        <is>
          <t>01.01.01 : Mensalidade</t>
        </is>
      </c>
      <c r="I1331" s="3" t="n">
        <v>105</v>
      </c>
      <c r="J1331" s="2" t="n"/>
      <c r="K1331" s="2">
        <f>IF(H1331="02.09 : Outras Saídas", IF(OR(ISNUMBER(SEARCH("CHEQUE COMPE SICREDI", F1331)), ISNUMBER(SEARCH("aniversario", F1331)), ISNUMBER(SEARCH("churrasco", F1331)), ISNUMBER(SEARCH("bolo", F1331)), ISNUMBER(SEARCH("SUPERMERCADO", F1331))), "6.1 Despesas Administrativas (Pessoal)", IF(OR(ISNUMBER(SEARCH("DLKNET", F1331)), ISNUMBER(SEARCH("TESTE", F1331))), "6.1 Despesas Administrativas (Gerais)", IFERROR(VLOOKUP(H1331, De_Para!A:B, 2, FALSE), "NÃO MAPEADO"))), IFERROR(VLOOKUP(H1331, De_Para!A:B, 2, FALSE), "NÃO MAPEADO"))</f>
        <v/>
      </c>
    </row>
    <row r="1332">
      <c r="A1332" s="2" t="inlineStr">
        <is>
          <t>68354</t>
        </is>
      </c>
      <c r="B1332" s="2" t="inlineStr">
        <is>
          <t>Sicoob</t>
        </is>
      </c>
      <c r="C1332" s="2" t="inlineStr">
        <is>
          <t>10/06/2026</t>
        </is>
      </c>
      <c r="D1332" s="2" t="inlineStr">
        <is>
          <t>10/06/2026</t>
        </is>
      </c>
      <c r="E1332" s="2" t="inlineStr">
        <is>
          <t>Dinheiro</t>
        </is>
      </c>
      <c r="F1332" s="2" t="inlineStr">
        <is>
          <t>Boleto "57359" do cliente "LAERCIO RIBEIRO DA SILVA"</t>
        </is>
      </c>
      <c r="G1332" s="2" t="inlineStr">
        <is>
          <t>system</t>
        </is>
      </c>
      <c r="H1332" s="2" t="inlineStr">
        <is>
          <t>02.03.02.01 : Cobrança Bancaria</t>
        </is>
      </c>
      <c r="I1332" s="2" t="n"/>
      <c r="J1332" s="3" t="n">
        <v>-0.88</v>
      </c>
      <c r="K1332" s="2">
        <f>IF(H1332="02.09 : Outras Saídas", IF(OR(ISNUMBER(SEARCH("CHEQUE COMPE SICREDI", F1332)), ISNUMBER(SEARCH("aniversario", F1332)), ISNUMBER(SEARCH("churrasco", F1332)), ISNUMBER(SEARCH("bolo", F1332)), ISNUMBER(SEARCH("SUPERMERCADO", F1332))), "6.1 Despesas Administrativas (Pessoal)", IF(OR(ISNUMBER(SEARCH("DLKNET", F1332)), ISNUMBER(SEARCH("TESTE", F1332))), "6.1 Despesas Administrativas (Gerais)", IFERROR(VLOOKUP(H1332, De_Para!A:B, 2, FALSE), "NÃO MAPEADO"))), IFERROR(VLOOKUP(H1332, De_Para!A:B, 2, FALSE), "NÃO MAPEADO"))</f>
        <v/>
      </c>
    </row>
    <row r="1333">
      <c r="A1333" s="2" t="inlineStr">
        <is>
          <t>68353</t>
        </is>
      </c>
      <c r="B1333" s="2" t="inlineStr">
        <is>
          <t>Sicoob</t>
        </is>
      </c>
      <c r="C1333" s="2" t="inlineStr">
        <is>
          <t>10/06/2026</t>
        </is>
      </c>
      <c r="D1333" s="2" t="inlineStr">
        <is>
          <t>10/06/2026</t>
        </is>
      </c>
      <c r="E1333" s="2" t="inlineStr">
        <is>
          <t>Dinheiro</t>
        </is>
      </c>
      <c r="F1333" s="2" t="inlineStr">
        <is>
          <t>Boleto "57359" do cliente "LAERCIO RIBEIRO DA SILVA"</t>
        </is>
      </c>
      <c r="G1333" s="2" t="inlineStr">
        <is>
          <t>system</t>
        </is>
      </c>
      <c r="H1333" s="2" t="inlineStr">
        <is>
          <t>01.01.01 : Mensalidade</t>
        </is>
      </c>
      <c r="I1333" s="3" t="n">
        <v>100</v>
      </c>
      <c r="J1333" s="2" t="n"/>
      <c r="K1333" s="2">
        <f>IF(H1333="02.09 : Outras Saídas", IF(OR(ISNUMBER(SEARCH("CHEQUE COMPE SICREDI", F1333)), ISNUMBER(SEARCH("aniversario", F1333)), ISNUMBER(SEARCH("churrasco", F1333)), ISNUMBER(SEARCH("bolo", F1333)), ISNUMBER(SEARCH("SUPERMERCADO", F1333))), "6.1 Despesas Administrativas (Pessoal)", IF(OR(ISNUMBER(SEARCH("DLKNET", F1333)), ISNUMBER(SEARCH("TESTE", F1333))), "6.1 Despesas Administrativas (Gerais)", IFERROR(VLOOKUP(H1333, De_Para!A:B, 2, FALSE), "NÃO MAPEADO"))), IFERROR(VLOOKUP(H1333, De_Para!A:B, 2, FALSE), "NÃO MAPEADO"))</f>
        <v/>
      </c>
    </row>
    <row r="1334">
      <c r="A1334" s="2" t="inlineStr">
        <is>
          <t>68352</t>
        </is>
      </c>
      <c r="B1334" s="2" t="inlineStr">
        <is>
          <t>Sicoob</t>
        </is>
      </c>
      <c r="C1334" s="2" t="inlineStr">
        <is>
          <t>10/06/2026</t>
        </is>
      </c>
      <c r="D1334" s="2" t="inlineStr">
        <is>
          <t>10/06/2026</t>
        </is>
      </c>
      <c r="E1334" s="2" t="inlineStr">
        <is>
          <t>Dinheiro</t>
        </is>
      </c>
      <c r="F1334" s="2" t="inlineStr">
        <is>
          <t>Boleto "57326" do cliente "MARIA CLEUNICE TAVARES"</t>
        </is>
      </c>
      <c r="G1334" s="2" t="inlineStr">
        <is>
          <t>system</t>
        </is>
      </c>
      <c r="H1334" s="2" t="inlineStr">
        <is>
          <t>02.03.02.01 : Cobrança Bancaria</t>
        </is>
      </c>
      <c r="I1334" s="2" t="n"/>
      <c r="J1334" s="3" t="n">
        <v>-0.88</v>
      </c>
      <c r="K1334" s="2">
        <f>IF(H1334="02.09 : Outras Saídas", IF(OR(ISNUMBER(SEARCH("CHEQUE COMPE SICREDI", F1334)), ISNUMBER(SEARCH("aniversario", F1334)), ISNUMBER(SEARCH("churrasco", F1334)), ISNUMBER(SEARCH("bolo", F1334)), ISNUMBER(SEARCH("SUPERMERCADO", F1334))), "6.1 Despesas Administrativas (Pessoal)", IF(OR(ISNUMBER(SEARCH("DLKNET", F1334)), ISNUMBER(SEARCH("TESTE", F1334))), "6.1 Despesas Administrativas (Gerais)", IFERROR(VLOOKUP(H1334, De_Para!A:B, 2, FALSE), "NÃO MAPEADO"))), IFERROR(VLOOKUP(H1334, De_Para!A:B, 2, FALSE), "NÃO MAPEADO"))</f>
        <v/>
      </c>
    </row>
    <row r="1335">
      <c r="A1335" s="2" t="inlineStr">
        <is>
          <t>68351</t>
        </is>
      </c>
      <c r="B1335" s="2" t="inlineStr">
        <is>
          <t>Sicoob</t>
        </is>
      </c>
      <c r="C1335" s="2" t="inlineStr">
        <is>
          <t>10/06/2026</t>
        </is>
      </c>
      <c r="D1335" s="2" t="inlineStr">
        <is>
          <t>10/06/2026</t>
        </is>
      </c>
      <c r="E1335" s="2" t="inlineStr">
        <is>
          <t>Dinheiro</t>
        </is>
      </c>
      <c r="F1335" s="2" t="inlineStr">
        <is>
          <t>Boleto "57326" do cliente "MARIA CLEUNICE TAVARES"</t>
        </is>
      </c>
      <c r="G1335" s="2" t="inlineStr">
        <is>
          <t>system</t>
        </is>
      </c>
      <c r="H1335" s="2" t="inlineStr">
        <is>
          <t>01.01.01 : Mensalidade</t>
        </is>
      </c>
      <c r="I1335" s="3" t="n">
        <v>80</v>
      </c>
      <c r="J1335" s="2" t="n"/>
      <c r="K1335" s="2">
        <f>IF(H1335="02.09 : Outras Saídas", IF(OR(ISNUMBER(SEARCH("CHEQUE COMPE SICREDI", F1335)), ISNUMBER(SEARCH("aniversario", F1335)), ISNUMBER(SEARCH("churrasco", F1335)), ISNUMBER(SEARCH("bolo", F1335)), ISNUMBER(SEARCH("SUPERMERCADO", F1335))), "6.1 Despesas Administrativas (Pessoal)", IF(OR(ISNUMBER(SEARCH("DLKNET", F1335)), ISNUMBER(SEARCH("TESTE", F1335))), "6.1 Despesas Administrativas (Gerais)", IFERROR(VLOOKUP(H1335, De_Para!A:B, 2, FALSE), "NÃO MAPEADO"))), IFERROR(VLOOKUP(H1335, De_Para!A:B, 2, FALSE), "NÃO MAPEADO"))</f>
        <v/>
      </c>
    </row>
    <row r="1336">
      <c r="A1336" s="2" t="inlineStr">
        <is>
          <t>68350</t>
        </is>
      </c>
      <c r="B1336" s="2" t="inlineStr">
        <is>
          <t>Sicoob</t>
        </is>
      </c>
      <c r="C1336" s="2" t="inlineStr">
        <is>
          <t>10/06/2026</t>
        </is>
      </c>
      <c r="D1336" s="2" t="inlineStr">
        <is>
          <t>10/06/2026</t>
        </is>
      </c>
      <c r="E1336" s="2" t="inlineStr">
        <is>
          <t>Dinheiro</t>
        </is>
      </c>
      <c r="F1336" s="2" t="inlineStr">
        <is>
          <t>Boleto "56465" do cliente "ALESSANDRO APARECIDO DOS SANTOS"</t>
        </is>
      </c>
      <c r="G1336" s="2" t="inlineStr">
        <is>
          <t>system</t>
        </is>
      </c>
      <c r="H1336" s="2" t="inlineStr">
        <is>
          <t>02.03.02.01 : Cobrança Bancaria</t>
        </is>
      </c>
      <c r="I1336" s="2" t="n"/>
      <c r="J1336" s="3" t="n">
        <v>-0.88</v>
      </c>
      <c r="K1336" s="2">
        <f>IF(H1336="02.09 : Outras Saídas", IF(OR(ISNUMBER(SEARCH("CHEQUE COMPE SICREDI", F1336)), ISNUMBER(SEARCH("aniversario", F1336)), ISNUMBER(SEARCH("churrasco", F1336)), ISNUMBER(SEARCH("bolo", F1336)), ISNUMBER(SEARCH("SUPERMERCADO", F1336))), "6.1 Despesas Administrativas (Pessoal)", IF(OR(ISNUMBER(SEARCH("DLKNET", F1336)), ISNUMBER(SEARCH("TESTE", F1336))), "6.1 Despesas Administrativas (Gerais)", IFERROR(VLOOKUP(H1336, De_Para!A:B, 2, FALSE), "NÃO MAPEADO"))), IFERROR(VLOOKUP(H1336, De_Para!A:B, 2, FALSE), "NÃO MAPEADO"))</f>
        <v/>
      </c>
    </row>
    <row r="1337">
      <c r="A1337" s="2" t="inlineStr">
        <is>
          <t>68349</t>
        </is>
      </c>
      <c r="B1337" s="2" t="inlineStr">
        <is>
          <t>Sicoob</t>
        </is>
      </c>
      <c r="C1337" s="2" t="inlineStr">
        <is>
          <t>10/06/2026</t>
        </is>
      </c>
      <c r="D1337" s="2" t="inlineStr">
        <is>
          <t>10/06/2026</t>
        </is>
      </c>
      <c r="E1337" s="2" t="inlineStr">
        <is>
          <t>Dinheiro</t>
        </is>
      </c>
      <c r="F1337" s="2" t="inlineStr">
        <is>
          <t>Boleto "56465" do cliente "ALESSANDRO APARECIDO DOS SANTOS"</t>
        </is>
      </c>
      <c r="G1337" s="2" t="inlineStr">
        <is>
          <t>system</t>
        </is>
      </c>
      <c r="H1337" s="2" t="inlineStr">
        <is>
          <t>01.01.01 : Mensalidade</t>
        </is>
      </c>
      <c r="I1337" s="3" t="n">
        <v>100</v>
      </c>
      <c r="J1337" s="2" t="n"/>
      <c r="K1337" s="2">
        <f>IF(H1337="02.09 : Outras Saídas", IF(OR(ISNUMBER(SEARCH("CHEQUE COMPE SICREDI", F1337)), ISNUMBER(SEARCH("aniversario", F1337)), ISNUMBER(SEARCH("churrasco", F1337)), ISNUMBER(SEARCH("bolo", F1337)), ISNUMBER(SEARCH("SUPERMERCADO", F1337))), "6.1 Despesas Administrativas (Pessoal)", IF(OR(ISNUMBER(SEARCH("DLKNET", F1337)), ISNUMBER(SEARCH("TESTE", F1337))), "6.1 Despesas Administrativas (Gerais)", IFERROR(VLOOKUP(H1337, De_Para!A:B, 2, FALSE), "NÃO MAPEADO"))), IFERROR(VLOOKUP(H1337, De_Para!A:B, 2, FALSE), "NÃO MAPEADO"))</f>
        <v/>
      </c>
    </row>
    <row r="1338">
      <c r="A1338" s="2" t="inlineStr">
        <is>
          <t>68348</t>
        </is>
      </c>
      <c r="B1338" s="2" t="inlineStr">
        <is>
          <t>Sicredi SNI</t>
        </is>
      </c>
      <c r="C1338" s="2" t="inlineStr">
        <is>
          <t>10/06/2026</t>
        </is>
      </c>
      <c r="D1338" s="2" t="inlineStr">
        <is>
          <t>10/06/2026</t>
        </is>
      </c>
      <c r="E1338" s="2" t="inlineStr">
        <is>
          <t>PIX</t>
        </is>
      </c>
      <c r="F1338" s="2" t="inlineStr">
        <is>
          <t>Boleto "56690" do cliente "TANIA APARECIDA DA SILVA"</t>
        </is>
      </c>
      <c r="G1338" s="2" t="inlineStr">
        <is>
          <t>system</t>
        </is>
      </c>
      <c r="H1338" s="2" t="inlineStr">
        <is>
          <t>02.03.02.01 : Cobrança Bancaria</t>
        </is>
      </c>
      <c r="I1338" s="2" t="n"/>
      <c r="J1338" s="3" t="n">
        <v>-0.49</v>
      </c>
      <c r="K1338" s="2">
        <f>IF(H1338="02.09 : Outras Saídas", IF(OR(ISNUMBER(SEARCH("CHEQUE COMPE SICREDI", F1338)), ISNUMBER(SEARCH("aniversario", F1338)), ISNUMBER(SEARCH("churrasco", F1338)), ISNUMBER(SEARCH("bolo", F1338)), ISNUMBER(SEARCH("SUPERMERCADO", F1338))), "6.1 Despesas Administrativas (Pessoal)", IF(OR(ISNUMBER(SEARCH("DLKNET", F1338)), ISNUMBER(SEARCH("TESTE", F1338))), "6.1 Despesas Administrativas (Gerais)", IFERROR(VLOOKUP(H1338, De_Para!A:B, 2, FALSE), "NÃO MAPEADO"))), IFERROR(VLOOKUP(H1338, De_Para!A:B, 2, FALSE), "NÃO MAPEADO"))</f>
        <v/>
      </c>
    </row>
    <row r="1339">
      <c r="A1339" s="2" t="inlineStr">
        <is>
          <t>68347</t>
        </is>
      </c>
      <c r="B1339" s="2" t="inlineStr">
        <is>
          <t>Sicredi SNI</t>
        </is>
      </c>
      <c r="C1339" s="2" t="inlineStr">
        <is>
          <t>10/06/2026</t>
        </is>
      </c>
      <c r="D1339" s="2" t="inlineStr">
        <is>
          <t>10/06/2026</t>
        </is>
      </c>
      <c r="E1339" s="2" t="inlineStr">
        <is>
          <t>PIX</t>
        </is>
      </c>
      <c r="F1339" s="2" t="inlineStr">
        <is>
          <t>Boleto "56690" do cliente "TANIA APARECIDA DA SILVA"</t>
        </is>
      </c>
      <c r="G1339" s="2" t="inlineStr">
        <is>
          <t>system</t>
        </is>
      </c>
      <c r="H1339" s="2" t="inlineStr">
        <is>
          <t>01.01.01 : Mensalidade</t>
        </is>
      </c>
      <c r="I1339" s="3" t="n">
        <v>107.27</v>
      </c>
      <c r="J1339" s="2" t="n"/>
      <c r="K1339" s="2">
        <f>IF(H1339="02.09 : Outras Saídas", IF(OR(ISNUMBER(SEARCH("CHEQUE COMPE SICREDI", F1339)), ISNUMBER(SEARCH("aniversario", F1339)), ISNUMBER(SEARCH("churrasco", F1339)), ISNUMBER(SEARCH("bolo", F1339)), ISNUMBER(SEARCH("SUPERMERCADO", F1339))), "6.1 Despesas Administrativas (Pessoal)", IF(OR(ISNUMBER(SEARCH("DLKNET", F1339)), ISNUMBER(SEARCH("TESTE", F1339))), "6.1 Despesas Administrativas (Gerais)", IFERROR(VLOOKUP(H1339, De_Para!A:B, 2, FALSE), "NÃO MAPEADO"))), IFERROR(VLOOKUP(H1339, De_Para!A:B, 2, FALSE), "NÃO MAPEADO"))</f>
        <v/>
      </c>
    </row>
    <row r="1340">
      <c r="A1340" s="2" t="inlineStr">
        <is>
          <t>68346</t>
        </is>
      </c>
      <c r="B1340" s="2" t="inlineStr">
        <is>
          <t>Sicredi SNI</t>
        </is>
      </c>
      <c r="C1340" s="2" t="inlineStr">
        <is>
          <t>10/06/2026</t>
        </is>
      </c>
      <c r="D1340" s="2" t="inlineStr">
        <is>
          <t>10/06/2026</t>
        </is>
      </c>
      <c r="E1340" s="2" t="inlineStr">
        <is>
          <t>PIX</t>
        </is>
      </c>
      <c r="F1340" s="2" t="inlineStr">
        <is>
          <t>Boleto "64915" do cliente "FERNANDO FRANCISCO DUARTE"</t>
        </is>
      </c>
      <c r="G1340" s="2" t="inlineStr">
        <is>
          <t>system</t>
        </is>
      </c>
      <c r="H1340" s="2" t="inlineStr">
        <is>
          <t>02.03.02.01 : Cobrança Bancaria</t>
        </is>
      </c>
      <c r="I1340" s="2" t="n"/>
      <c r="J1340" s="3" t="n">
        <v>-0.49</v>
      </c>
      <c r="K1340" s="2">
        <f>IF(H1340="02.09 : Outras Saídas", IF(OR(ISNUMBER(SEARCH("CHEQUE COMPE SICREDI", F1340)), ISNUMBER(SEARCH("aniversario", F1340)), ISNUMBER(SEARCH("churrasco", F1340)), ISNUMBER(SEARCH("bolo", F1340)), ISNUMBER(SEARCH("SUPERMERCADO", F1340))), "6.1 Despesas Administrativas (Pessoal)", IF(OR(ISNUMBER(SEARCH("DLKNET", F1340)), ISNUMBER(SEARCH("TESTE", F1340))), "6.1 Despesas Administrativas (Gerais)", IFERROR(VLOOKUP(H1340, De_Para!A:B, 2, FALSE), "NÃO MAPEADO"))), IFERROR(VLOOKUP(H1340, De_Para!A:B, 2, FALSE), "NÃO MAPEADO"))</f>
        <v/>
      </c>
    </row>
    <row r="1341">
      <c r="A1341" s="2" t="inlineStr">
        <is>
          <t>68345</t>
        </is>
      </c>
      <c r="B1341" s="2" t="inlineStr">
        <is>
          <t>Sicredi SNI</t>
        </is>
      </c>
      <c r="C1341" s="2" t="inlineStr">
        <is>
          <t>10/06/2026</t>
        </is>
      </c>
      <c r="D1341" s="2" t="inlineStr">
        <is>
          <t>10/06/2026</t>
        </is>
      </c>
      <c r="E1341" s="2" t="inlineStr">
        <is>
          <t>PIX</t>
        </is>
      </c>
      <c r="F1341" s="2" t="inlineStr">
        <is>
          <t>Boleto "64915" do cliente "FERNANDO FRANCISCO DUARTE"</t>
        </is>
      </c>
      <c r="G1341" s="2" t="inlineStr">
        <is>
          <t>system</t>
        </is>
      </c>
      <c r="H1341" s="2" t="inlineStr">
        <is>
          <t>01.01.01 : Mensalidade</t>
        </is>
      </c>
      <c r="I1341" s="3" t="n">
        <v>107.38</v>
      </c>
      <c r="J1341" s="2" t="n"/>
      <c r="K1341" s="2">
        <f>IF(H1341="02.09 : Outras Saídas", IF(OR(ISNUMBER(SEARCH("CHEQUE COMPE SICREDI", F1341)), ISNUMBER(SEARCH("aniversario", F1341)), ISNUMBER(SEARCH("churrasco", F1341)), ISNUMBER(SEARCH("bolo", F1341)), ISNUMBER(SEARCH("SUPERMERCADO", F1341))), "6.1 Despesas Administrativas (Pessoal)", IF(OR(ISNUMBER(SEARCH("DLKNET", F1341)), ISNUMBER(SEARCH("TESTE", F1341))), "6.1 Despesas Administrativas (Gerais)", IFERROR(VLOOKUP(H1341, De_Para!A:B, 2, FALSE), "NÃO MAPEADO"))), IFERROR(VLOOKUP(H1341, De_Para!A:B, 2, FALSE), "NÃO MAPEADO"))</f>
        <v/>
      </c>
    </row>
    <row r="1342">
      <c r="A1342" s="2" t="inlineStr">
        <is>
          <t>68344</t>
        </is>
      </c>
      <c r="B1342" s="2" t="inlineStr">
        <is>
          <t>Sicredi SNI</t>
        </is>
      </c>
      <c r="C1342" s="2" t="inlineStr">
        <is>
          <t>10/06/2026</t>
        </is>
      </c>
      <c r="D1342" s="2" t="inlineStr">
        <is>
          <t>10/06/2026</t>
        </is>
      </c>
      <c r="E1342" s="2" t="inlineStr">
        <is>
          <t>PIX</t>
        </is>
      </c>
      <c r="F1342" s="2" t="inlineStr">
        <is>
          <t>Boleto "56876" do cliente "DORVALINO SILVA FREITAS"</t>
        </is>
      </c>
      <c r="G1342" s="2" t="inlineStr">
        <is>
          <t>system</t>
        </is>
      </c>
      <c r="H1342" s="2" t="inlineStr">
        <is>
          <t>02.03.02.01 : Cobrança Bancaria</t>
        </is>
      </c>
      <c r="I1342" s="2" t="n"/>
      <c r="J1342" s="3" t="n">
        <v>-0.49</v>
      </c>
      <c r="K1342" s="2">
        <f>IF(H1342="02.09 : Outras Saídas", IF(OR(ISNUMBER(SEARCH("CHEQUE COMPE SICREDI", F1342)), ISNUMBER(SEARCH("aniversario", F1342)), ISNUMBER(SEARCH("churrasco", F1342)), ISNUMBER(SEARCH("bolo", F1342)), ISNUMBER(SEARCH("SUPERMERCADO", F1342))), "6.1 Despesas Administrativas (Pessoal)", IF(OR(ISNUMBER(SEARCH("DLKNET", F1342)), ISNUMBER(SEARCH("TESTE", F1342))), "6.1 Despesas Administrativas (Gerais)", IFERROR(VLOOKUP(H1342, De_Para!A:B, 2, FALSE), "NÃO MAPEADO"))), IFERROR(VLOOKUP(H1342, De_Para!A:B, 2, FALSE), "NÃO MAPEADO"))</f>
        <v/>
      </c>
    </row>
    <row r="1343">
      <c r="A1343" s="2" t="inlineStr">
        <is>
          <t>68343</t>
        </is>
      </c>
      <c r="B1343" s="2" t="inlineStr">
        <is>
          <t>Sicredi SNI</t>
        </is>
      </c>
      <c r="C1343" s="2" t="inlineStr">
        <is>
          <t>10/06/2026</t>
        </is>
      </c>
      <c r="D1343" s="2" t="inlineStr">
        <is>
          <t>10/06/2026</t>
        </is>
      </c>
      <c r="E1343" s="2" t="inlineStr">
        <is>
          <t>PIX</t>
        </is>
      </c>
      <c r="F1343" s="2" t="inlineStr">
        <is>
          <t>Boleto "56876" do cliente "DORVALINO SILVA FREITAS"</t>
        </is>
      </c>
      <c r="G1343" s="2" t="inlineStr">
        <is>
          <t>system</t>
        </is>
      </c>
      <c r="H1343" s="2" t="inlineStr">
        <is>
          <t>01.01.01 : Mensalidade</t>
        </is>
      </c>
      <c r="I1343" s="3" t="n">
        <v>105</v>
      </c>
      <c r="J1343" s="2" t="n"/>
      <c r="K1343" s="2">
        <f>IF(H1343="02.09 : Outras Saídas", IF(OR(ISNUMBER(SEARCH("CHEQUE COMPE SICREDI", F1343)), ISNUMBER(SEARCH("aniversario", F1343)), ISNUMBER(SEARCH("churrasco", F1343)), ISNUMBER(SEARCH("bolo", F1343)), ISNUMBER(SEARCH("SUPERMERCADO", F1343))), "6.1 Despesas Administrativas (Pessoal)", IF(OR(ISNUMBER(SEARCH("DLKNET", F1343)), ISNUMBER(SEARCH("TESTE", F1343))), "6.1 Despesas Administrativas (Gerais)", IFERROR(VLOOKUP(H1343, De_Para!A:B, 2, FALSE), "NÃO MAPEADO"))), IFERROR(VLOOKUP(H1343, De_Para!A:B, 2, FALSE), "NÃO MAPEADO"))</f>
        <v/>
      </c>
    </row>
    <row r="1344">
      <c r="A1344" s="2" t="inlineStr">
        <is>
          <t>68342</t>
        </is>
      </c>
      <c r="B1344" s="2" t="inlineStr">
        <is>
          <t>Sicredi SNI</t>
        </is>
      </c>
      <c r="C1344" s="2" t="inlineStr">
        <is>
          <t>10/06/2026</t>
        </is>
      </c>
      <c r="D1344" s="2" t="inlineStr">
        <is>
          <t>10/06/2026</t>
        </is>
      </c>
      <c r="E1344" s="2" t="inlineStr">
        <is>
          <t>PIX</t>
        </is>
      </c>
      <c r="F1344" s="2" t="inlineStr">
        <is>
          <t>Boleto "65500" do cliente "PLACIDO TRINDADE DE OLIVEIRA"</t>
        </is>
      </c>
      <c r="G1344" s="2" t="inlineStr">
        <is>
          <t>system</t>
        </is>
      </c>
      <c r="H1344" s="2" t="inlineStr">
        <is>
          <t>02.03.02.01 : Cobrança Bancaria</t>
        </is>
      </c>
      <c r="I1344" s="2" t="n"/>
      <c r="J1344" s="3" t="n">
        <v>-0.49</v>
      </c>
      <c r="K1344" s="2">
        <f>IF(H1344="02.09 : Outras Saídas", IF(OR(ISNUMBER(SEARCH("CHEQUE COMPE SICREDI", F1344)), ISNUMBER(SEARCH("aniversario", F1344)), ISNUMBER(SEARCH("churrasco", F1344)), ISNUMBER(SEARCH("bolo", F1344)), ISNUMBER(SEARCH("SUPERMERCADO", F1344))), "6.1 Despesas Administrativas (Pessoal)", IF(OR(ISNUMBER(SEARCH("DLKNET", F1344)), ISNUMBER(SEARCH("TESTE", F1344))), "6.1 Despesas Administrativas (Gerais)", IFERROR(VLOOKUP(H1344, De_Para!A:B, 2, FALSE), "NÃO MAPEADO"))), IFERROR(VLOOKUP(H1344, De_Para!A:B, 2, FALSE), "NÃO MAPEADO"))</f>
        <v/>
      </c>
    </row>
    <row r="1345">
      <c r="A1345" s="2" t="inlineStr">
        <is>
          <t>68341</t>
        </is>
      </c>
      <c r="B1345" s="2" t="inlineStr">
        <is>
          <t>Sicredi SNI</t>
        </is>
      </c>
      <c r="C1345" s="2" t="inlineStr">
        <is>
          <t>10/06/2026</t>
        </is>
      </c>
      <c r="D1345" s="2" t="inlineStr">
        <is>
          <t>10/06/2026</t>
        </is>
      </c>
      <c r="E1345" s="2" t="inlineStr">
        <is>
          <t>PIX</t>
        </is>
      </c>
      <c r="F1345" s="2" t="inlineStr">
        <is>
          <t>Boleto "65500" do cliente "PLACIDO TRINDADE DE OLIVEIRA"</t>
        </is>
      </c>
      <c r="G1345" s="2" t="inlineStr">
        <is>
          <t>system</t>
        </is>
      </c>
      <c r="H1345" s="2" t="inlineStr">
        <is>
          <t>01.01.01 : Mensalidade</t>
        </is>
      </c>
      <c r="I1345" s="3" t="n">
        <v>110</v>
      </c>
      <c r="J1345" s="2" t="n"/>
      <c r="K1345" s="2">
        <f>IF(H1345="02.09 : Outras Saídas", IF(OR(ISNUMBER(SEARCH("CHEQUE COMPE SICREDI", F1345)), ISNUMBER(SEARCH("aniversario", F1345)), ISNUMBER(SEARCH("churrasco", F1345)), ISNUMBER(SEARCH("bolo", F1345)), ISNUMBER(SEARCH("SUPERMERCADO", F1345))), "6.1 Despesas Administrativas (Pessoal)", IF(OR(ISNUMBER(SEARCH("DLKNET", F1345)), ISNUMBER(SEARCH("TESTE", F1345))), "6.1 Despesas Administrativas (Gerais)", IFERROR(VLOOKUP(H1345, De_Para!A:B, 2, FALSE), "NÃO MAPEADO"))), IFERROR(VLOOKUP(H1345, De_Para!A:B, 2, FALSE), "NÃO MAPEADO"))</f>
        <v/>
      </c>
    </row>
    <row r="1346">
      <c r="A1346" s="2" t="inlineStr">
        <is>
          <t>68340</t>
        </is>
      </c>
      <c r="B1346" s="2" t="inlineStr">
        <is>
          <t>Sicredi SNI</t>
        </is>
      </c>
      <c r="C1346" s="2" t="inlineStr">
        <is>
          <t>10/06/2026</t>
        </is>
      </c>
      <c r="D1346" s="2" t="inlineStr">
        <is>
          <t>10/06/2026</t>
        </is>
      </c>
      <c r="E1346" s="2" t="inlineStr">
        <is>
          <t>PIX</t>
        </is>
      </c>
      <c r="F1346" s="2" t="inlineStr">
        <is>
          <t>Boleto "66703" do cliente "ADEMIR GRANDO"</t>
        </is>
      </c>
      <c r="G1346" s="2" t="inlineStr">
        <is>
          <t>system</t>
        </is>
      </c>
      <c r="H1346" s="2" t="inlineStr">
        <is>
          <t>02.03.02.01 : Cobrança Bancaria</t>
        </is>
      </c>
      <c r="I1346" s="2" t="n"/>
      <c r="J1346" s="3" t="n">
        <v>-0.49</v>
      </c>
      <c r="K1346" s="2">
        <f>IF(H1346="02.09 : Outras Saídas", IF(OR(ISNUMBER(SEARCH("CHEQUE COMPE SICREDI", F1346)), ISNUMBER(SEARCH("aniversario", F1346)), ISNUMBER(SEARCH("churrasco", F1346)), ISNUMBER(SEARCH("bolo", F1346)), ISNUMBER(SEARCH("SUPERMERCADO", F1346))), "6.1 Despesas Administrativas (Pessoal)", IF(OR(ISNUMBER(SEARCH("DLKNET", F1346)), ISNUMBER(SEARCH("TESTE", F1346))), "6.1 Despesas Administrativas (Gerais)", IFERROR(VLOOKUP(H1346, De_Para!A:B, 2, FALSE), "NÃO MAPEADO"))), IFERROR(VLOOKUP(H1346, De_Para!A:B, 2, FALSE), "NÃO MAPEADO"))</f>
        <v/>
      </c>
    </row>
    <row r="1347">
      <c r="A1347" s="2" t="inlineStr">
        <is>
          <t>68339</t>
        </is>
      </c>
      <c r="B1347" s="2" t="inlineStr">
        <is>
          <t>Sicredi SNI</t>
        </is>
      </c>
      <c r="C1347" s="2" t="inlineStr">
        <is>
          <t>10/06/2026</t>
        </is>
      </c>
      <c r="D1347" s="2" t="inlineStr">
        <is>
          <t>10/06/2026</t>
        </is>
      </c>
      <c r="E1347" s="2" t="inlineStr">
        <is>
          <t>PIX</t>
        </is>
      </c>
      <c r="F1347" s="2" t="inlineStr">
        <is>
          <t>Boleto "66703" do cliente "ADEMIR GRANDO"</t>
        </is>
      </c>
      <c r="G1347" s="2" t="inlineStr">
        <is>
          <t>system</t>
        </is>
      </c>
      <c r="H1347" s="2" t="inlineStr">
        <is>
          <t>01.01.01 : Mensalidade</t>
        </is>
      </c>
      <c r="I1347" s="3" t="n">
        <v>112.38</v>
      </c>
      <c r="J1347" s="2" t="n"/>
      <c r="K1347" s="2">
        <f>IF(H1347="02.09 : Outras Saídas", IF(OR(ISNUMBER(SEARCH("CHEQUE COMPE SICREDI", F1347)), ISNUMBER(SEARCH("aniversario", F1347)), ISNUMBER(SEARCH("churrasco", F1347)), ISNUMBER(SEARCH("bolo", F1347)), ISNUMBER(SEARCH("SUPERMERCADO", F1347))), "6.1 Despesas Administrativas (Pessoal)", IF(OR(ISNUMBER(SEARCH("DLKNET", F1347)), ISNUMBER(SEARCH("TESTE", F1347))), "6.1 Despesas Administrativas (Gerais)", IFERROR(VLOOKUP(H1347, De_Para!A:B, 2, FALSE), "NÃO MAPEADO"))), IFERROR(VLOOKUP(H1347, De_Para!A:B, 2, FALSE), "NÃO MAPEADO"))</f>
        <v/>
      </c>
    </row>
    <row r="1348">
      <c r="A1348" s="2" t="inlineStr">
        <is>
          <t>68338</t>
        </is>
      </c>
      <c r="B1348" s="2" t="inlineStr">
        <is>
          <t>Sicredi SNI</t>
        </is>
      </c>
      <c r="C1348" s="2" t="inlineStr">
        <is>
          <t>10/06/2026</t>
        </is>
      </c>
      <c r="D1348" s="2" t="inlineStr">
        <is>
          <t>10/06/2026</t>
        </is>
      </c>
      <c r="E1348" s="2" t="inlineStr">
        <is>
          <t>PIX</t>
        </is>
      </c>
      <c r="F1348" s="2" t="inlineStr">
        <is>
          <t>Boleto "58552" do cliente "ALESSANDRO APARECIDO ANTONIO"</t>
        </is>
      </c>
      <c r="G1348" s="2" t="inlineStr">
        <is>
          <t>system</t>
        </is>
      </c>
      <c r="H1348" s="2" t="inlineStr">
        <is>
          <t>02.03.02.01 : Cobrança Bancaria</t>
        </is>
      </c>
      <c r="I1348" s="2" t="n"/>
      <c r="J1348" s="3" t="n">
        <v>-0.49</v>
      </c>
      <c r="K1348" s="2">
        <f>IF(H1348="02.09 : Outras Saídas", IF(OR(ISNUMBER(SEARCH("CHEQUE COMPE SICREDI", F1348)), ISNUMBER(SEARCH("aniversario", F1348)), ISNUMBER(SEARCH("churrasco", F1348)), ISNUMBER(SEARCH("bolo", F1348)), ISNUMBER(SEARCH("SUPERMERCADO", F1348))), "6.1 Despesas Administrativas (Pessoal)", IF(OR(ISNUMBER(SEARCH("DLKNET", F1348)), ISNUMBER(SEARCH("TESTE", F1348))), "6.1 Despesas Administrativas (Gerais)", IFERROR(VLOOKUP(H1348, De_Para!A:B, 2, FALSE), "NÃO MAPEADO"))), IFERROR(VLOOKUP(H1348, De_Para!A:B, 2, FALSE), "NÃO MAPEADO"))</f>
        <v/>
      </c>
    </row>
    <row r="1349">
      <c r="A1349" s="2" t="inlineStr">
        <is>
          <t>68337</t>
        </is>
      </c>
      <c r="B1349" s="2" t="inlineStr">
        <is>
          <t>Sicredi SNI</t>
        </is>
      </c>
      <c r="C1349" s="2" t="inlineStr">
        <is>
          <t>10/06/2026</t>
        </is>
      </c>
      <c r="D1349" s="2" t="inlineStr">
        <is>
          <t>10/06/2026</t>
        </is>
      </c>
      <c r="E1349" s="2" t="inlineStr">
        <is>
          <t>PIX</t>
        </is>
      </c>
      <c r="F1349" s="2" t="inlineStr">
        <is>
          <t>Boleto "58552" do cliente "ALESSANDRO APARECIDO ANTONIO"</t>
        </is>
      </c>
      <c r="G1349" s="2" t="inlineStr">
        <is>
          <t>system</t>
        </is>
      </c>
      <c r="H1349" s="2" t="inlineStr">
        <is>
          <t>01.01.01 : Mensalidade</t>
        </is>
      </c>
      <c r="I1349" s="3" t="n">
        <v>100</v>
      </c>
      <c r="J1349" s="2" t="n"/>
      <c r="K1349" s="2">
        <f>IF(H1349="02.09 : Outras Saídas", IF(OR(ISNUMBER(SEARCH("CHEQUE COMPE SICREDI", F1349)), ISNUMBER(SEARCH("aniversario", F1349)), ISNUMBER(SEARCH("churrasco", F1349)), ISNUMBER(SEARCH("bolo", F1349)), ISNUMBER(SEARCH("SUPERMERCADO", F1349))), "6.1 Despesas Administrativas (Pessoal)", IF(OR(ISNUMBER(SEARCH("DLKNET", F1349)), ISNUMBER(SEARCH("TESTE", F1349))), "6.1 Despesas Administrativas (Gerais)", IFERROR(VLOOKUP(H1349, De_Para!A:B, 2, FALSE), "NÃO MAPEADO"))), IFERROR(VLOOKUP(H1349, De_Para!A:B, 2, FALSE), "NÃO MAPEADO"))</f>
        <v/>
      </c>
    </row>
    <row r="1350">
      <c r="A1350" s="2" t="inlineStr">
        <is>
          <t>68336</t>
        </is>
      </c>
      <c r="B1350" s="2" t="inlineStr">
        <is>
          <t>Sicredi SNI</t>
        </is>
      </c>
      <c r="C1350" s="2" t="inlineStr">
        <is>
          <t>10/06/2026</t>
        </is>
      </c>
      <c r="D1350" s="2" t="inlineStr">
        <is>
          <t>09/06/2026</t>
        </is>
      </c>
      <c r="E1350" s="2" t="inlineStr">
        <is>
          <t>Dinheiro</t>
        </is>
      </c>
      <c r="F1350" s="2" t="inlineStr">
        <is>
          <t>Boleto "63979" do cliente "ELIVELTON JOSE FELICIANO"</t>
        </is>
      </c>
      <c r="G1350" s="2" t="inlineStr">
        <is>
          <t>system</t>
        </is>
      </c>
      <c r="H1350" s="2" t="inlineStr">
        <is>
          <t>02.03.02.01 : Cobrança Bancaria</t>
        </is>
      </c>
      <c r="I1350" s="2" t="n"/>
      <c r="J1350" s="3" t="n">
        <v>-1.08</v>
      </c>
      <c r="K1350" s="2">
        <f>IF(H1350="02.09 : Outras Saídas", IF(OR(ISNUMBER(SEARCH("CHEQUE COMPE SICREDI", F1350)), ISNUMBER(SEARCH("aniversario", F1350)), ISNUMBER(SEARCH("churrasco", F1350)), ISNUMBER(SEARCH("bolo", F1350)), ISNUMBER(SEARCH("SUPERMERCADO", F1350))), "6.1 Despesas Administrativas (Pessoal)", IF(OR(ISNUMBER(SEARCH("DLKNET", F1350)), ISNUMBER(SEARCH("TESTE", F1350))), "6.1 Despesas Administrativas (Gerais)", IFERROR(VLOOKUP(H1350, De_Para!A:B, 2, FALSE), "NÃO MAPEADO"))), IFERROR(VLOOKUP(H1350, De_Para!A:B, 2, FALSE), "NÃO MAPEADO"))</f>
        <v/>
      </c>
    </row>
    <row r="1351">
      <c r="A1351" s="2" t="inlineStr">
        <is>
          <t>68335</t>
        </is>
      </c>
      <c r="B1351" s="2" t="inlineStr">
        <is>
          <t>Sicredi SNI</t>
        </is>
      </c>
      <c r="C1351" s="2" t="inlineStr">
        <is>
          <t>10/06/2026</t>
        </is>
      </c>
      <c r="D1351" s="2" t="inlineStr">
        <is>
          <t>09/06/2026</t>
        </is>
      </c>
      <c r="E1351" s="2" t="inlineStr">
        <is>
          <t>Dinheiro</t>
        </is>
      </c>
      <c r="F1351" s="2" t="inlineStr">
        <is>
          <t>Boleto "63979" do cliente "ELIVELTON JOSE FELICIANO"</t>
        </is>
      </c>
      <c r="G1351" s="2" t="inlineStr">
        <is>
          <t>system</t>
        </is>
      </c>
      <c r="H1351" s="2" t="inlineStr">
        <is>
          <t>01.01.01 : Mensalidade</t>
        </is>
      </c>
      <c r="I1351" s="3" t="n">
        <v>104.9</v>
      </c>
      <c r="J1351" s="2" t="n"/>
      <c r="K1351" s="2">
        <f>IF(H1351="02.09 : Outras Saídas", IF(OR(ISNUMBER(SEARCH("CHEQUE COMPE SICREDI", F1351)), ISNUMBER(SEARCH("aniversario", F1351)), ISNUMBER(SEARCH("churrasco", F1351)), ISNUMBER(SEARCH("bolo", F1351)), ISNUMBER(SEARCH("SUPERMERCADO", F1351))), "6.1 Despesas Administrativas (Pessoal)", IF(OR(ISNUMBER(SEARCH("DLKNET", F1351)), ISNUMBER(SEARCH("TESTE", F1351))), "6.1 Despesas Administrativas (Gerais)", IFERROR(VLOOKUP(H1351, De_Para!A:B, 2, FALSE), "NÃO MAPEADO"))), IFERROR(VLOOKUP(H1351, De_Para!A:B, 2, FALSE), "NÃO MAPEADO"))</f>
        <v/>
      </c>
    </row>
    <row r="1352">
      <c r="A1352" s="2" t="inlineStr">
        <is>
          <t>68334</t>
        </is>
      </c>
      <c r="B1352" s="2" t="inlineStr">
        <is>
          <t>Sicoob</t>
        </is>
      </c>
      <c r="C1352" s="2" t="inlineStr">
        <is>
          <t>10/06/2026</t>
        </is>
      </c>
      <c r="D1352" s="2" t="inlineStr">
        <is>
          <t>09/06/2026</t>
        </is>
      </c>
      <c r="E1352" s="2" t="inlineStr">
        <is>
          <t>Dinheiro</t>
        </is>
      </c>
      <c r="F1352" s="2" t="inlineStr">
        <is>
          <t>Boleto "58497" do cliente "BENEDITO RODRIGUES TEIXEIRA"</t>
        </is>
      </c>
      <c r="G1352" s="2" t="inlineStr">
        <is>
          <t>system</t>
        </is>
      </c>
      <c r="H1352" s="2" t="inlineStr">
        <is>
          <t>02.03.02.01 : Cobrança Bancaria</t>
        </is>
      </c>
      <c r="I1352" s="2" t="n"/>
      <c r="J1352" s="3" t="n">
        <v>-0.3</v>
      </c>
      <c r="K1352" s="2">
        <f>IF(H1352="02.09 : Outras Saídas", IF(OR(ISNUMBER(SEARCH("CHEQUE COMPE SICREDI", F1352)), ISNUMBER(SEARCH("aniversario", F1352)), ISNUMBER(SEARCH("churrasco", F1352)), ISNUMBER(SEARCH("bolo", F1352)), ISNUMBER(SEARCH("SUPERMERCADO", F1352))), "6.1 Despesas Administrativas (Pessoal)", IF(OR(ISNUMBER(SEARCH("DLKNET", F1352)), ISNUMBER(SEARCH("TESTE", F1352))), "6.1 Despesas Administrativas (Gerais)", IFERROR(VLOOKUP(H1352, De_Para!A:B, 2, FALSE), "NÃO MAPEADO"))), IFERROR(VLOOKUP(H1352, De_Para!A:B, 2, FALSE), "NÃO MAPEADO"))</f>
        <v/>
      </c>
    </row>
    <row r="1353">
      <c r="A1353" s="2" t="inlineStr">
        <is>
          <t>68333</t>
        </is>
      </c>
      <c r="B1353" s="2" t="inlineStr">
        <is>
          <t>Sicoob</t>
        </is>
      </c>
      <c r="C1353" s="2" t="inlineStr">
        <is>
          <t>10/06/2026</t>
        </is>
      </c>
      <c r="D1353" s="2" t="inlineStr">
        <is>
          <t>09/06/2026</t>
        </is>
      </c>
      <c r="E1353" s="2" t="inlineStr">
        <is>
          <t>Dinheiro</t>
        </is>
      </c>
      <c r="F1353" s="2" t="inlineStr">
        <is>
          <t>Boleto "58497" do cliente "BENEDITO RODRIGUES TEIXEIRA"</t>
        </is>
      </c>
      <c r="G1353" s="2" t="inlineStr">
        <is>
          <t>system</t>
        </is>
      </c>
      <c r="H1353" s="2" t="inlineStr">
        <is>
          <t>01.01.01 : Mensalidade</t>
        </is>
      </c>
      <c r="I1353" s="3" t="n">
        <v>105</v>
      </c>
      <c r="J1353" s="2" t="n"/>
      <c r="K1353" s="2">
        <f>IF(H1353="02.09 : Outras Saídas", IF(OR(ISNUMBER(SEARCH("CHEQUE COMPE SICREDI", F1353)), ISNUMBER(SEARCH("aniversario", F1353)), ISNUMBER(SEARCH("churrasco", F1353)), ISNUMBER(SEARCH("bolo", F1353)), ISNUMBER(SEARCH("SUPERMERCADO", F1353))), "6.1 Despesas Administrativas (Pessoal)", IF(OR(ISNUMBER(SEARCH("DLKNET", F1353)), ISNUMBER(SEARCH("TESTE", F1353))), "6.1 Despesas Administrativas (Gerais)", IFERROR(VLOOKUP(H1353, De_Para!A:B, 2, FALSE), "NÃO MAPEADO"))), IFERROR(VLOOKUP(H1353, De_Para!A:B, 2, FALSE), "NÃO MAPEADO"))</f>
        <v/>
      </c>
    </row>
    <row r="1354">
      <c r="A1354" s="2" t="inlineStr">
        <is>
          <t>68332</t>
        </is>
      </c>
      <c r="B1354" s="2" t="inlineStr">
        <is>
          <t>Sicoob</t>
        </is>
      </c>
      <c r="C1354" s="2" t="inlineStr">
        <is>
          <t>10/06/2026</t>
        </is>
      </c>
      <c r="D1354" s="2" t="inlineStr">
        <is>
          <t>09/06/2026</t>
        </is>
      </c>
      <c r="E1354" s="2" t="inlineStr">
        <is>
          <t>Dinheiro</t>
        </is>
      </c>
      <c r="F1354" s="2" t="inlineStr">
        <is>
          <t>Boleto "56505" do cliente "JOSE SAULO SEBASTIÃO"</t>
        </is>
      </c>
      <c r="G1354" s="2" t="inlineStr">
        <is>
          <t>system</t>
        </is>
      </c>
      <c r="H1354" s="2" t="inlineStr">
        <is>
          <t>02.03.02.01 : Cobrança Bancaria</t>
        </is>
      </c>
      <c r="I1354" s="2" t="n"/>
      <c r="J1354" s="3" t="n">
        <v>-0.88</v>
      </c>
      <c r="K1354" s="2">
        <f>IF(H1354="02.09 : Outras Saídas", IF(OR(ISNUMBER(SEARCH("CHEQUE COMPE SICREDI", F1354)), ISNUMBER(SEARCH("aniversario", F1354)), ISNUMBER(SEARCH("churrasco", F1354)), ISNUMBER(SEARCH("bolo", F1354)), ISNUMBER(SEARCH("SUPERMERCADO", F1354))), "6.1 Despesas Administrativas (Pessoal)", IF(OR(ISNUMBER(SEARCH("DLKNET", F1354)), ISNUMBER(SEARCH("TESTE", F1354))), "6.1 Despesas Administrativas (Gerais)", IFERROR(VLOOKUP(H1354, De_Para!A:B, 2, FALSE), "NÃO MAPEADO"))), IFERROR(VLOOKUP(H1354, De_Para!A:B, 2, FALSE), "NÃO MAPEADO"))</f>
        <v/>
      </c>
    </row>
    <row r="1355">
      <c r="A1355" s="2" t="inlineStr">
        <is>
          <t>68331</t>
        </is>
      </c>
      <c r="B1355" s="2" t="inlineStr">
        <is>
          <t>Sicoob</t>
        </is>
      </c>
      <c r="C1355" s="2" t="inlineStr">
        <is>
          <t>10/06/2026</t>
        </is>
      </c>
      <c r="D1355" s="2" t="inlineStr">
        <is>
          <t>09/06/2026</t>
        </is>
      </c>
      <c r="E1355" s="2" t="inlineStr">
        <is>
          <t>Dinheiro</t>
        </is>
      </c>
      <c r="F1355" s="2" t="inlineStr">
        <is>
          <t>Boleto "56505" do cliente "JOSE SAULO SEBASTIÃO"</t>
        </is>
      </c>
      <c r="G1355" s="2" t="inlineStr">
        <is>
          <t>system</t>
        </is>
      </c>
      <c r="H1355" s="2" t="inlineStr">
        <is>
          <t>01.01.01 : Mensalidade</t>
        </is>
      </c>
      <c r="I1355" s="3" t="n">
        <v>105</v>
      </c>
      <c r="J1355" s="2" t="n"/>
      <c r="K1355" s="2">
        <f>IF(H1355="02.09 : Outras Saídas", IF(OR(ISNUMBER(SEARCH("CHEQUE COMPE SICREDI", F1355)), ISNUMBER(SEARCH("aniversario", F1355)), ISNUMBER(SEARCH("churrasco", F1355)), ISNUMBER(SEARCH("bolo", F1355)), ISNUMBER(SEARCH("SUPERMERCADO", F1355))), "6.1 Despesas Administrativas (Pessoal)", IF(OR(ISNUMBER(SEARCH("DLKNET", F1355)), ISNUMBER(SEARCH("TESTE", F1355))), "6.1 Despesas Administrativas (Gerais)", IFERROR(VLOOKUP(H1355, De_Para!A:B, 2, FALSE), "NÃO MAPEADO"))), IFERROR(VLOOKUP(H1355, De_Para!A:B, 2, FALSE), "NÃO MAPEADO"))</f>
        <v/>
      </c>
    </row>
    <row r="1356">
      <c r="A1356" s="2" t="inlineStr">
        <is>
          <t>68330</t>
        </is>
      </c>
      <c r="B1356" s="2" t="inlineStr">
        <is>
          <t>Sicoob</t>
        </is>
      </c>
      <c r="C1356" s="2" t="inlineStr">
        <is>
          <t>10/06/2026</t>
        </is>
      </c>
      <c r="D1356" s="2" t="inlineStr">
        <is>
          <t>09/06/2026</t>
        </is>
      </c>
      <c r="E1356" s="2" t="inlineStr">
        <is>
          <t>Dinheiro</t>
        </is>
      </c>
      <c r="F1356" s="2" t="inlineStr">
        <is>
          <t>Boleto "55704" do cliente "MARIA FRANCISCA MARCONDES BONINI"</t>
        </is>
      </c>
      <c r="G1356" s="2" t="inlineStr">
        <is>
          <t>system</t>
        </is>
      </c>
      <c r="H1356" s="2" t="inlineStr">
        <is>
          <t>02.03.02.01 : Cobrança Bancaria</t>
        </is>
      </c>
      <c r="I1356" s="2" t="n"/>
      <c r="J1356" s="3" t="n">
        <v>-0.3</v>
      </c>
      <c r="K1356" s="2">
        <f>IF(H1356="02.09 : Outras Saídas", IF(OR(ISNUMBER(SEARCH("CHEQUE COMPE SICREDI", F1356)), ISNUMBER(SEARCH("aniversario", F1356)), ISNUMBER(SEARCH("churrasco", F1356)), ISNUMBER(SEARCH("bolo", F1356)), ISNUMBER(SEARCH("SUPERMERCADO", F1356))), "6.1 Despesas Administrativas (Pessoal)", IF(OR(ISNUMBER(SEARCH("DLKNET", F1356)), ISNUMBER(SEARCH("TESTE", F1356))), "6.1 Despesas Administrativas (Gerais)", IFERROR(VLOOKUP(H1356, De_Para!A:B, 2, FALSE), "NÃO MAPEADO"))), IFERROR(VLOOKUP(H1356, De_Para!A:B, 2, FALSE), "NÃO MAPEADO"))</f>
        <v/>
      </c>
    </row>
    <row r="1357">
      <c r="A1357" s="2" t="inlineStr">
        <is>
          <t>68329</t>
        </is>
      </c>
      <c r="B1357" s="2" t="inlineStr">
        <is>
          <t>Sicoob</t>
        </is>
      </c>
      <c r="C1357" s="2" t="inlineStr">
        <is>
          <t>10/06/2026</t>
        </is>
      </c>
      <c r="D1357" s="2" t="inlineStr">
        <is>
          <t>09/06/2026</t>
        </is>
      </c>
      <c r="E1357" s="2" t="inlineStr">
        <is>
          <t>Dinheiro</t>
        </is>
      </c>
      <c r="F1357" s="2" t="inlineStr">
        <is>
          <t>Boleto "55704" do cliente "MARIA FRANCISCA MARCONDES BONINI"</t>
        </is>
      </c>
      <c r="G1357" s="2" t="inlineStr">
        <is>
          <t>system</t>
        </is>
      </c>
      <c r="H1357" s="2" t="inlineStr">
        <is>
          <t>01.01.01 : Mensalidade</t>
        </is>
      </c>
      <c r="I1357" s="3" t="n">
        <v>105</v>
      </c>
      <c r="J1357" s="2" t="n"/>
      <c r="K1357" s="2">
        <f>IF(H1357="02.09 : Outras Saídas", IF(OR(ISNUMBER(SEARCH("CHEQUE COMPE SICREDI", F1357)), ISNUMBER(SEARCH("aniversario", F1357)), ISNUMBER(SEARCH("churrasco", F1357)), ISNUMBER(SEARCH("bolo", F1357)), ISNUMBER(SEARCH("SUPERMERCADO", F1357))), "6.1 Despesas Administrativas (Pessoal)", IF(OR(ISNUMBER(SEARCH("DLKNET", F1357)), ISNUMBER(SEARCH("TESTE", F1357))), "6.1 Despesas Administrativas (Gerais)", IFERROR(VLOOKUP(H1357, De_Para!A:B, 2, FALSE), "NÃO MAPEADO"))), IFERROR(VLOOKUP(H1357, De_Para!A:B, 2, FALSE), "NÃO MAPEADO"))</f>
        <v/>
      </c>
    </row>
    <row r="1358">
      <c r="A1358" s="2" t="inlineStr">
        <is>
          <t>68328</t>
        </is>
      </c>
      <c r="B1358" s="2" t="inlineStr">
        <is>
          <t>Sicredi SNI</t>
        </is>
      </c>
      <c r="C1358" s="2" t="inlineStr">
        <is>
          <t>09/06/2026</t>
        </is>
      </c>
      <c r="D1358" s="2" t="inlineStr">
        <is>
          <t>09/06/2026</t>
        </is>
      </c>
      <c r="E1358" s="2" t="inlineStr">
        <is>
          <t>PIX</t>
        </is>
      </c>
      <c r="F1358" s="2" t="inlineStr">
        <is>
          <t>Boleto "55828" do cliente "NIVALDO JOSÉ APARECIDO DO PRADO"</t>
        </is>
      </c>
      <c r="G1358" s="2" t="inlineStr">
        <is>
          <t>system</t>
        </is>
      </c>
      <c r="H1358" s="2" t="inlineStr">
        <is>
          <t>02.03.02.01 : Cobrança Bancaria</t>
        </is>
      </c>
      <c r="I1358" s="2" t="n"/>
      <c r="J1358" s="3" t="n">
        <v>-0.49</v>
      </c>
      <c r="K1358" s="2">
        <f>IF(H1358="02.09 : Outras Saídas", IF(OR(ISNUMBER(SEARCH("CHEQUE COMPE SICREDI", F1358)), ISNUMBER(SEARCH("aniversario", F1358)), ISNUMBER(SEARCH("churrasco", F1358)), ISNUMBER(SEARCH("bolo", F1358)), ISNUMBER(SEARCH("SUPERMERCADO", F1358))), "6.1 Despesas Administrativas (Pessoal)", IF(OR(ISNUMBER(SEARCH("DLKNET", F1358)), ISNUMBER(SEARCH("TESTE", F1358))), "6.1 Despesas Administrativas (Gerais)", IFERROR(VLOOKUP(H1358, De_Para!A:B, 2, FALSE), "NÃO MAPEADO"))), IFERROR(VLOOKUP(H1358, De_Para!A:B, 2, FALSE), "NÃO MAPEADO"))</f>
        <v/>
      </c>
    </row>
    <row r="1359">
      <c r="A1359" s="2" t="inlineStr">
        <is>
          <t>68327</t>
        </is>
      </c>
      <c r="B1359" s="2" t="inlineStr">
        <is>
          <t>Sicredi SNI</t>
        </is>
      </c>
      <c r="C1359" s="2" t="inlineStr">
        <is>
          <t>09/06/2026</t>
        </is>
      </c>
      <c r="D1359" s="2" t="inlineStr">
        <is>
          <t>09/06/2026</t>
        </is>
      </c>
      <c r="E1359" s="2" t="inlineStr">
        <is>
          <t>PIX</t>
        </is>
      </c>
      <c r="F1359" s="2" t="inlineStr">
        <is>
          <t>Boleto "55828" do cliente "NIVALDO JOSÉ APARECIDO DO PRADO"</t>
        </is>
      </c>
      <c r="G1359" s="2" t="inlineStr">
        <is>
          <t>system</t>
        </is>
      </c>
      <c r="H1359" s="2" t="inlineStr">
        <is>
          <t>01.01.01 : Mensalidade</t>
        </is>
      </c>
      <c r="I1359" s="3" t="n">
        <v>105</v>
      </c>
      <c r="J1359" s="2" t="n"/>
      <c r="K1359" s="2">
        <f>IF(H1359="02.09 : Outras Saídas", IF(OR(ISNUMBER(SEARCH("CHEQUE COMPE SICREDI", F1359)), ISNUMBER(SEARCH("aniversario", F1359)), ISNUMBER(SEARCH("churrasco", F1359)), ISNUMBER(SEARCH("bolo", F1359)), ISNUMBER(SEARCH("SUPERMERCADO", F1359))), "6.1 Despesas Administrativas (Pessoal)", IF(OR(ISNUMBER(SEARCH("DLKNET", F1359)), ISNUMBER(SEARCH("TESTE", F1359))), "6.1 Despesas Administrativas (Gerais)", IFERROR(VLOOKUP(H1359, De_Para!A:B, 2, FALSE), "NÃO MAPEADO"))), IFERROR(VLOOKUP(H1359, De_Para!A:B, 2, FALSE), "NÃO MAPEADO"))</f>
        <v/>
      </c>
    </row>
    <row r="1360">
      <c r="A1360" s="2" t="inlineStr">
        <is>
          <t>68326</t>
        </is>
      </c>
      <c r="B1360" s="2" t="inlineStr">
        <is>
          <t>Sicredi SNI</t>
        </is>
      </c>
      <c r="C1360" s="2" t="inlineStr">
        <is>
          <t>09/06/2026</t>
        </is>
      </c>
      <c r="D1360" s="2" t="inlineStr">
        <is>
          <t>09/06/2026</t>
        </is>
      </c>
      <c r="E1360" s="2" t="inlineStr">
        <is>
          <t>Dinheiro</t>
        </is>
      </c>
      <c r="F1360" s="2" t="inlineStr">
        <is>
          <t>Boleto "63969" do cliente "SIDNEY JUVENCIO"</t>
        </is>
      </c>
      <c r="G1360" s="2" t="inlineStr">
        <is>
          <t>system</t>
        </is>
      </c>
      <c r="H1360" s="2" t="inlineStr">
        <is>
          <t>02.03.02.01 : Cobrança Bancaria</t>
        </is>
      </c>
      <c r="I1360" s="2" t="n"/>
      <c r="J1360" s="3" t="n">
        <v>-1.08</v>
      </c>
      <c r="K1360" s="2">
        <f>IF(H1360="02.09 : Outras Saídas", IF(OR(ISNUMBER(SEARCH("CHEQUE COMPE SICREDI", F1360)), ISNUMBER(SEARCH("aniversario", F1360)), ISNUMBER(SEARCH("churrasco", F1360)), ISNUMBER(SEARCH("bolo", F1360)), ISNUMBER(SEARCH("SUPERMERCADO", F1360))), "6.1 Despesas Administrativas (Pessoal)", IF(OR(ISNUMBER(SEARCH("DLKNET", F1360)), ISNUMBER(SEARCH("TESTE", F1360))), "6.1 Despesas Administrativas (Gerais)", IFERROR(VLOOKUP(H1360, De_Para!A:B, 2, FALSE), "NÃO MAPEADO"))), IFERROR(VLOOKUP(H1360, De_Para!A:B, 2, FALSE), "NÃO MAPEADO"))</f>
        <v/>
      </c>
    </row>
    <row r="1361">
      <c r="A1361" s="2" t="inlineStr">
        <is>
          <t>68325</t>
        </is>
      </c>
      <c r="B1361" s="2" t="inlineStr">
        <is>
          <t>Sicredi SNI</t>
        </is>
      </c>
      <c r="C1361" s="2" t="inlineStr">
        <is>
          <t>09/06/2026</t>
        </is>
      </c>
      <c r="D1361" s="2" t="inlineStr">
        <is>
          <t>09/06/2026</t>
        </is>
      </c>
      <c r="E1361" s="2" t="inlineStr">
        <is>
          <t>Dinheiro</t>
        </is>
      </c>
      <c r="F1361" s="2" t="inlineStr">
        <is>
          <t>Boleto "63969" do cliente "SIDNEY JUVENCIO"</t>
        </is>
      </c>
      <c r="G1361" s="2" t="inlineStr">
        <is>
          <t>system</t>
        </is>
      </c>
      <c r="H1361" s="2" t="inlineStr">
        <is>
          <t>01.01.01 : Mensalidade</t>
        </is>
      </c>
      <c r="I1361" s="3" t="n">
        <v>104.9</v>
      </c>
      <c r="J1361" s="2" t="n"/>
      <c r="K1361" s="2">
        <f>IF(H1361="02.09 : Outras Saídas", IF(OR(ISNUMBER(SEARCH("CHEQUE COMPE SICREDI", F1361)), ISNUMBER(SEARCH("aniversario", F1361)), ISNUMBER(SEARCH("churrasco", F1361)), ISNUMBER(SEARCH("bolo", F1361)), ISNUMBER(SEARCH("SUPERMERCADO", F1361))), "6.1 Despesas Administrativas (Pessoal)", IF(OR(ISNUMBER(SEARCH("DLKNET", F1361)), ISNUMBER(SEARCH("TESTE", F1361))), "6.1 Despesas Administrativas (Gerais)", IFERROR(VLOOKUP(H1361, De_Para!A:B, 2, FALSE), "NÃO MAPEADO"))), IFERROR(VLOOKUP(H1361, De_Para!A:B, 2, FALSE), "NÃO MAPEADO"))</f>
        <v/>
      </c>
    </row>
    <row r="1362">
      <c r="A1362" s="2" t="inlineStr">
        <is>
          <t>68324</t>
        </is>
      </c>
      <c r="B1362" s="2" t="inlineStr">
        <is>
          <t>Sicoob</t>
        </is>
      </c>
      <c r="C1362" s="2" t="inlineStr">
        <is>
          <t>09/06/2026</t>
        </is>
      </c>
      <c r="D1362" s="2" t="inlineStr">
        <is>
          <t>09/06/2026</t>
        </is>
      </c>
      <c r="E1362" s="2" t="inlineStr">
        <is>
          <t>Dinheiro</t>
        </is>
      </c>
      <c r="F1362" s="2" t="inlineStr">
        <is>
          <t>Boleto "66359" do cliente "VALDIR LEROIS BONDARIK"</t>
        </is>
      </c>
      <c r="G1362" s="2" t="inlineStr">
        <is>
          <t>system</t>
        </is>
      </c>
      <c r="H1362" s="2" t="inlineStr">
        <is>
          <t>02.03.02.01 : Cobrança Bancaria</t>
        </is>
      </c>
      <c r="I1362" s="2" t="n"/>
      <c r="J1362" s="3" t="n">
        <v>-0.88</v>
      </c>
      <c r="K1362" s="2">
        <f>IF(H1362="02.09 : Outras Saídas", IF(OR(ISNUMBER(SEARCH("CHEQUE COMPE SICREDI", F1362)), ISNUMBER(SEARCH("aniversario", F1362)), ISNUMBER(SEARCH("churrasco", F1362)), ISNUMBER(SEARCH("bolo", F1362)), ISNUMBER(SEARCH("SUPERMERCADO", F1362))), "6.1 Despesas Administrativas (Pessoal)", IF(OR(ISNUMBER(SEARCH("DLKNET", F1362)), ISNUMBER(SEARCH("TESTE", F1362))), "6.1 Despesas Administrativas (Gerais)", IFERROR(VLOOKUP(H1362, De_Para!A:B, 2, FALSE), "NÃO MAPEADO"))), IFERROR(VLOOKUP(H1362, De_Para!A:B, 2, FALSE), "NÃO MAPEADO"))</f>
        <v/>
      </c>
    </row>
    <row r="1363">
      <c r="A1363" s="2" t="inlineStr">
        <is>
          <t>68323</t>
        </is>
      </c>
      <c r="B1363" s="2" t="inlineStr">
        <is>
          <t>Sicoob</t>
        </is>
      </c>
      <c r="C1363" s="2" t="inlineStr">
        <is>
          <t>09/06/2026</t>
        </is>
      </c>
      <c r="D1363" s="2" t="inlineStr">
        <is>
          <t>09/06/2026</t>
        </is>
      </c>
      <c r="E1363" s="2" t="inlineStr">
        <is>
          <t>Dinheiro</t>
        </is>
      </c>
      <c r="F1363" s="2" t="inlineStr">
        <is>
          <t>Boleto "66359" do cliente "VALDIR LEROIS BONDARIK"</t>
        </is>
      </c>
      <c r="G1363" s="2" t="inlineStr">
        <is>
          <t>system</t>
        </is>
      </c>
      <c r="H1363" s="2" t="inlineStr">
        <is>
          <t>01.01.01 : Mensalidade</t>
        </is>
      </c>
      <c r="I1363" s="3" t="n">
        <v>99.90000000000001</v>
      </c>
      <c r="J1363" s="2" t="n"/>
      <c r="K1363" s="2">
        <f>IF(H1363="02.09 : Outras Saídas", IF(OR(ISNUMBER(SEARCH("CHEQUE COMPE SICREDI", F1363)), ISNUMBER(SEARCH("aniversario", F1363)), ISNUMBER(SEARCH("churrasco", F1363)), ISNUMBER(SEARCH("bolo", F1363)), ISNUMBER(SEARCH("SUPERMERCADO", F1363))), "6.1 Despesas Administrativas (Pessoal)", IF(OR(ISNUMBER(SEARCH("DLKNET", F1363)), ISNUMBER(SEARCH("TESTE", F1363))), "6.1 Despesas Administrativas (Gerais)", IFERROR(VLOOKUP(H1363, De_Para!A:B, 2, FALSE), "NÃO MAPEADO"))), IFERROR(VLOOKUP(H1363, De_Para!A:B, 2, FALSE), "NÃO MAPEADO"))</f>
        <v/>
      </c>
    </row>
    <row r="1364">
      <c r="A1364" s="2" t="inlineStr">
        <is>
          <t>68322</t>
        </is>
      </c>
      <c r="B1364" s="2" t="inlineStr">
        <is>
          <t>Sicoob</t>
        </is>
      </c>
      <c r="C1364" s="2" t="inlineStr">
        <is>
          <t>09/06/2026</t>
        </is>
      </c>
      <c r="D1364" s="2" t="inlineStr">
        <is>
          <t>09/06/2026</t>
        </is>
      </c>
      <c r="E1364" s="2" t="inlineStr">
        <is>
          <t>Dinheiro</t>
        </is>
      </c>
      <c r="F1364" s="2" t="inlineStr">
        <is>
          <t>Boleto "65522" do cliente "ANTONIO FERREIRA DA SILVA"</t>
        </is>
      </c>
      <c r="G1364" s="2" t="inlineStr">
        <is>
          <t>system</t>
        </is>
      </c>
      <c r="H1364" s="2" t="inlineStr">
        <is>
          <t>02.03.02.01 : Cobrança Bancaria</t>
        </is>
      </c>
      <c r="I1364" s="2" t="n"/>
      <c r="J1364" s="3" t="n">
        <v>-0.88</v>
      </c>
      <c r="K1364" s="2">
        <f>IF(H1364="02.09 : Outras Saídas", IF(OR(ISNUMBER(SEARCH("CHEQUE COMPE SICREDI", F1364)), ISNUMBER(SEARCH("aniversario", F1364)), ISNUMBER(SEARCH("churrasco", F1364)), ISNUMBER(SEARCH("bolo", F1364)), ISNUMBER(SEARCH("SUPERMERCADO", F1364))), "6.1 Despesas Administrativas (Pessoal)", IF(OR(ISNUMBER(SEARCH("DLKNET", F1364)), ISNUMBER(SEARCH("TESTE", F1364))), "6.1 Despesas Administrativas (Gerais)", IFERROR(VLOOKUP(H1364, De_Para!A:B, 2, FALSE), "NÃO MAPEADO"))), IFERROR(VLOOKUP(H1364, De_Para!A:B, 2, FALSE), "NÃO MAPEADO"))</f>
        <v/>
      </c>
    </row>
    <row r="1365">
      <c r="A1365" s="2" t="inlineStr">
        <is>
          <t>68321</t>
        </is>
      </c>
      <c r="B1365" s="2" t="inlineStr">
        <is>
          <t>Sicoob</t>
        </is>
      </c>
      <c r="C1365" s="2" t="inlineStr">
        <is>
          <t>09/06/2026</t>
        </is>
      </c>
      <c r="D1365" s="2" t="inlineStr">
        <is>
          <t>09/06/2026</t>
        </is>
      </c>
      <c r="E1365" s="2" t="inlineStr">
        <is>
          <t>Dinheiro</t>
        </is>
      </c>
      <c r="F1365" s="2" t="inlineStr">
        <is>
          <t>Boleto "65522" do cliente "ANTONIO FERREIRA DA SILVA"</t>
        </is>
      </c>
      <c r="G1365" s="2" t="inlineStr">
        <is>
          <t>system</t>
        </is>
      </c>
      <c r="H1365" s="2" t="inlineStr">
        <is>
          <t>01.01.01 : Mensalidade</t>
        </is>
      </c>
      <c r="I1365" s="3" t="n">
        <v>104.9</v>
      </c>
      <c r="J1365" s="2" t="n"/>
      <c r="K1365" s="2">
        <f>IF(H1365="02.09 : Outras Saídas", IF(OR(ISNUMBER(SEARCH("CHEQUE COMPE SICREDI", F1365)), ISNUMBER(SEARCH("aniversario", F1365)), ISNUMBER(SEARCH("churrasco", F1365)), ISNUMBER(SEARCH("bolo", F1365)), ISNUMBER(SEARCH("SUPERMERCADO", F1365))), "6.1 Despesas Administrativas (Pessoal)", IF(OR(ISNUMBER(SEARCH("DLKNET", F1365)), ISNUMBER(SEARCH("TESTE", F1365))), "6.1 Despesas Administrativas (Gerais)", IFERROR(VLOOKUP(H1365, De_Para!A:B, 2, FALSE), "NÃO MAPEADO"))), IFERROR(VLOOKUP(H1365, De_Para!A:B, 2, FALSE), "NÃO MAPEADO"))</f>
        <v/>
      </c>
    </row>
    <row r="1366">
      <c r="A1366" s="2" t="inlineStr">
        <is>
          <t>68320</t>
        </is>
      </c>
      <c r="B1366" s="2" t="inlineStr">
        <is>
          <t>Sicoob</t>
        </is>
      </c>
      <c r="C1366" s="2" t="inlineStr">
        <is>
          <t>09/06/2026</t>
        </is>
      </c>
      <c r="D1366" s="2" t="inlineStr">
        <is>
          <t>09/06/2026</t>
        </is>
      </c>
      <c r="E1366" s="2" t="inlineStr">
        <is>
          <t>Dinheiro</t>
        </is>
      </c>
      <c r="F1366" s="2" t="inlineStr">
        <is>
          <t>Boleto "62845" do cliente "ELISAMARA RIBEIRO DE SOUZA GOMES"</t>
        </is>
      </c>
      <c r="G1366" s="2" t="inlineStr">
        <is>
          <t>system</t>
        </is>
      </c>
      <c r="H1366" s="2" t="inlineStr">
        <is>
          <t>02.03.02.01 : Cobrança Bancaria</t>
        </is>
      </c>
      <c r="I1366" s="2" t="n"/>
      <c r="J1366" s="3" t="n">
        <v>-0.88</v>
      </c>
      <c r="K1366" s="2">
        <f>IF(H1366="02.09 : Outras Saídas", IF(OR(ISNUMBER(SEARCH("CHEQUE COMPE SICREDI", F1366)), ISNUMBER(SEARCH("aniversario", F1366)), ISNUMBER(SEARCH("churrasco", F1366)), ISNUMBER(SEARCH("bolo", F1366)), ISNUMBER(SEARCH("SUPERMERCADO", F1366))), "6.1 Despesas Administrativas (Pessoal)", IF(OR(ISNUMBER(SEARCH("DLKNET", F1366)), ISNUMBER(SEARCH("TESTE", F1366))), "6.1 Despesas Administrativas (Gerais)", IFERROR(VLOOKUP(H1366, De_Para!A:B, 2, FALSE), "NÃO MAPEADO"))), IFERROR(VLOOKUP(H1366, De_Para!A:B, 2, FALSE), "NÃO MAPEADO"))</f>
        <v/>
      </c>
    </row>
    <row r="1367">
      <c r="A1367" s="2" t="inlineStr">
        <is>
          <t>68319</t>
        </is>
      </c>
      <c r="B1367" s="2" t="inlineStr">
        <is>
          <t>Sicoob</t>
        </is>
      </c>
      <c r="C1367" s="2" t="inlineStr">
        <is>
          <t>09/06/2026</t>
        </is>
      </c>
      <c r="D1367" s="2" t="inlineStr">
        <is>
          <t>09/06/2026</t>
        </is>
      </c>
      <c r="E1367" s="2" t="inlineStr">
        <is>
          <t>Dinheiro</t>
        </is>
      </c>
      <c r="F1367" s="2" t="inlineStr">
        <is>
          <t>Boleto "62845" do cliente "ELISAMARA RIBEIRO DE SOUZA GOMES"</t>
        </is>
      </c>
      <c r="G1367" s="2" t="inlineStr">
        <is>
          <t>system</t>
        </is>
      </c>
      <c r="H1367" s="2" t="inlineStr">
        <is>
          <t>01.01.01 : Mensalidade</t>
        </is>
      </c>
      <c r="I1367" s="3" t="n">
        <v>107.12</v>
      </c>
      <c r="J1367" s="2" t="n"/>
      <c r="K1367" s="2">
        <f>IF(H1367="02.09 : Outras Saídas", IF(OR(ISNUMBER(SEARCH("CHEQUE COMPE SICREDI", F1367)), ISNUMBER(SEARCH("aniversario", F1367)), ISNUMBER(SEARCH("churrasco", F1367)), ISNUMBER(SEARCH("bolo", F1367)), ISNUMBER(SEARCH("SUPERMERCADO", F1367))), "6.1 Despesas Administrativas (Pessoal)", IF(OR(ISNUMBER(SEARCH("DLKNET", F1367)), ISNUMBER(SEARCH("TESTE", F1367))), "6.1 Despesas Administrativas (Gerais)", IFERROR(VLOOKUP(H1367, De_Para!A:B, 2, FALSE), "NÃO MAPEADO"))), IFERROR(VLOOKUP(H1367, De_Para!A:B, 2, FALSE), "NÃO MAPEADO"))</f>
        <v/>
      </c>
    </row>
    <row r="1368">
      <c r="A1368" s="2" t="inlineStr">
        <is>
          <t>68318</t>
        </is>
      </c>
      <c r="B1368" s="2" t="inlineStr">
        <is>
          <t>Sicoob</t>
        </is>
      </c>
      <c r="C1368" s="2" t="inlineStr">
        <is>
          <t>09/06/2026</t>
        </is>
      </c>
      <c r="D1368" s="2" t="inlineStr">
        <is>
          <t>09/06/2026</t>
        </is>
      </c>
      <c r="E1368" s="2" t="inlineStr">
        <is>
          <t>Dinheiro</t>
        </is>
      </c>
      <c r="F1368" s="2" t="inlineStr">
        <is>
          <t>Boleto "57890" do cliente "NOBRE AGROPECUARIA LTDA"</t>
        </is>
      </c>
      <c r="G1368" s="2" t="inlineStr">
        <is>
          <t>system</t>
        </is>
      </c>
      <c r="H1368" s="2" t="inlineStr">
        <is>
          <t>02.03.02.01 : Cobrança Bancaria</t>
        </is>
      </c>
      <c r="I1368" s="2" t="n"/>
      <c r="J1368" s="3" t="n">
        <v>-0.88</v>
      </c>
      <c r="K1368" s="2">
        <f>IF(H1368="02.09 : Outras Saídas", IF(OR(ISNUMBER(SEARCH("CHEQUE COMPE SICREDI", F1368)), ISNUMBER(SEARCH("aniversario", F1368)), ISNUMBER(SEARCH("churrasco", F1368)), ISNUMBER(SEARCH("bolo", F1368)), ISNUMBER(SEARCH("SUPERMERCADO", F1368))), "6.1 Despesas Administrativas (Pessoal)", IF(OR(ISNUMBER(SEARCH("DLKNET", F1368)), ISNUMBER(SEARCH("TESTE", F1368))), "6.1 Despesas Administrativas (Gerais)", IFERROR(VLOOKUP(H1368, De_Para!A:B, 2, FALSE), "NÃO MAPEADO"))), IFERROR(VLOOKUP(H1368, De_Para!A:B, 2, FALSE), "NÃO MAPEADO"))</f>
        <v/>
      </c>
    </row>
    <row r="1369">
      <c r="A1369" s="2" t="inlineStr">
        <is>
          <t>68317</t>
        </is>
      </c>
      <c r="B1369" s="2" t="inlineStr">
        <is>
          <t>Sicoob</t>
        </is>
      </c>
      <c r="C1369" s="2" t="inlineStr">
        <is>
          <t>09/06/2026</t>
        </is>
      </c>
      <c r="D1369" s="2" t="inlineStr">
        <is>
          <t>09/06/2026</t>
        </is>
      </c>
      <c r="E1369" s="2" t="inlineStr">
        <is>
          <t>Dinheiro</t>
        </is>
      </c>
      <c r="F1369" s="2" t="inlineStr">
        <is>
          <t>Boleto "57890" do cliente "NOBRE AGROPECUARIA LTDA"</t>
        </is>
      </c>
      <c r="G1369" s="2" t="inlineStr">
        <is>
          <t>system</t>
        </is>
      </c>
      <c r="H1369" s="2" t="inlineStr">
        <is>
          <t>01.01.01 : Mensalidade</t>
        </is>
      </c>
      <c r="I1369" s="3" t="n">
        <v>110</v>
      </c>
      <c r="J1369" s="2" t="n"/>
      <c r="K1369" s="2">
        <f>IF(H1369="02.09 : Outras Saídas", IF(OR(ISNUMBER(SEARCH("CHEQUE COMPE SICREDI", F1369)), ISNUMBER(SEARCH("aniversario", F1369)), ISNUMBER(SEARCH("churrasco", F1369)), ISNUMBER(SEARCH("bolo", F1369)), ISNUMBER(SEARCH("SUPERMERCADO", F1369))), "6.1 Despesas Administrativas (Pessoal)", IF(OR(ISNUMBER(SEARCH("DLKNET", F1369)), ISNUMBER(SEARCH("TESTE", F1369))), "6.1 Despesas Administrativas (Gerais)", IFERROR(VLOOKUP(H1369, De_Para!A:B, 2, FALSE), "NÃO MAPEADO"))), IFERROR(VLOOKUP(H1369, De_Para!A:B, 2, FALSE), "NÃO MAPEADO"))</f>
        <v/>
      </c>
    </row>
    <row r="1370">
      <c r="A1370" s="2" t="inlineStr">
        <is>
          <t>68316</t>
        </is>
      </c>
      <c r="B1370" s="2" t="inlineStr">
        <is>
          <t>Sicoob</t>
        </is>
      </c>
      <c r="C1370" s="2" t="inlineStr">
        <is>
          <t>09/06/2026</t>
        </is>
      </c>
      <c r="D1370" s="2" t="inlineStr">
        <is>
          <t>09/06/2026</t>
        </is>
      </c>
      <c r="E1370" s="2" t="inlineStr">
        <is>
          <t>Dinheiro</t>
        </is>
      </c>
      <c r="F1370" s="2" t="inlineStr">
        <is>
          <t>Boleto "56485" do cliente "CLEIA MACHADO"</t>
        </is>
      </c>
      <c r="G1370" s="2" t="inlineStr">
        <is>
          <t>system</t>
        </is>
      </c>
      <c r="H1370" s="2" t="inlineStr">
        <is>
          <t>02.03.02.01 : Cobrança Bancaria</t>
        </is>
      </c>
      <c r="I1370" s="2" t="n"/>
      <c r="J1370" s="3" t="n">
        <v>-0.88</v>
      </c>
      <c r="K1370" s="2">
        <f>IF(H1370="02.09 : Outras Saídas", IF(OR(ISNUMBER(SEARCH("CHEQUE COMPE SICREDI", F1370)), ISNUMBER(SEARCH("aniversario", F1370)), ISNUMBER(SEARCH("churrasco", F1370)), ISNUMBER(SEARCH("bolo", F1370)), ISNUMBER(SEARCH("SUPERMERCADO", F1370))), "6.1 Despesas Administrativas (Pessoal)", IF(OR(ISNUMBER(SEARCH("DLKNET", F1370)), ISNUMBER(SEARCH("TESTE", F1370))), "6.1 Despesas Administrativas (Gerais)", IFERROR(VLOOKUP(H1370, De_Para!A:B, 2, FALSE), "NÃO MAPEADO"))), IFERROR(VLOOKUP(H1370, De_Para!A:B, 2, FALSE), "NÃO MAPEADO"))</f>
        <v/>
      </c>
    </row>
    <row r="1371">
      <c r="A1371" s="2" t="inlineStr">
        <is>
          <t>68315</t>
        </is>
      </c>
      <c r="B1371" s="2" t="inlineStr">
        <is>
          <t>Sicoob</t>
        </is>
      </c>
      <c r="C1371" s="2" t="inlineStr">
        <is>
          <t>09/06/2026</t>
        </is>
      </c>
      <c r="D1371" s="2" t="inlineStr">
        <is>
          <t>09/06/2026</t>
        </is>
      </c>
      <c r="E1371" s="2" t="inlineStr">
        <is>
          <t>Dinheiro</t>
        </is>
      </c>
      <c r="F1371" s="2" t="inlineStr">
        <is>
          <t>Boleto "56485" do cliente "CLEIA MACHADO"</t>
        </is>
      </c>
      <c r="G1371" s="2" t="inlineStr">
        <is>
          <t>system</t>
        </is>
      </c>
      <c r="H1371" s="2" t="inlineStr">
        <is>
          <t>01.01.01 : Mensalidade</t>
        </is>
      </c>
      <c r="I1371" s="3" t="n">
        <v>100</v>
      </c>
      <c r="J1371" s="2" t="n"/>
      <c r="K1371" s="2">
        <f>IF(H1371="02.09 : Outras Saídas", IF(OR(ISNUMBER(SEARCH("CHEQUE COMPE SICREDI", F1371)), ISNUMBER(SEARCH("aniversario", F1371)), ISNUMBER(SEARCH("churrasco", F1371)), ISNUMBER(SEARCH("bolo", F1371)), ISNUMBER(SEARCH("SUPERMERCADO", F1371))), "6.1 Despesas Administrativas (Pessoal)", IF(OR(ISNUMBER(SEARCH("DLKNET", F1371)), ISNUMBER(SEARCH("TESTE", F1371))), "6.1 Despesas Administrativas (Gerais)", IFERROR(VLOOKUP(H1371, De_Para!A:B, 2, FALSE), "NÃO MAPEADO"))), IFERROR(VLOOKUP(H1371, De_Para!A:B, 2, FALSE), "NÃO MAPEADO"))</f>
        <v/>
      </c>
    </row>
    <row r="1372">
      <c r="A1372" s="2" t="inlineStr">
        <is>
          <t>68314</t>
        </is>
      </c>
      <c r="B1372" s="2" t="inlineStr">
        <is>
          <t>Sicoob</t>
        </is>
      </c>
      <c r="C1372" s="2" t="inlineStr">
        <is>
          <t>09/06/2026</t>
        </is>
      </c>
      <c r="D1372" s="2" t="inlineStr">
        <is>
          <t>09/06/2026</t>
        </is>
      </c>
      <c r="E1372" s="2" t="inlineStr">
        <is>
          <t>Dinheiro</t>
        </is>
      </c>
      <c r="F1372" s="2" t="inlineStr">
        <is>
          <t>Boleto "56385" do cliente "MARTA APARECIDA DA ROSA"</t>
        </is>
      </c>
      <c r="G1372" s="2" t="inlineStr">
        <is>
          <t>system</t>
        </is>
      </c>
      <c r="H1372" s="2" t="inlineStr">
        <is>
          <t>02.03.02.01 : Cobrança Bancaria</t>
        </is>
      </c>
      <c r="I1372" s="2" t="n"/>
      <c r="J1372" s="3" t="n">
        <v>-0.88</v>
      </c>
      <c r="K1372" s="2">
        <f>IF(H1372="02.09 : Outras Saídas", IF(OR(ISNUMBER(SEARCH("CHEQUE COMPE SICREDI", F1372)), ISNUMBER(SEARCH("aniversario", F1372)), ISNUMBER(SEARCH("churrasco", F1372)), ISNUMBER(SEARCH("bolo", F1372)), ISNUMBER(SEARCH("SUPERMERCADO", F1372))), "6.1 Despesas Administrativas (Pessoal)", IF(OR(ISNUMBER(SEARCH("DLKNET", F1372)), ISNUMBER(SEARCH("TESTE", F1372))), "6.1 Despesas Administrativas (Gerais)", IFERROR(VLOOKUP(H1372, De_Para!A:B, 2, FALSE), "NÃO MAPEADO"))), IFERROR(VLOOKUP(H1372, De_Para!A:B, 2, FALSE), "NÃO MAPEADO"))</f>
        <v/>
      </c>
    </row>
    <row r="1373">
      <c r="A1373" s="2" t="inlineStr">
        <is>
          <t>68313</t>
        </is>
      </c>
      <c r="B1373" s="2" t="inlineStr">
        <is>
          <t>Sicoob</t>
        </is>
      </c>
      <c r="C1373" s="2" t="inlineStr">
        <is>
          <t>09/06/2026</t>
        </is>
      </c>
      <c r="D1373" s="2" t="inlineStr">
        <is>
          <t>09/06/2026</t>
        </is>
      </c>
      <c r="E1373" s="2" t="inlineStr">
        <is>
          <t>Dinheiro</t>
        </is>
      </c>
      <c r="F1373" s="2" t="inlineStr">
        <is>
          <t>Boleto "56385" do cliente "MARTA APARECIDA DA ROSA"</t>
        </is>
      </c>
      <c r="G1373" s="2" t="inlineStr">
        <is>
          <t>system</t>
        </is>
      </c>
      <c r="H1373" s="2" t="inlineStr">
        <is>
          <t>01.01.01 : Mensalidade</t>
        </is>
      </c>
      <c r="I1373" s="3" t="n">
        <v>80</v>
      </c>
      <c r="J1373" s="2" t="n"/>
      <c r="K1373" s="2">
        <f>IF(H1373="02.09 : Outras Saídas", IF(OR(ISNUMBER(SEARCH("CHEQUE COMPE SICREDI", F1373)), ISNUMBER(SEARCH("aniversario", F1373)), ISNUMBER(SEARCH("churrasco", F1373)), ISNUMBER(SEARCH("bolo", F1373)), ISNUMBER(SEARCH("SUPERMERCADO", F1373))), "6.1 Despesas Administrativas (Pessoal)", IF(OR(ISNUMBER(SEARCH("DLKNET", F1373)), ISNUMBER(SEARCH("TESTE", F1373))), "6.1 Despesas Administrativas (Gerais)", IFERROR(VLOOKUP(H1373, De_Para!A:B, 2, FALSE), "NÃO MAPEADO"))), IFERROR(VLOOKUP(H1373, De_Para!A:B, 2, FALSE), "NÃO MAPEADO"))</f>
        <v/>
      </c>
    </row>
    <row r="1374">
      <c r="A1374" s="2" t="inlineStr">
        <is>
          <t>68312</t>
        </is>
      </c>
      <c r="B1374" s="2" t="inlineStr">
        <is>
          <t>Sicoob</t>
        </is>
      </c>
      <c r="C1374" s="2" t="inlineStr">
        <is>
          <t>09/06/2026</t>
        </is>
      </c>
      <c r="D1374" s="2" t="inlineStr">
        <is>
          <t>09/06/2026</t>
        </is>
      </c>
      <c r="E1374" s="2" t="inlineStr">
        <is>
          <t>Dinheiro</t>
        </is>
      </c>
      <c r="F1374" s="2" t="inlineStr">
        <is>
          <t>Boleto "56239" do cliente "MARLI RODRIGUES DE MOURA"</t>
        </is>
      </c>
      <c r="G1374" s="2" t="inlineStr">
        <is>
          <t>system</t>
        </is>
      </c>
      <c r="H1374" s="2" t="inlineStr">
        <is>
          <t>02.03.02.01 : Cobrança Bancaria</t>
        </is>
      </c>
      <c r="I1374" s="2" t="n"/>
      <c r="J1374" s="3" t="n">
        <v>-0.88</v>
      </c>
      <c r="K1374" s="2">
        <f>IF(H1374="02.09 : Outras Saídas", IF(OR(ISNUMBER(SEARCH("CHEQUE COMPE SICREDI", F1374)), ISNUMBER(SEARCH("aniversario", F1374)), ISNUMBER(SEARCH("churrasco", F1374)), ISNUMBER(SEARCH("bolo", F1374)), ISNUMBER(SEARCH("SUPERMERCADO", F1374))), "6.1 Despesas Administrativas (Pessoal)", IF(OR(ISNUMBER(SEARCH("DLKNET", F1374)), ISNUMBER(SEARCH("TESTE", F1374))), "6.1 Despesas Administrativas (Gerais)", IFERROR(VLOOKUP(H1374, De_Para!A:B, 2, FALSE), "NÃO MAPEADO"))), IFERROR(VLOOKUP(H1374, De_Para!A:B, 2, FALSE), "NÃO MAPEADO"))</f>
        <v/>
      </c>
    </row>
    <row r="1375">
      <c r="A1375" s="2" t="inlineStr">
        <is>
          <t>68311</t>
        </is>
      </c>
      <c r="B1375" s="2" t="inlineStr">
        <is>
          <t>Sicoob</t>
        </is>
      </c>
      <c r="C1375" s="2" t="inlineStr">
        <is>
          <t>09/06/2026</t>
        </is>
      </c>
      <c r="D1375" s="2" t="inlineStr">
        <is>
          <t>09/06/2026</t>
        </is>
      </c>
      <c r="E1375" s="2" t="inlineStr">
        <is>
          <t>Dinheiro</t>
        </is>
      </c>
      <c r="F1375" s="2" t="inlineStr">
        <is>
          <t>Boleto "56239" do cliente "MARLI RODRIGUES DE MOURA"</t>
        </is>
      </c>
      <c r="G1375" s="2" t="inlineStr">
        <is>
          <t>system</t>
        </is>
      </c>
      <c r="H1375" s="2" t="inlineStr">
        <is>
          <t>01.03.01 : Mensalidade</t>
        </is>
      </c>
      <c r="I1375" s="3" t="n">
        <v>105</v>
      </c>
      <c r="J1375" s="2" t="n"/>
      <c r="K1375" s="2">
        <f>IF(H1375="02.09 : Outras Saídas", IF(OR(ISNUMBER(SEARCH("CHEQUE COMPE SICREDI", F1375)), ISNUMBER(SEARCH("aniversario", F1375)), ISNUMBER(SEARCH("churrasco", F1375)), ISNUMBER(SEARCH("bolo", F1375)), ISNUMBER(SEARCH("SUPERMERCADO", F1375))), "6.1 Despesas Administrativas (Pessoal)", IF(OR(ISNUMBER(SEARCH("DLKNET", F1375)), ISNUMBER(SEARCH("TESTE", F1375))), "6.1 Despesas Administrativas (Gerais)", IFERROR(VLOOKUP(H1375, De_Para!A:B, 2, FALSE), "NÃO MAPEADO"))), IFERROR(VLOOKUP(H1375, De_Para!A:B, 2, FALSE), "NÃO MAPEADO"))</f>
        <v/>
      </c>
    </row>
    <row r="1376">
      <c r="A1376" s="2" t="inlineStr">
        <is>
          <t>68310</t>
        </is>
      </c>
      <c r="B1376" s="2" t="inlineStr">
        <is>
          <t>Sicoob</t>
        </is>
      </c>
      <c r="C1376" s="2" t="inlineStr">
        <is>
          <t>09/06/2026</t>
        </is>
      </c>
      <c r="D1376" s="2" t="inlineStr">
        <is>
          <t>09/06/2026</t>
        </is>
      </c>
      <c r="E1376" s="2" t="inlineStr">
        <is>
          <t>Dinheiro</t>
        </is>
      </c>
      <c r="F1376" s="2" t="inlineStr">
        <is>
          <t>Boleto "56098" do cliente "MARIA DE LOURDES TREVISAN"</t>
        </is>
      </c>
      <c r="G1376" s="2" t="inlineStr">
        <is>
          <t>system</t>
        </is>
      </c>
      <c r="H1376" s="2" t="inlineStr">
        <is>
          <t>02.03.02.01 : Cobrança Bancaria</t>
        </is>
      </c>
      <c r="I1376" s="2" t="n"/>
      <c r="J1376" s="3" t="n">
        <v>-0.88</v>
      </c>
      <c r="K1376" s="2">
        <f>IF(H1376="02.09 : Outras Saídas", IF(OR(ISNUMBER(SEARCH("CHEQUE COMPE SICREDI", F1376)), ISNUMBER(SEARCH("aniversario", F1376)), ISNUMBER(SEARCH("churrasco", F1376)), ISNUMBER(SEARCH("bolo", F1376)), ISNUMBER(SEARCH("SUPERMERCADO", F1376))), "6.1 Despesas Administrativas (Pessoal)", IF(OR(ISNUMBER(SEARCH("DLKNET", F1376)), ISNUMBER(SEARCH("TESTE", F1376))), "6.1 Despesas Administrativas (Gerais)", IFERROR(VLOOKUP(H1376, De_Para!A:B, 2, FALSE), "NÃO MAPEADO"))), IFERROR(VLOOKUP(H1376, De_Para!A:B, 2, FALSE), "NÃO MAPEADO"))</f>
        <v/>
      </c>
    </row>
    <row r="1377">
      <c r="A1377" s="2" t="inlineStr">
        <is>
          <t>68309</t>
        </is>
      </c>
      <c r="B1377" s="2" t="inlineStr">
        <is>
          <t>Sicoob</t>
        </is>
      </c>
      <c r="C1377" s="2" t="inlineStr">
        <is>
          <t>09/06/2026</t>
        </is>
      </c>
      <c r="D1377" s="2" t="inlineStr">
        <is>
          <t>09/06/2026</t>
        </is>
      </c>
      <c r="E1377" s="2" t="inlineStr">
        <is>
          <t>Dinheiro</t>
        </is>
      </c>
      <c r="F1377" s="2" t="inlineStr">
        <is>
          <t>Boleto "56098" do cliente "MARIA DE LOURDES TREVISAN"</t>
        </is>
      </c>
      <c r="G1377" s="2" t="inlineStr">
        <is>
          <t>system</t>
        </is>
      </c>
      <c r="H1377" s="2" t="inlineStr">
        <is>
          <t>01.01.01 : Mensalidade</t>
        </is>
      </c>
      <c r="I1377" s="3" t="n">
        <v>105</v>
      </c>
      <c r="J1377" s="2" t="n"/>
      <c r="K1377" s="2">
        <f>IF(H1377="02.09 : Outras Saídas", IF(OR(ISNUMBER(SEARCH("CHEQUE COMPE SICREDI", F1377)), ISNUMBER(SEARCH("aniversario", F1377)), ISNUMBER(SEARCH("churrasco", F1377)), ISNUMBER(SEARCH("bolo", F1377)), ISNUMBER(SEARCH("SUPERMERCADO", F1377))), "6.1 Despesas Administrativas (Pessoal)", IF(OR(ISNUMBER(SEARCH("DLKNET", F1377)), ISNUMBER(SEARCH("TESTE", F1377))), "6.1 Despesas Administrativas (Gerais)", IFERROR(VLOOKUP(H1377, De_Para!A:B, 2, FALSE), "NÃO MAPEADO"))), IFERROR(VLOOKUP(H1377, De_Para!A:B, 2, FALSE), "NÃO MAPEADO"))</f>
        <v/>
      </c>
    </row>
    <row r="1378">
      <c r="A1378" s="2" t="inlineStr">
        <is>
          <t>68308</t>
        </is>
      </c>
      <c r="B1378" s="2" t="inlineStr">
        <is>
          <t>Sicredi SNI</t>
        </is>
      </c>
      <c r="C1378" s="2" t="inlineStr">
        <is>
          <t>09/06/2026</t>
        </is>
      </c>
      <c r="D1378" s="2" t="inlineStr">
        <is>
          <t>09/06/2026</t>
        </is>
      </c>
      <c r="E1378" s="2" t="inlineStr">
        <is>
          <t>PIX</t>
        </is>
      </c>
      <c r="F1378" s="2" t="inlineStr">
        <is>
          <t>Boleto "63139" do cliente "PATRICIA APARECIDA DA CUNHA CAMARGO"</t>
        </is>
      </c>
      <c r="G1378" s="2" t="inlineStr">
        <is>
          <t>system</t>
        </is>
      </c>
      <c r="H1378" s="2" t="inlineStr">
        <is>
          <t>02.03.02.01 : Cobrança Bancaria</t>
        </is>
      </c>
      <c r="I1378" s="2" t="n"/>
      <c r="J1378" s="3" t="n">
        <v>-0.49</v>
      </c>
      <c r="K1378" s="2">
        <f>IF(H1378="02.09 : Outras Saídas", IF(OR(ISNUMBER(SEARCH("CHEQUE COMPE SICREDI", F1378)), ISNUMBER(SEARCH("aniversario", F1378)), ISNUMBER(SEARCH("churrasco", F1378)), ISNUMBER(SEARCH("bolo", F1378)), ISNUMBER(SEARCH("SUPERMERCADO", F1378))), "6.1 Despesas Administrativas (Pessoal)", IF(OR(ISNUMBER(SEARCH("DLKNET", F1378)), ISNUMBER(SEARCH("TESTE", F1378))), "6.1 Despesas Administrativas (Gerais)", IFERROR(VLOOKUP(H1378, De_Para!A:B, 2, FALSE), "NÃO MAPEADO"))), IFERROR(VLOOKUP(H1378, De_Para!A:B, 2, FALSE), "NÃO MAPEADO"))</f>
        <v/>
      </c>
    </row>
    <row r="1379">
      <c r="A1379" s="2" t="inlineStr">
        <is>
          <t>68307</t>
        </is>
      </c>
      <c r="B1379" s="2" t="inlineStr">
        <is>
          <t>Sicredi SNI</t>
        </is>
      </c>
      <c r="C1379" s="2" t="inlineStr">
        <is>
          <t>09/06/2026</t>
        </is>
      </c>
      <c r="D1379" s="2" t="inlineStr">
        <is>
          <t>09/06/2026</t>
        </is>
      </c>
      <c r="E1379" s="2" t="inlineStr">
        <is>
          <t>PIX</t>
        </is>
      </c>
      <c r="F1379" s="2" t="inlineStr">
        <is>
          <t>Boleto "63139" do cliente "PATRICIA APARECIDA DA CUNHA CAMARGO"</t>
        </is>
      </c>
      <c r="G1379" s="2" t="inlineStr">
        <is>
          <t>system</t>
        </is>
      </c>
      <c r="H1379" s="2" t="inlineStr">
        <is>
          <t>01.01.01 : Mensalidade</t>
        </is>
      </c>
      <c r="I1379" s="3" t="n">
        <v>73.43000000000001</v>
      </c>
      <c r="J1379" s="2" t="n"/>
      <c r="K1379" s="2">
        <f>IF(H1379="02.09 : Outras Saídas", IF(OR(ISNUMBER(SEARCH("CHEQUE COMPE SICREDI", F1379)), ISNUMBER(SEARCH("aniversario", F1379)), ISNUMBER(SEARCH("churrasco", F1379)), ISNUMBER(SEARCH("bolo", F1379)), ISNUMBER(SEARCH("SUPERMERCADO", F1379))), "6.1 Despesas Administrativas (Pessoal)", IF(OR(ISNUMBER(SEARCH("DLKNET", F1379)), ISNUMBER(SEARCH("TESTE", F1379))), "6.1 Despesas Administrativas (Gerais)", IFERROR(VLOOKUP(H1379, De_Para!A:B, 2, FALSE), "NÃO MAPEADO"))), IFERROR(VLOOKUP(H1379, De_Para!A:B, 2, FALSE), "NÃO MAPEADO"))</f>
        <v/>
      </c>
    </row>
    <row r="1380">
      <c r="A1380" s="2" t="inlineStr">
        <is>
          <t>68306</t>
        </is>
      </c>
      <c r="B1380" s="2" t="inlineStr">
        <is>
          <t>Sicredi SNI</t>
        </is>
      </c>
      <c r="C1380" s="2" t="inlineStr">
        <is>
          <t>09/06/2026</t>
        </is>
      </c>
      <c r="D1380" s="2" t="inlineStr">
        <is>
          <t>09/06/2026</t>
        </is>
      </c>
      <c r="E1380" s="2" t="inlineStr">
        <is>
          <t>PIX</t>
        </is>
      </c>
      <c r="F1380" s="2" t="inlineStr">
        <is>
          <t>Boleto "70756" do cliente "FERNANDO JOSE DE CARVALHO"</t>
        </is>
      </c>
      <c r="G1380" s="2" t="inlineStr">
        <is>
          <t>system</t>
        </is>
      </c>
      <c r="H1380" s="2" t="inlineStr">
        <is>
          <t>02.03.02.01 : Cobrança Bancaria</t>
        </is>
      </c>
      <c r="I1380" s="2" t="n"/>
      <c r="J1380" s="3" t="n">
        <v>-0.49</v>
      </c>
      <c r="K1380" s="2">
        <f>IF(H1380="02.09 : Outras Saídas", IF(OR(ISNUMBER(SEARCH("CHEQUE COMPE SICREDI", F1380)), ISNUMBER(SEARCH("aniversario", F1380)), ISNUMBER(SEARCH("churrasco", F1380)), ISNUMBER(SEARCH("bolo", F1380)), ISNUMBER(SEARCH("SUPERMERCADO", F1380))), "6.1 Despesas Administrativas (Pessoal)", IF(OR(ISNUMBER(SEARCH("DLKNET", F1380)), ISNUMBER(SEARCH("TESTE", F1380))), "6.1 Despesas Administrativas (Gerais)", IFERROR(VLOOKUP(H1380, De_Para!A:B, 2, FALSE), "NÃO MAPEADO"))), IFERROR(VLOOKUP(H1380, De_Para!A:B, 2, FALSE), "NÃO MAPEADO"))</f>
        <v/>
      </c>
    </row>
    <row r="1381">
      <c r="A1381" s="2" t="inlineStr">
        <is>
          <t>68305</t>
        </is>
      </c>
      <c r="B1381" s="2" t="inlineStr">
        <is>
          <t>Sicredi SNI</t>
        </is>
      </c>
      <c r="C1381" s="2" t="inlineStr">
        <is>
          <t>09/06/2026</t>
        </is>
      </c>
      <c r="D1381" s="2" t="inlineStr">
        <is>
          <t>09/06/2026</t>
        </is>
      </c>
      <c r="E1381" s="2" t="inlineStr">
        <is>
          <t>PIX</t>
        </is>
      </c>
      <c r="F1381" s="2" t="inlineStr">
        <is>
          <t>Boleto "70756" do cliente "FERNANDO JOSE DE CARVALHO"</t>
        </is>
      </c>
      <c r="G1381" s="2" t="inlineStr">
        <is>
          <t>system</t>
        </is>
      </c>
      <c r="H1381" s="2" t="inlineStr">
        <is>
          <t>01.01.01 : Mensalidade</t>
        </is>
      </c>
      <c r="I1381" s="3" t="n">
        <v>63.99</v>
      </c>
      <c r="J1381" s="2" t="n"/>
      <c r="K1381" s="2">
        <f>IF(H1381="02.09 : Outras Saídas", IF(OR(ISNUMBER(SEARCH("CHEQUE COMPE SICREDI", F1381)), ISNUMBER(SEARCH("aniversario", F1381)), ISNUMBER(SEARCH("churrasco", F1381)), ISNUMBER(SEARCH("bolo", F1381)), ISNUMBER(SEARCH("SUPERMERCADO", F1381))), "6.1 Despesas Administrativas (Pessoal)", IF(OR(ISNUMBER(SEARCH("DLKNET", F1381)), ISNUMBER(SEARCH("TESTE", F1381))), "6.1 Despesas Administrativas (Gerais)", IFERROR(VLOOKUP(H1381, De_Para!A:B, 2, FALSE), "NÃO MAPEADO"))), IFERROR(VLOOKUP(H1381, De_Para!A:B, 2, FALSE), "NÃO MAPEADO"))</f>
        <v/>
      </c>
    </row>
    <row r="1382">
      <c r="A1382" s="2" t="inlineStr">
        <is>
          <t>68304</t>
        </is>
      </c>
      <c r="B1382" s="2" t="inlineStr">
        <is>
          <t>Sicredi SNI</t>
        </is>
      </c>
      <c r="C1382" s="2" t="inlineStr">
        <is>
          <t>09/06/2026</t>
        </is>
      </c>
      <c r="D1382" s="2" t="inlineStr">
        <is>
          <t>09/06/2026</t>
        </is>
      </c>
      <c r="E1382" s="2" t="inlineStr">
        <is>
          <t>PIX</t>
        </is>
      </c>
      <c r="F1382" s="2" t="inlineStr">
        <is>
          <t>Boleto "62730" do cliente "ALAN MAYCON DE OLIVEIRA"</t>
        </is>
      </c>
      <c r="G1382" s="2" t="inlineStr">
        <is>
          <t>system</t>
        </is>
      </c>
      <c r="H1382" s="2" t="inlineStr">
        <is>
          <t>02.03.02.01 : Cobrança Bancaria</t>
        </is>
      </c>
      <c r="I1382" s="2" t="n"/>
      <c r="J1382" s="3" t="n">
        <v>-0.49</v>
      </c>
      <c r="K1382" s="2">
        <f>IF(H1382="02.09 : Outras Saídas", IF(OR(ISNUMBER(SEARCH("CHEQUE COMPE SICREDI", F1382)), ISNUMBER(SEARCH("aniversario", F1382)), ISNUMBER(SEARCH("churrasco", F1382)), ISNUMBER(SEARCH("bolo", F1382)), ISNUMBER(SEARCH("SUPERMERCADO", F1382))), "6.1 Despesas Administrativas (Pessoal)", IF(OR(ISNUMBER(SEARCH("DLKNET", F1382)), ISNUMBER(SEARCH("TESTE", F1382))), "6.1 Despesas Administrativas (Gerais)", IFERROR(VLOOKUP(H1382, De_Para!A:B, 2, FALSE), "NÃO MAPEADO"))), IFERROR(VLOOKUP(H1382, De_Para!A:B, 2, FALSE), "NÃO MAPEADO"))</f>
        <v/>
      </c>
    </row>
    <row r="1383">
      <c r="A1383" s="2" t="inlineStr">
        <is>
          <t>68303</t>
        </is>
      </c>
      <c r="B1383" s="2" t="inlineStr">
        <is>
          <t>Sicredi SNI</t>
        </is>
      </c>
      <c r="C1383" s="2" t="inlineStr">
        <is>
          <t>09/06/2026</t>
        </is>
      </c>
      <c r="D1383" s="2" t="inlineStr">
        <is>
          <t>09/06/2026</t>
        </is>
      </c>
      <c r="E1383" s="2" t="inlineStr">
        <is>
          <t>PIX</t>
        </is>
      </c>
      <c r="F1383" s="2" t="inlineStr">
        <is>
          <t>Boleto "62730" do cliente "ALAN MAYCON DE OLIVEIRA"</t>
        </is>
      </c>
      <c r="G1383" s="2" t="inlineStr">
        <is>
          <t>system</t>
        </is>
      </c>
      <c r="H1383" s="2" t="inlineStr">
        <is>
          <t>01.01.01 : Mensalidade</t>
        </is>
      </c>
      <c r="I1383" s="3" t="n">
        <v>107.35</v>
      </c>
      <c r="J1383" s="2" t="n"/>
      <c r="K1383" s="2">
        <f>IF(H1383="02.09 : Outras Saídas", IF(OR(ISNUMBER(SEARCH("CHEQUE COMPE SICREDI", F1383)), ISNUMBER(SEARCH("aniversario", F1383)), ISNUMBER(SEARCH("churrasco", F1383)), ISNUMBER(SEARCH("bolo", F1383)), ISNUMBER(SEARCH("SUPERMERCADO", F1383))), "6.1 Despesas Administrativas (Pessoal)", IF(OR(ISNUMBER(SEARCH("DLKNET", F1383)), ISNUMBER(SEARCH("TESTE", F1383))), "6.1 Despesas Administrativas (Gerais)", IFERROR(VLOOKUP(H1383, De_Para!A:B, 2, FALSE), "NÃO MAPEADO"))), IFERROR(VLOOKUP(H1383, De_Para!A:B, 2, FALSE), "NÃO MAPEADO"))</f>
        <v/>
      </c>
    </row>
    <row r="1384">
      <c r="A1384" s="2" t="inlineStr">
        <is>
          <t>68302</t>
        </is>
      </c>
      <c r="B1384" s="2" t="inlineStr">
        <is>
          <t>Sicredi SNI</t>
        </is>
      </c>
      <c r="C1384" s="2" t="inlineStr">
        <is>
          <t>09/06/2026</t>
        </is>
      </c>
      <c r="D1384" s="2" t="inlineStr">
        <is>
          <t>09/06/2026</t>
        </is>
      </c>
      <c r="E1384" s="2" t="inlineStr">
        <is>
          <t>PIX</t>
        </is>
      </c>
      <c r="F1384" s="2" t="inlineStr">
        <is>
          <t>Boleto "57118" do cliente "JOAO DE OLIVEIRA SOARES"</t>
        </is>
      </c>
      <c r="G1384" s="2" t="inlineStr">
        <is>
          <t>system</t>
        </is>
      </c>
      <c r="H1384" s="2" t="inlineStr">
        <is>
          <t>02.03.02.01 : Cobrança Bancaria</t>
        </is>
      </c>
      <c r="I1384" s="2" t="n"/>
      <c r="J1384" s="3" t="n">
        <v>-0.49</v>
      </c>
      <c r="K1384" s="2">
        <f>IF(H1384="02.09 : Outras Saídas", IF(OR(ISNUMBER(SEARCH("CHEQUE COMPE SICREDI", F1384)), ISNUMBER(SEARCH("aniversario", F1384)), ISNUMBER(SEARCH("churrasco", F1384)), ISNUMBER(SEARCH("bolo", F1384)), ISNUMBER(SEARCH("SUPERMERCADO", F1384))), "6.1 Despesas Administrativas (Pessoal)", IF(OR(ISNUMBER(SEARCH("DLKNET", F1384)), ISNUMBER(SEARCH("TESTE", F1384))), "6.1 Despesas Administrativas (Gerais)", IFERROR(VLOOKUP(H1384, De_Para!A:B, 2, FALSE), "NÃO MAPEADO"))), IFERROR(VLOOKUP(H1384, De_Para!A:B, 2, FALSE), "NÃO MAPEADO"))</f>
        <v/>
      </c>
    </row>
    <row r="1385">
      <c r="A1385" s="2" t="inlineStr">
        <is>
          <t>68301</t>
        </is>
      </c>
      <c r="B1385" s="2" t="inlineStr">
        <is>
          <t>Sicredi SNI</t>
        </is>
      </c>
      <c r="C1385" s="2" t="inlineStr">
        <is>
          <t>09/06/2026</t>
        </is>
      </c>
      <c r="D1385" s="2" t="inlineStr">
        <is>
          <t>09/06/2026</t>
        </is>
      </c>
      <c r="E1385" s="2" t="inlineStr">
        <is>
          <t>PIX</t>
        </is>
      </c>
      <c r="F1385" s="2" t="inlineStr">
        <is>
          <t>Boleto "57118" do cliente "JOAO DE OLIVEIRA SOARES"</t>
        </is>
      </c>
      <c r="G1385" s="2" t="inlineStr">
        <is>
          <t>system</t>
        </is>
      </c>
      <c r="H1385" s="2" t="inlineStr">
        <is>
          <t>01.01.01 : Mensalidade</t>
        </is>
      </c>
      <c r="I1385" s="3" t="n">
        <v>110</v>
      </c>
      <c r="J1385" s="2" t="n"/>
      <c r="K1385" s="2">
        <f>IF(H1385="02.09 : Outras Saídas", IF(OR(ISNUMBER(SEARCH("CHEQUE COMPE SICREDI", F1385)), ISNUMBER(SEARCH("aniversario", F1385)), ISNUMBER(SEARCH("churrasco", F1385)), ISNUMBER(SEARCH("bolo", F1385)), ISNUMBER(SEARCH("SUPERMERCADO", F1385))), "6.1 Despesas Administrativas (Pessoal)", IF(OR(ISNUMBER(SEARCH("DLKNET", F1385)), ISNUMBER(SEARCH("TESTE", F1385))), "6.1 Despesas Administrativas (Gerais)", IFERROR(VLOOKUP(H1385, De_Para!A:B, 2, FALSE), "NÃO MAPEADO"))), IFERROR(VLOOKUP(H1385, De_Para!A:B, 2, FALSE), "NÃO MAPEADO"))</f>
        <v/>
      </c>
    </row>
    <row r="1386">
      <c r="A1386" s="2" t="inlineStr">
        <is>
          <t>68300</t>
        </is>
      </c>
      <c r="B1386" s="2" t="inlineStr">
        <is>
          <t>Sicredi SNI</t>
        </is>
      </c>
      <c r="C1386" s="2" t="inlineStr">
        <is>
          <t>09/06/2026</t>
        </is>
      </c>
      <c r="D1386" s="2" t="inlineStr">
        <is>
          <t>09/06/2026</t>
        </is>
      </c>
      <c r="E1386" s="2" t="inlineStr">
        <is>
          <t>PIX</t>
        </is>
      </c>
      <c r="F1386" s="2" t="inlineStr">
        <is>
          <t>Boleto "62824" do cliente "DIRCE MELO DA SILVA"</t>
        </is>
      </c>
      <c r="G1386" s="2" t="inlineStr">
        <is>
          <t>system</t>
        </is>
      </c>
      <c r="H1386" s="2" t="inlineStr">
        <is>
          <t>02.03.02.01 : Cobrança Bancaria</t>
        </is>
      </c>
      <c r="I1386" s="2" t="n"/>
      <c r="J1386" s="3" t="n">
        <v>-0.49</v>
      </c>
      <c r="K1386" s="2">
        <f>IF(H1386="02.09 : Outras Saídas", IF(OR(ISNUMBER(SEARCH("CHEQUE COMPE SICREDI", F1386)), ISNUMBER(SEARCH("aniversario", F1386)), ISNUMBER(SEARCH("churrasco", F1386)), ISNUMBER(SEARCH("bolo", F1386)), ISNUMBER(SEARCH("SUPERMERCADO", F1386))), "6.1 Despesas Administrativas (Pessoal)", IF(OR(ISNUMBER(SEARCH("DLKNET", F1386)), ISNUMBER(SEARCH("TESTE", F1386))), "6.1 Despesas Administrativas (Gerais)", IFERROR(VLOOKUP(H1386, De_Para!A:B, 2, FALSE), "NÃO MAPEADO"))), IFERROR(VLOOKUP(H1386, De_Para!A:B, 2, FALSE), "NÃO MAPEADO"))</f>
        <v/>
      </c>
    </row>
    <row r="1387">
      <c r="A1387" s="2" t="inlineStr">
        <is>
          <t>68299</t>
        </is>
      </c>
      <c r="B1387" s="2" t="inlineStr">
        <is>
          <t>Sicredi SNI</t>
        </is>
      </c>
      <c r="C1387" s="2" t="inlineStr">
        <is>
          <t>09/06/2026</t>
        </is>
      </c>
      <c r="D1387" s="2" t="inlineStr">
        <is>
          <t>09/06/2026</t>
        </is>
      </c>
      <c r="E1387" s="2" t="inlineStr">
        <is>
          <t>PIX</t>
        </is>
      </c>
      <c r="F1387" s="2" t="inlineStr">
        <is>
          <t>Boleto "62824" do cliente "DIRCE MELO DA SILVA"</t>
        </is>
      </c>
      <c r="G1387" s="2" t="inlineStr">
        <is>
          <t>system</t>
        </is>
      </c>
      <c r="H1387" s="2" t="inlineStr">
        <is>
          <t>01.01.01 : Mensalidade</t>
        </is>
      </c>
      <c r="I1387" s="3" t="n">
        <v>104.9</v>
      </c>
      <c r="J1387" s="2" t="n"/>
      <c r="K1387" s="2">
        <f>IF(H1387="02.09 : Outras Saídas", IF(OR(ISNUMBER(SEARCH("CHEQUE COMPE SICREDI", F1387)), ISNUMBER(SEARCH("aniversario", F1387)), ISNUMBER(SEARCH("churrasco", F1387)), ISNUMBER(SEARCH("bolo", F1387)), ISNUMBER(SEARCH("SUPERMERCADO", F1387))), "6.1 Despesas Administrativas (Pessoal)", IF(OR(ISNUMBER(SEARCH("DLKNET", F1387)), ISNUMBER(SEARCH("TESTE", F1387))), "6.1 Despesas Administrativas (Gerais)", IFERROR(VLOOKUP(H1387, De_Para!A:B, 2, FALSE), "NÃO MAPEADO"))), IFERROR(VLOOKUP(H1387, De_Para!A:B, 2, FALSE), "NÃO MAPEADO"))</f>
        <v/>
      </c>
    </row>
    <row r="1388">
      <c r="A1388" s="2" t="inlineStr">
        <is>
          <t>68298</t>
        </is>
      </c>
      <c r="B1388" s="2" t="inlineStr">
        <is>
          <t>Sicredi SNI</t>
        </is>
      </c>
      <c r="C1388" s="2" t="inlineStr">
        <is>
          <t>09/06/2026</t>
        </is>
      </c>
      <c r="D1388" s="2" t="inlineStr">
        <is>
          <t>09/06/2026</t>
        </is>
      </c>
      <c r="E1388" s="2" t="inlineStr">
        <is>
          <t>PIX</t>
        </is>
      </c>
      <c r="F1388" s="2" t="inlineStr">
        <is>
          <t>Boleto "55948" do cliente "SUELEN RODRIGUES"</t>
        </is>
      </c>
      <c r="G1388" s="2" t="inlineStr">
        <is>
          <t>system</t>
        </is>
      </c>
      <c r="H1388" s="2" t="inlineStr">
        <is>
          <t>02.03.02.01 : Cobrança Bancaria</t>
        </is>
      </c>
      <c r="I1388" s="2" t="n"/>
      <c r="J1388" s="3" t="n">
        <v>-0.49</v>
      </c>
      <c r="K1388" s="2">
        <f>IF(H1388="02.09 : Outras Saídas", IF(OR(ISNUMBER(SEARCH("CHEQUE COMPE SICREDI", F1388)), ISNUMBER(SEARCH("aniversario", F1388)), ISNUMBER(SEARCH("churrasco", F1388)), ISNUMBER(SEARCH("bolo", F1388)), ISNUMBER(SEARCH("SUPERMERCADO", F1388))), "6.1 Despesas Administrativas (Pessoal)", IF(OR(ISNUMBER(SEARCH("DLKNET", F1388)), ISNUMBER(SEARCH("TESTE", F1388))), "6.1 Despesas Administrativas (Gerais)", IFERROR(VLOOKUP(H1388, De_Para!A:B, 2, FALSE), "NÃO MAPEADO"))), IFERROR(VLOOKUP(H1388, De_Para!A:B, 2, FALSE), "NÃO MAPEADO"))</f>
        <v/>
      </c>
    </row>
    <row r="1389">
      <c r="A1389" s="2" t="inlineStr">
        <is>
          <t>68297</t>
        </is>
      </c>
      <c r="B1389" s="2" t="inlineStr">
        <is>
          <t>Sicredi SNI</t>
        </is>
      </c>
      <c r="C1389" s="2" t="inlineStr">
        <is>
          <t>09/06/2026</t>
        </is>
      </c>
      <c r="D1389" s="2" t="inlineStr">
        <is>
          <t>09/06/2026</t>
        </is>
      </c>
      <c r="E1389" s="2" t="inlineStr">
        <is>
          <t>PIX</t>
        </is>
      </c>
      <c r="F1389" s="2" t="inlineStr">
        <is>
          <t>Boleto "55948" do cliente "SUELEN RODRIGUES"</t>
        </is>
      </c>
      <c r="G1389" s="2" t="inlineStr">
        <is>
          <t>system</t>
        </is>
      </c>
      <c r="H1389" s="2" t="inlineStr">
        <is>
          <t>01.01.01 : Mensalidade</t>
        </is>
      </c>
      <c r="I1389" s="3" t="n">
        <v>100</v>
      </c>
      <c r="J1389" s="2" t="n"/>
      <c r="K1389" s="2">
        <f>IF(H1389="02.09 : Outras Saídas", IF(OR(ISNUMBER(SEARCH("CHEQUE COMPE SICREDI", F1389)), ISNUMBER(SEARCH("aniversario", F1389)), ISNUMBER(SEARCH("churrasco", F1389)), ISNUMBER(SEARCH("bolo", F1389)), ISNUMBER(SEARCH("SUPERMERCADO", F1389))), "6.1 Despesas Administrativas (Pessoal)", IF(OR(ISNUMBER(SEARCH("DLKNET", F1389)), ISNUMBER(SEARCH("TESTE", F1389))), "6.1 Despesas Administrativas (Gerais)", IFERROR(VLOOKUP(H1389, De_Para!A:B, 2, FALSE), "NÃO MAPEADO"))), IFERROR(VLOOKUP(H1389, De_Para!A:B, 2, FALSE), "NÃO MAPEADO"))</f>
        <v/>
      </c>
    </row>
    <row r="1390">
      <c r="A1390" s="2" t="inlineStr">
        <is>
          <t>68296</t>
        </is>
      </c>
      <c r="B1390" s="2" t="inlineStr">
        <is>
          <t>Sicredi SNI</t>
        </is>
      </c>
      <c r="C1390" s="2" t="inlineStr">
        <is>
          <t>09/06/2026</t>
        </is>
      </c>
      <c r="D1390" s="2" t="inlineStr">
        <is>
          <t>09/06/2026</t>
        </is>
      </c>
      <c r="E1390" s="2" t="inlineStr">
        <is>
          <t>Dinheiro</t>
        </is>
      </c>
      <c r="F1390" s="2" t="inlineStr">
        <is>
          <t>Boleto "65783" do cliente "REGINA APARECIDA FELIZARDO MARTINS"</t>
        </is>
      </c>
      <c r="G1390" s="2" t="inlineStr">
        <is>
          <t>system</t>
        </is>
      </c>
      <c r="H1390" s="2" t="inlineStr">
        <is>
          <t>02.03.02.01 : Cobrança Bancaria</t>
        </is>
      </c>
      <c r="I1390" s="2" t="n"/>
      <c r="J1390" s="3" t="n">
        <v>-1.08</v>
      </c>
      <c r="K1390" s="2">
        <f>IF(H1390="02.09 : Outras Saídas", IF(OR(ISNUMBER(SEARCH("CHEQUE COMPE SICREDI", F1390)), ISNUMBER(SEARCH("aniversario", F1390)), ISNUMBER(SEARCH("churrasco", F1390)), ISNUMBER(SEARCH("bolo", F1390)), ISNUMBER(SEARCH("SUPERMERCADO", F1390))), "6.1 Despesas Administrativas (Pessoal)", IF(OR(ISNUMBER(SEARCH("DLKNET", F1390)), ISNUMBER(SEARCH("TESTE", F1390))), "6.1 Despesas Administrativas (Gerais)", IFERROR(VLOOKUP(H1390, De_Para!A:B, 2, FALSE), "NÃO MAPEADO"))), IFERROR(VLOOKUP(H1390, De_Para!A:B, 2, FALSE), "NÃO MAPEADO"))</f>
        <v/>
      </c>
    </row>
    <row r="1391">
      <c r="A1391" s="2" t="inlineStr">
        <is>
          <t>68295</t>
        </is>
      </c>
      <c r="B1391" s="2" t="inlineStr">
        <is>
          <t>Sicredi SNI</t>
        </is>
      </c>
      <c r="C1391" s="2" t="inlineStr">
        <is>
          <t>09/06/2026</t>
        </is>
      </c>
      <c r="D1391" s="2" t="inlineStr">
        <is>
          <t>09/06/2026</t>
        </is>
      </c>
      <c r="E1391" s="2" t="inlineStr">
        <is>
          <t>Dinheiro</t>
        </is>
      </c>
      <c r="F1391" s="2" t="inlineStr">
        <is>
          <t>Boleto "65783" do cliente "REGINA APARECIDA FELIZARDO MARTINS"</t>
        </is>
      </c>
      <c r="G1391" s="2" t="inlineStr">
        <is>
          <t>system</t>
        </is>
      </c>
      <c r="H1391" s="2" t="inlineStr">
        <is>
          <t>01.01.01 : Mensalidade</t>
        </is>
      </c>
      <c r="I1391" s="3" t="n">
        <v>104.9</v>
      </c>
      <c r="J1391" s="2" t="n"/>
      <c r="K1391" s="2">
        <f>IF(H1391="02.09 : Outras Saídas", IF(OR(ISNUMBER(SEARCH("CHEQUE COMPE SICREDI", F1391)), ISNUMBER(SEARCH("aniversario", F1391)), ISNUMBER(SEARCH("churrasco", F1391)), ISNUMBER(SEARCH("bolo", F1391)), ISNUMBER(SEARCH("SUPERMERCADO", F1391))), "6.1 Despesas Administrativas (Pessoal)", IF(OR(ISNUMBER(SEARCH("DLKNET", F1391)), ISNUMBER(SEARCH("TESTE", F1391))), "6.1 Despesas Administrativas (Gerais)", IFERROR(VLOOKUP(H1391, De_Para!A:B, 2, FALSE), "NÃO MAPEADO"))), IFERROR(VLOOKUP(H1391, De_Para!A:B, 2, FALSE), "NÃO MAPEADO"))</f>
        <v/>
      </c>
    </row>
    <row r="1392">
      <c r="A1392" s="2" t="inlineStr">
        <is>
          <t>68294</t>
        </is>
      </c>
      <c r="B1392" s="2" t="inlineStr">
        <is>
          <t>Sicredi SNI</t>
        </is>
      </c>
      <c r="C1392" s="2" t="inlineStr">
        <is>
          <t>09/06/2026</t>
        </is>
      </c>
      <c r="D1392" s="2" t="inlineStr">
        <is>
          <t>09/06/2026</t>
        </is>
      </c>
      <c r="E1392" s="2" t="inlineStr">
        <is>
          <t>Dinheiro</t>
        </is>
      </c>
      <c r="F1392" s="2" t="inlineStr">
        <is>
          <t>Boleto "63533" do cliente "CLAUDIO VENANCIO DE SIQUEIRA"</t>
        </is>
      </c>
      <c r="G1392" s="2" t="inlineStr">
        <is>
          <t>system</t>
        </is>
      </c>
      <c r="H1392" s="2" t="inlineStr">
        <is>
          <t>02.03.02.01 : Cobrança Bancaria</t>
        </is>
      </c>
      <c r="I1392" s="2" t="n"/>
      <c r="J1392" s="3" t="n">
        <v>-1.08</v>
      </c>
      <c r="K1392" s="2">
        <f>IF(H1392="02.09 : Outras Saídas", IF(OR(ISNUMBER(SEARCH("CHEQUE COMPE SICREDI", F1392)), ISNUMBER(SEARCH("aniversario", F1392)), ISNUMBER(SEARCH("churrasco", F1392)), ISNUMBER(SEARCH("bolo", F1392)), ISNUMBER(SEARCH("SUPERMERCADO", F1392))), "6.1 Despesas Administrativas (Pessoal)", IF(OR(ISNUMBER(SEARCH("DLKNET", F1392)), ISNUMBER(SEARCH("TESTE", F1392))), "6.1 Despesas Administrativas (Gerais)", IFERROR(VLOOKUP(H1392, De_Para!A:B, 2, FALSE), "NÃO MAPEADO"))), IFERROR(VLOOKUP(H1392, De_Para!A:B, 2, FALSE), "NÃO MAPEADO"))</f>
        <v/>
      </c>
    </row>
    <row r="1393">
      <c r="A1393" s="2" t="inlineStr">
        <is>
          <t>68293</t>
        </is>
      </c>
      <c r="B1393" s="2" t="inlineStr">
        <is>
          <t>Sicredi SNI</t>
        </is>
      </c>
      <c r="C1393" s="2" t="inlineStr">
        <is>
          <t>09/06/2026</t>
        </is>
      </c>
      <c r="D1393" s="2" t="inlineStr">
        <is>
          <t>09/06/2026</t>
        </is>
      </c>
      <c r="E1393" s="2" t="inlineStr">
        <is>
          <t>Dinheiro</t>
        </is>
      </c>
      <c r="F1393" s="2" t="inlineStr">
        <is>
          <t>Boleto "63533" do cliente "CLAUDIO VENANCIO DE SIQUEIRA"</t>
        </is>
      </c>
      <c r="G1393" s="2" t="inlineStr">
        <is>
          <t>system</t>
        </is>
      </c>
      <c r="H1393" s="2" t="inlineStr">
        <is>
          <t>01.01.01 : Mensalidade</t>
        </is>
      </c>
      <c r="I1393" s="3" t="n">
        <v>99.90000000000001</v>
      </c>
      <c r="J1393" s="2" t="n"/>
      <c r="K1393" s="2">
        <f>IF(H1393="02.09 : Outras Saídas", IF(OR(ISNUMBER(SEARCH("CHEQUE COMPE SICREDI", F1393)), ISNUMBER(SEARCH("aniversario", F1393)), ISNUMBER(SEARCH("churrasco", F1393)), ISNUMBER(SEARCH("bolo", F1393)), ISNUMBER(SEARCH("SUPERMERCADO", F1393))), "6.1 Despesas Administrativas (Pessoal)", IF(OR(ISNUMBER(SEARCH("DLKNET", F1393)), ISNUMBER(SEARCH("TESTE", F1393))), "6.1 Despesas Administrativas (Gerais)", IFERROR(VLOOKUP(H1393, De_Para!A:B, 2, FALSE), "NÃO MAPEADO"))), IFERROR(VLOOKUP(H1393, De_Para!A:B, 2, FALSE), "NÃO MAPEADO"))</f>
        <v/>
      </c>
    </row>
    <row r="1394">
      <c r="A1394" s="2" t="inlineStr">
        <is>
          <t>68292</t>
        </is>
      </c>
      <c r="B1394" s="2" t="inlineStr">
        <is>
          <t>Sicredi SNI</t>
        </is>
      </c>
      <c r="C1394" s="2" t="inlineStr">
        <is>
          <t>09/06/2026</t>
        </is>
      </c>
      <c r="D1394" s="2" t="inlineStr">
        <is>
          <t>09/06/2026</t>
        </is>
      </c>
      <c r="E1394" s="2" t="inlineStr">
        <is>
          <t>Dinheiro</t>
        </is>
      </c>
      <c r="F1394" s="2" t="inlineStr">
        <is>
          <t>Boleto "58156" do cliente "MARCOS ANTONIO DOMINGUES"</t>
        </is>
      </c>
      <c r="G1394" s="2" t="inlineStr">
        <is>
          <t>system</t>
        </is>
      </c>
      <c r="H1394" s="2" t="inlineStr">
        <is>
          <t>02.03.02.01 : Cobrança Bancaria</t>
        </is>
      </c>
      <c r="I1394" s="2" t="n"/>
      <c r="J1394" s="3" t="n">
        <v>-1.08</v>
      </c>
      <c r="K1394" s="2">
        <f>IF(H1394="02.09 : Outras Saídas", IF(OR(ISNUMBER(SEARCH("CHEQUE COMPE SICREDI", F1394)), ISNUMBER(SEARCH("aniversario", F1394)), ISNUMBER(SEARCH("churrasco", F1394)), ISNUMBER(SEARCH("bolo", F1394)), ISNUMBER(SEARCH("SUPERMERCADO", F1394))), "6.1 Despesas Administrativas (Pessoal)", IF(OR(ISNUMBER(SEARCH("DLKNET", F1394)), ISNUMBER(SEARCH("TESTE", F1394))), "6.1 Despesas Administrativas (Gerais)", IFERROR(VLOOKUP(H1394, De_Para!A:B, 2, FALSE), "NÃO MAPEADO"))), IFERROR(VLOOKUP(H1394, De_Para!A:B, 2, FALSE), "NÃO MAPEADO"))</f>
        <v/>
      </c>
    </row>
    <row r="1395">
      <c r="A1395" s="2" t="inlineStr">
        <is>
          <t>68291</t>
        </is>
      </c>
      <c r="B1395" s="2" t="inlineStr">
        <is>
          <t>Sicredi SNI</t>
        </is>
      </c>
      <c r="C1395" s="2" t="inlineStr">
        <is>
          <t>09/06/2026</t>
        </is>
      </c>
      <c r="D1395" s="2" t="inlineStr">
        <is>
          <t>09/06/2026</t>
        </is>
      </c>
      <c r="E1395" s="2" t="inlineStr">
        <is>
          <t>Dinheiro</t>
        </is>
      </c>
      <c r="F1395" s="2" t="inlineStr">
        <is>
          <t>Boleto "58156" do cliente "MARCOS ANTONIO DOMINGUES"</t>
        </is>
      </c>
      <c r="G1395" s="2" t="inlineStr">
        <is>
          <t>system</t>
        </is>
      </c>
      <c r="H1395" s="2" t="inlineStr">
        <is>
          <t>01.01.01 : Mensalidade</t>
        </is>
      </c>
      <c r="I1395" s="3" t="n">
        <v>105</v>
      </c>
      <c r="J1395" s="2" t="n"/>
      <c r="K1395" s="2">
        <f>IF(H1395="02.09 : Outras Saídas", IF(OR(ISNUMBER(SEARCH("CHEQUE COMPE SICREDI", F1395)), ISNUMBER(SEARCH("aniversario", F1395)), ISNUMBER(SEARCH("churrasco", F1395)), ISNUMBER(SEARCH("bolo", F1395)), ISNUMBER(SEARCH("SUPERMERCADO", F1395))), "6.1 Despesas Administrativas (Pessoal)", IF(OR(ISNUMBER(SEARCH("DLKNET", F1395)), ISNUMBER(SEARCH("TESTE", F1395))), "6.1 Despesas Administrativas (Gerais)", IFERROR(VLOOKUP(H1395, De_Para!A:B, 2, FALSE), "NÃO MAPEADO"))), IFERROR(VLOOKUP(H1395, De_Para!A:B, 2, FALSE), "NÃO MAPEADO"))</f>
        <v/>
      </c>
    </row>
    <row r="1396">
      <c r="A1396" s="2" t="inlineStr">
        <is>
          <t>68290</t>
        </is>
      </c>
      <c r="B1396" s="2" t="inlineStr">
        <is>
          <t>Sicredi SNI</t>
        </is>
      </c>
      <c r="C1396" s="2" t="inlineStr">
        <is>
          <t>09/06/2026</t>
        </is>
      </c>
      <c r="D1396" s="2" t="inlineStr">
        <is>
          <t>09/06/2026</t>
        </is>
      </c>
      <c r="E1396" s="2" t="inlineStr">
        <is>
          <t>Dinheiro</t>
        </is>
      </c>
      <c r="F1396" s="2" t="inlineStr">
        <is>
          <t>Boleto "56525" do cliente "TEREZA LEITE DA SILVA"</t>
        </is>
      </c>
      <c r="G1396" s="2" t="inlineStr">
        <is>
          <t>system</t>
        </is>
      </c>
      <c r="H1396" s="2" t="inlineStr">
        <is>
          <t>02.03.02.01 : Cobrança Bancaria</t>
        </is>
      </c>
      <c r="I1396" s="2" t="n"/>
      <c r="J1396" s="3" t="n">
        <v>-1.08</v>
      </c>
      <c r="K1396" s="2">
        <f>IF(H1396="02.09 : Outras Saídas", IF(OR(ISNUMBER(SEARCH("CHEQUE COMPE SICREDI", F1396)), ISNUMBER(SEARCH("aniversario", F1396)), ISNUMBER(SEARCH("churrasco", F1396)), ISNUMBER(SEARCH("bolo", F1396)), ISNUMBER(SEARCH("SUPERMERCADO", F1396))), "6.1 Despesas Administrativas (Pessoal)", IF(OR(ISNUMBER(SEARCH("DLKNET", F1396)), ISNUMBER(SEARCH("TESTE", F1396))), "6.1 Despesas Administrativas (Gerais)", IFERROR(VLOOKUP(H1396, De_Para!A:B, 2, FALSE), "NÃO MAPEADO"))), IFERROR(VLOOKUP(H1396, De_Para!A:B, 2, FALSE), "NÃO MAPEADO"))</f>
        <v/>
      </c>
    </row>
    <row r="1397">
      <c r="A1397" s="2" t="inlineStr">
        <is>
          <t>68289</t>
        </is>
      </c>
      <c r="B1397" s="2" t="inlineStr">
        <is>
          <t>Sicredi SNI</t>
        </is>
      </c>
      <c r="C1397" s="2" t="inlineStr">
        <is>
          <t>09/06/2026</t>
        </is>
      </c>
      <c r="D1397" s="2" t="inlineStr">
        <is>
          <t>09/06/2026</t>
        </is>
      </c>
      <c r="E1397" s="2" t="inlineStr">
        <is>
          <t>Dinheiro</t>
        </is>
      </c>
      <c r="F1397" s="2" t="inlineStr">
        <is>
          <t>Boleto "56525" do cliente "TEREZA LEITE DA SILVA"</t>
        </is>
      </c>
      <c r="G1397" s="2" t="inlineStr">
        <is>
          <t>system</t>
        </is>
      </c>
      <c r="H1397" s="2" t="inlineStr">
        <is>
          <t>01.01.01 : Mensalidade</t>
        </is>
      </c>
      <c r="I1397" s="3" t="n">
        <v>100</v>
      </c>
      <c r="J1397" s="2" t="n"/>
      <c r="K1397" s="2">
        <f>IF(H1397="02.09 : Outras Saídas", IF(OR(ISNUMBER(SEARCH("CHEQUE COMPE SICREDI", F1397)), ISNUMBER(SEARCH("aniversario", F1397)), ISNUMBER(SEARCH("churrasco", F1397)), ISNUMBER(SEARCH("bolo", F1397)), ISNUMBER(SEARCH("SUPERMERCADO", F1397))), "6.1 Despesas Administrativas (Pessoal)", IF(OR(ISNUMBER(SEARCH("DLKNET", F1397)), ISNUMBER(SEARCH("TESTE", F1397))), "6.1 Despesas Administrativas (Gerais)", IFERROR(VLOOKUP(H1397, De_Para!A:B, 2, FALSE), "NÃO MAPEADO"))), IFERROR(VLOOKUP(H1397, De_Para!A:B, 2, FALSE), "NÃO MAPEADO"))</f>
        <v/>
      </c>
    </row>
    <row r="1398">
      <c r="A1398" s="2" t="inlineStr">
        <is>
          <t>68288</t>
        </is>
      </c>
      <c r="B1398" s="2" t="inlineStr">
        <is>
          <t>Sicoob</t>
        </is>
      </c>
      <c r="C1398" s="2" t="inlineStr">
        <is>
          <t>09/06/2026</t>
        </is>
      </c>
      <c r="D1398" s="2" t="inlineStr">
        <is>
          <t>09/06/2026</t>
        </is>
      </c>
      <c r="E1398" s="2" t="inlineStr">
        <is>
          <t>Dinheiro</t>
        </is>
      </c>
      <c r="F1398" s="2" t="inlineStr">
        <is>
          <t>Boleto "68957" do cliente "APARECIDA MARIANO"</t>
        </is>
      </c>
      <c r="G1398" s="2" t="inlineStr">
        <is>
          <t>system</t>
        </is>
      </c>
      <c r="H1398" s="2" t="inlineStr">
        <is>
          <t>02.03.02.01 : Cobrança Bancaria</t>
        </is>
      </c>
      <c r="I1398" s="2" t="n"/>
      <c r="J1398" s="3" t="n">
        <v>-0.88</v>
      </c>
      <c r="K1398" s="2">
        <f>IF(H1398="02.09 : Outras Saídas", IF(OR(ISNUMBER(SEARCH("CHEQUE COMPE SICREDI", F1398)), ISNUMBER(SEARCH("aniversario", F1398)), ISNUMBER(SEARCH("churrasco", F1398)), ISNUMBER(SEARCH("bolo", F1398)), ISNUMBER(SEARCH("SUPERMERCADO", F1398))), "6.1 Despesas Administrativas (Pessoal)", IF(OR(ISNUMBER(SEARCH("DLKNET", F1398)), ISNUMBER(SEARCH("TESTE", F1398))), "6.1 Despesas Administrativas (Gerais)", IFERROR(VLOOKUP(H1398, De_Para!A:B, 2, FALSE), "NÃO MAPEADO"))), IFERROR(VLOOKUP(H1398, De_Para!A:B, 2, FALSE), "NÃO MAPEADO"))</f>
        <v/>
      </c>
    </row>
    <row r="1399">
      <c r="A1399" s="2" t="inlineStr">
        <is>
          <t>68287</t>
        </is>
      </c>
      <c r="B1399" s="2" t="inlineStr">
        <is>
          <t>Sicoob</t>
        </is>
      </c>
      <c r="C1399" s="2" t="inlineStr">
        <is>
          <t>09/06/2026</t>
        </is>
      </c>
      <c r="D1399" s="2" t="inlineStr">
        <is>
          <t>09/06/2026</t>
        </is>
      </c>
      <c r="E1399" s="2" t="inlineStr">
        <is>
          <t>Dinheiro</t>
        </is>
      </c>
      <c r="F1399" s="2" t="inlineStr">
        <is>
          <t>Boleto "68957" do cliente "APARECIDA MARIANO"</t>
        </is>
      </c>
      <c r="G1399" s="2" t="inlineStr">
        <is>
          <t>system</t>
        </is>
      </c>
      <c r="H1399" s="2" t="inlineStr">
        <is>
          <t>01.03.01 : Mensalidade</t>
        </is>
      </c>
      <c r="I1399" s="3" t="n">
        <v>101.5</v>
      </c>
      <c r="J1399" s="2" t="n"/>
      <c r="K1399" s="2">
        <f>IF(H1399="02.09 : Outras Saídas", IF(OR(ISNUMBER(SEARCH("CHEQUE COMPE SICREDI", F1399)), ISNUMBER(SEARCH("aniversario", F1399)), ISNUMBER(SEARCH("churrasco", F1399)), ISNUMBER(SEARCH("bolo", F1399)), ISNUMBER(SEARCH("SUPERMERCADO", F1399))), "6.1 Despesas Administrativas (Pessoal)", IF(OR(ISNUMBER(SEARCH("DLKNET", F1399)), ISNUMBER(SEARCH("TESTE", F1399))), "6.1 Despesas Administrativas (Gerais)", IFERROR(VLOOKUP(H1399, De_Para!A:B, 2, FALSE), "NÃO MAPEADO"))), IFERROR(VLOOKUP(H1399, De_Para!A:B, 2, FALSE), "NÃO MAPEADO"))</f>
        <v/>
      </c>
    </row>
    <row r="1400">
      <c r="A1400" s="2" t="inlineStr">
        <is>
          <t>68286</t>
        </is>
      </c>
      <c r="B1400" s="2" t="inlineStr">
        <is>
          <t>Sicoob</t>
        </is>
      </c>
      <c r="C1400" s="2" t="inlineStr">
        <is>
          <t>09/06/2026</t>
        </is>
      </c>
      <c r="D1400" s="2" t="inlineStr">
        <is>
          <t>09/06/2026</t>
        </is>
      </c>
      <c r="E1400" s="2" t="inlineStr">
        <is>
          <t>Dinheiro</t>
        </is>
      </c>
      <c r="F1400" s="2" t="inlineStr">
        <is>
          <t>Boleto "66255" do cliente "FERNANDO RODRIGUES"</t>
        </is>
      </c>
      <c r="G1400" s="2" t="inlineStr">
        <is>
          <t>system</t>
        </is>
      </c>
      <c r="H1400" s="2" t="inlineStr">
        <is>
          <t>02.03.02.01 : Cobrança Bancaria</t>
        </is>
      </c>
      <c r="I1400" s="2" t="n"/>
      <c r="J1400" s="3" t="n">
        <v>-0.88</v>
      </c>
      <c r="K1400" s="2">
        <f>IF(H1400="02.09 : Outras Saídas", IF(OR(ISNUMBER(SEARCH("CHEQUE COMPE SICREDI", F1400)), ISNUMBER(SEARCH("aniversario", F1400)), ISNUMBER(SEARCH("churrasco", F1400)), ISNUMBER(SEARCH("bolo", F1400)), ISNUMBER(SEARCH("SUPERMERCADO", F1400))), "6.1 Despesas Administrativas (Pessoal)", IF(OR(ISNUMBER(SEARCH("DLKNET", F1400)), ISNUMBER(SEARCH("TESTE", F1400))), "6.1 Despesas Administrativas (Gerais)", IFERROR(VLOOKUP(H1400, De_Para!A:B, 2, FALSE), "NÃO MAPEADO"))), IFERROR(VLOOKUP(H1400, De_Para!A:B, 2, FALSE), "NÃO MAPEADO"))</f>
        <v/>
      </c>
    </row>
    <row r="1401">
      <c r="A1401" s="2" t="inlineStr">
        <is>
          <t>68285</t>
        </is>
      </c>
      <c r="B1401" s="2" t="inlineStr">
        <is>
          <t>Sicoob</t>
        </is>
      </c>
      <c r="C1401" s="2" t="inlineStr">
        <is>
          <t>09/06/2026</t>
        </is>
      </c>
      <c r="D1401" s="2" t="inlineStr">
        <is>
          <t>09/06/2026</t>
        </is>
      </c>
      <c r="E1401" s="2" t="inlineStr">
        <is>
          <t>Dinheiro</t>
        </is>
      </c>
      <c r="F1401" s="2" t="inlineStr">
        <is>
          <t>Boleto "66255" do cliente "FERNANDO RODRIGUES"</t>
        </is>
      </c>
      <c r="G1401" s="2" t="inlineStr">
        <is>
          <t>system</t>
        </is>
      </c>
      <c r="H1401" s="2" t="inlineStr">
        <is>
          <t>01.03.01 : Mensalidade</t>
        </is>
      </c>
      <c r="I1401" s="3" t="n">
        <v>105</v>
      </c>
      <c r="J1401" s="2" t="n"/>
      <c r="K1401" s="2">
        <f>IF(H1401="02.09 : Outras Saídas", IF(OR(ISNUMBER(SEARCH("CHEQUE COMPE SICREDI", F1401)), ISNUMBER(SEARCH("aniversario", F1401)), ISNUMBER(SEARCH("churrasco", F1401)), ISNUMBER(SEARCH("bolo", F1401)), ISNUMBER(SEARCH("SUPERMERCADO", F1401))), "6.1 Despesas Administrativas (Pessoal)", IF(OR(ISNUMBER(SEARCH("DLKNET", F1401)), ISNUMBER(SEARCH("TESTE", F1401))), "6.1 Despesas Administrativas (Gerais)", IFERROR(VLOOKUP(H1401, De_Para!A:B, 2, FALSE), "NÃO MAPEADO"))), IFERROR(VLOOKUP(H1401, De_Para!A:B, 2, FALSE), "NÃO MAPEADO"))</f>
        <v/>
      </c>
    </row>
    <row r="1402">
      <c r="A1402" s="2" t="inlineStr">
        <is>
          <t>68284</t>
        </is>
      </c>
      <c r="B1402" s="2" t="inlineStr">
        <is>
          <t>Sicoob</t>
        </is>
      </c>
      <c r="C1402" s="2" t="inlineStr">
        <is>
          <t>09/06/2026</t>
        </is>
      </c>
      <c r="D1402" s="2" t="inlineStr">
        <is>
          <t>09/06/2026</t>
        </is>
      </c>
      <c r="E1402" s="2" t="inlineStr">
        <is>
          <t>Dinheiro</t>
        </is>
      </c>
      <c r="F1402" s="2" t="inlineStr">
        <is>
          <t>Boleto "65447" do cliente "HAMILTON APARECIDO DA SILVA"</t>
        </is>
      </c>
      <c r="G1402" s="2" t="inlineStr">
        <is>
          <t>system</t>
        </is>
      </c>
      <c r="H1402" s="2" t="inlineStr">
        <is>
          <t>02.03.02.01 : Cobrança Bancaria</t>
        </is>
      </c>
      <c r="I1402" s="2" t="n"/>
      <c r="J1402" s="3" t="n">
        <v>-0.88</v>
      </c>
      <c r="K1402" s="2">
        <f>IF(H1402="02.09 : Outras Saídas", IF(OR(ISNUMBER(SEARCH("CHEQUE COMPE SICREDI", F1402)), ISNUMBER(SEARCH("aniversario", F1402)), ISNUMBER(SEARCH("churrasco", F1402)), ISNUMBER(SEARCH("bolo", F1402)), ISNUMBER(SEARCH("SUPERMERCADO", F1402))), "6.1 Despesas Administrativas (Pessoal)", IF(OR(ISNUMBER(SEARCH("DLKNET", F1402)), ISNUMBER(SEARCH("TESTE", F1402))), "6.1 Despesas Administrativas (Gerais)", IFERROR(VLOOKUP(H1402, De_Para!A:B, 2, FALSE), "NÃO MAPEADO"))), IFERROR(VLOOKUP(H1402, De_Para!A:B, 2, FALSE), "NÃO MAPEADO"))</f>
        <v/>
      </c>
    </row>
    <row r="1403">
      <c r="A1403" s="2" t="inlineStr">
        <is>
          <t>68283</t>
        </is>
      </c>
      <c r="B1403" s="2" t="inlineStr">
        <is>
          <t>Sicoob</t>
        </is>
      </c>
      <c r="C1403" s="2" t="inlineStr">
        <is>
          <t>09/06/2026</t>
        </is>
      </c>
      <c r="D1403" s="2" t="inlineStr">
        <is>
          <t>09/06/2026</t>
        </is>
      </c>
      <c r="E1403" s="2" t="inlineStr">
        <is>
          <t>Dinheiro</t>
        </is>
      </c>
      <c r="F1403" s="2" t="inlineStr">
        <is>
          <t>Boleto "65447" do cliente "HAMILTON APARECIDO DA SILVA"</t>
        </is>
      </c>
      <c r="G1403" s="2" t="inlineStr">
        <is>
          <t>system</t>
        </is>
      </c>
      <c r="H1403" s="2" t="inlineStr">
        <is>
          <t>01.01.01 : Mensalidade</t>
        </is>
      </c>
      <c r="I1403" s="3" t="n">
        <v>102.33</v>
      </c>
      <c r="J1403" s="2" t="n"/>
      <c r="K1403" s="2">
        <f>IF(H1403="02.09 : Outras Saídas", IF(OR(ISNUMBER(SEARCH("CHEQUE COMPE SICREDI", F1403)), ISNUMBER(SEARCH("aniversario", F1403)), ISNUMBER(SEARCH("churrasco", F1403)), ISNUMBER(SEARCH("bolo", F1403)), ISNUMBER(SEARCH("SUPERMERCADO", F1403))), "6.1 Despesas Administrativas (Pessoal)", IF(OR(ISNUMBER(SEARCH("DLKNET", F1403)), ISNUMBER(SEARCH("TESTE", F1403))), "6.1 Despesas Administrativas (Gerais)", IFERROR(VLOOKUP(H1403, De_Para!A:B, 2, FALSE), "NÃO MAPEADO"))), IFERROR(VLOOKUP(H1403, De_Para!A:B, 2, FALSE), "NÃO MAPEADO"))</f>
        <v/>
      </c>
    </row>
    <row r="1404">
      <c r="A1404" s="2" t="inlineStr">
        <is>
          <t>68282</t>
        </is>
      </c>
      <c r="B1404" s="2" t="inlineStr">
        <is>
          <t>Sicoob</t>
        </is>
      </c>
      <c r="C1404" s="2" t="inlineStr">
        <is>
          <t>09/06/2026</t>
        </is>
      </c>
      <c r="D1404" s="2" t="inlineStr">
        <is>
          <t>09/06/2026</t>
        </is>
      </c>
      <c r="E1404" s="2" t="inlineStr">
        <is>
          <t>Dinheiro</t>
        </is>
      </c>
      <c r="F1404" s="2" t="inlineStr">
        <is>
          <t>Boleto "65004" do cliente "LEANDRO ALVES RAMOS"</t>
        </is>
      </c>
      <c r="G1404" s="2" t="inlineStr">
        <is>
          <t>system</t>
        </is>
      </c>
      <c r="H1404" s="2" t="inlineStr">
        <is>
          <t>02.03.02.01 : Cobrança Bancaria</t>
        </is>
      </c>
      <c r="I1404" s="2" t="n"/>
      <c r="J1404" s="3" t="n">
        <v>-0.88</v>
      </c>
      <c r="K1404" s="2">
        <f>IF(H1404="02.09 : Outras Saídas", IF(OR(ISNUMBER(SEARCH("CHEQUE COMPE SICREDI", F1404)), ISNUMBER(SEARCH("aniversario", F1404)), ISNUMBER(SEARCH("churrasco", F1404)), ISNUMBER(SEARCH("bolo", F1404)), ISNUMBER(SEARCH("SUPERMERCADO", F1404))), "6.1 Despesas Administrativas (Pessoal)", IF(OR(ISNUMBER(SEARCH("DLKNET", F1404)), ISNUMBER(SEARCH("TESTE", F1404))), "6.1 Despesas Administrativas (Gerais)", IFERROR(VLOOKUP(H1404, De_Para!A:B, 2, FALSE), "NÃO MAPEADO"))), IFERROR(VLOOKUP(H1404, De_Para!A:B, 2, FALSE), "NÃO MAPEADO"))</f>
        <v/>
      </c>
    </row>
    <row r="1405">
      <c r="A1405" s="2" t="inlineStr">
        <is>
          <t>68281</t>
        </is>
      </c>
      <c r="B1405" s="2" t="inlineStr">
        <is>
          <t>Sicoob</t>
        </is>
      </c>
      <c r="C1405" s="2" t="inlineStr">
        <is>
          <t>09/06/2026</t>
        </is>
      </c>
      <c r="D1405" s="2" t="inlineStr">
        <is>
          <t>09/06/2026</t>
        </is>
      </c>
      <c r="E1405" s="2" t="inlineStr">
        <is>
          <t>Dinheiro</t>
        </is>
      </c>
      <c r="F1405" s="2" t="inlineStr">
        <is>
          <t>Boleto "65004" do cliente "LEANDRO ALVES RAMOS"</t>
        </is>
      </c>
      <c r="G1405" s="2" t="inlineStr">
        <is>
          <t>system</t>
        </is>
      </c>
      <c r="H1405" s="2" t="inlineStr">
        <is>
          <t>01.01.01 : Mensalidade</t>
        </is>
      </c>
      <c r="I1405" s="3" t="n">
        <v>100</v>
      </c>
      <c r="J1405" s="2" t="n"/>
      <c r="K1405" s="2">
        <f>IF(H1405="02.09 : Outras Saídas", IF(OR(ISNUMBER(SEARCH("CHEQUE COMPE SICREDI", F1405)), ISNUMBER(SEARCH("aniversario", F1405)), ISNUMBER(SEARCH("churrasco", F1405)), ISNUMBER(SEARCH("bolo", F1405)), ISNUMBER(SEARCH("SUPERMERCADO", F1405))), "6.1 Despesas Administrativas (Pessoal)", IF(OR(ISNUMBER(SEARCH("DLKNET", F1405)), ISNUMBER(SEARCH("TESTE", F1405))), "6.1 Despesas Administrativas (Gerais)", IFERROR(VLOOKUP(H1405, De_Para!A:B, 2, FALSE), "NÃO MAPEADO"))), IFERROR(VLOOKUP(H1405, De_Para!A:B, 2, FALSE), "NÃO MAPEADO"))</f>
        <v/>
      </c>
    </row>
    <row r="1406">
      <c r="A1406" s="2" t="inlineStr">
        <is>
          <t>68280</t>
        </is>
      </c>
      <c r="B1406" s="2" t="inlineStr">
        <is>
          <t>Sicoob</t>
        </is>
      </c>
      <c r="C1406" s="2" t="inlineStr">
        <is>
          <t>09/06/2026</t>
        </is>
      </c>
      <c r="D1406" s="2" t="inlineStr">
        <is>
          <t>09/06/2026</t>
        </is>
      </c>
      <c r="E1406" s="2" t="inlineStr">
        <is>
          <t>Dinheiro</t>
        </is>
      </c>
      <c r="F1406" s="2" t="inlineStr">
        <is>
          <t>Boleto "64698" do cliente "MARCI GOMES ROSA"</t>
        </is>
      </c>
      <c r="G1406" s="2" t="inlineStr">
        <is>
          <t>system</t>
        </is>
      </c>
      <c r="H1406" s="2" t="inlineStr">
        <is>
          <t>02.03.02.01 : Cobrança Bancaria</t>
        </is>
      </c>
      <c r="I1406" s="2" t="n"/>
      <c r="J1406" s="3" t="n">
        <v>-0.88</v>
      </c>
      <c r="K1406" s="2">
        <f>IF(H1406="02.09 : Outras Saídas", IF(OR(ISNUMBER(SEARCH("CHEQUE COMPE SICREDI", F1406)), ISNUMBER(SEARCH("aniversario", F1406)), ISNUMBER(SEARCH("churrasco", F1406)), ISNUMBER(SEARCH("bolo", F1406)), ISNUMBER(SEARCH("SUPERMERCADO", F1406))), "6.1 Despesas Administrativas (Pessoal)", IF(OR(ISNUMBER(SEARCH("DLKNET", F1406)), ISNUMBER(SEARCH("TESTE", F1406))), "6.1 Despesas Administrativas (Gerais)", IFERROR(VLOOKUP(H1406, De_Para!A:B, 2, FALSE), "NÃO MAPEADO"))), IFERROR(VLOOKUP(H1406, De_Para!A:B, 2, FALSE), "NÃO MAPEADO"))</f>
        <v/>
      </c>
    </row>
    <row r="1407">
      <c r="A1407" s="2" t="inlineStr">
        <is>
          <t>68279</t>
        </is>
      </c>
      <c r="B1407" s="2" t="inlineStr">
        <is>
          <t>Sicoob</t>
        </is>
      </c>
      <c r="C1407" s="2" t="inlineStr">
        <is>
          <t>09/06/2026</t>
        </is>
      </c>
      <c r="D1407" s="2" t="inlineStr">
        <is>
          <t>09/06/2026</t>
        </is>
      </c>
      <c r="E1407" s="2" t="inlineStr">
        <is>
          <t>Dinheiro</t>
        </is>
      </c>
      <c r="F1407" s="2" t="inlineStr">
        <is>
          <t>Boleto "64698" do cliente "MARCI GOMES ROSA"</t>
        </is>
      </c>
      <c r="G1407" s="2" t="inlineStr">
        <is>
          <t>system</t>
        </is>
      </c>
      <c r="H1407" s="2" t="inlineStr">
        <is>
          <t>01.01.01 : Mensalidade</t>
        </is>
      </c>
      <c r="I1407" s="3" t="n">
        <v>110</v>
      </c>
      <c r="J1407" s="2" t="n"/>
      <c r="K1407" s="2">
        <f>IF(H1407="02.09 : Outras Saídas", IF(OR(ISNUMBER(SEARCH("CHEQUE COMPE SICREDI", F1407)), ISNUMBER(SEARCH("aniversario", F1407)), ISNUMBER(SEARCH("churrasco", F1407)), ISNUMBER(SEARCH("bolo", F1407)), ISNUMBER(SEARCH("SUPERMERCADO", F1407))), "6.1 Despesas Administrativas (Pessoal)", IF(OR(ISNUMBER(SEARCH("DLKNET", F1407)), ISNUMBER(SEARCH("TESTE", F1407))), "6.1 Despesas Administrativas (Gerais)", IFERROR(VLOOKUP(H1407, De_Para!A:B, 2, FALSE), "NÃO MAPEADO"))), IFERROR(VLOOKUP(H1407, De_Para!A:B, 2, FALSE), "NÃO MAPEADO"))</f>
        <v/>
      </c>
    </row>
    <row r="1408">
      <c r="A1408" s="2" t="inlineStr">
        <is>
          <t>68278</t>
        </is>
      </c>
      <c r="B1408" s="2" t="inlineStr">
        <is>
          <t>Sicoob</t>
        </is>
      </c>
      <c r="C1408" s="2" t="inlineStr">
        <is>
          <t>09/06/2026</t>
        </is>
      </c>
      <c r="D1408" s="2" t="inlineStr">
        <is>
          <t>09/06/2026</t>
        </is>
      </c>
      <c r="E1408" s="2" t="inlineStr">
        <is>
          <t>Dinheiro</t>
        </is>
      </c>
      <c r="F1408" s="2" t="inlineStr">
        <is>
          <t>Boleto "61752" do cliente "JOSE CARLOS GABRIEL"</t>
        </is>
      </c>
      <c r="G1408" s="2" t="inlineStr">
        <is>
          <t>system</t>
        </is>
      </c>
      <c r="H1408" s="2" t="inlineStr">
        <is>
          <t>02.03.02.01 : Cobrança Bancaria</t>
        </is>
      </c>
      <c r="I1408" s="2" t="n"/>
      <c r="J1408" s="3" t="n">
        <v>-0.88</v>
      </c>
      <c r="K1408" s="2">
        <f>IF(H1408="02.09 : Outras Saídas", IF(OR(ISNUMBER(SEARCH("CHEQUE COMPE SICREDI", F1408)), ISNUMBER(SEARCH("aniversario", F1408)), ISNUMBER(SEARCH("churrasco", F1408)), ISNUMBER(SEARCH("bolo", F1408)), ISNUMBER(SEARCH("SUPERMERCADO", F1408))), "6.1 Despesas Administrativas (Pessoal)", IF(OR(ISNUMBER(SEARCH("DLKNET", F1408)), ISNUMBER(SEARCH("TESTE", F1408))), "6.1 Despesas Administrativas (Gerais)", IFERROR(VLOOKUP(H1408, De_Para!A:B, 2, FALSE), "NÃO MAPEADO"))), IFERROR(VLOOKUP(H1408, De_Para!A:B, 2, FALSE), "NÃO MAPEADO"))</f>
        <v/>
      </c>
    </row>
    <row r="1409">
      <c r="A1409" s="2" t="inlineStr">
        <is>
          <t>68277</t>
        </is>
      </c>
      <c r="B1409" s="2" t="inlineStr">
        <is>
          <t>Sicoob</t>
        </is>
      </c>
      <c r="C1409" s="2" t="inlineStr">
        <is>
          <t>09/06/2026</t>
        </is>
      </c>
      <c r="D1409" s="2" t="inlineStr">
        <is>
          <t>09/06/2026</t>
        </is>
      </c>
      <c r="E1409" s="2" t="inlineStr">
        <is>
          <t>Dinheiro</t>
        </is>
      </c>
      <c r="F1409" s="2" t="inlineStr">
        <is>
          <t>Boleto "61752" do cliente "JOSE CARLOS GABRIEL"</t>
        </is>
      </c>
      <c r="G1409" s="2" t="inlineStr">
        <is>
          <t>system</t>
        </is>
      </c>
      <c r="H1409" s="2" t="inlineStr">
        <is>
          <t>01.03.01 : Mensalidade</t>
        </is>
      </c>
      <c r="I1409" s="3" t="n">
        <v>105</v>
      </c>
      <c r="J1409" s="2" t="n"/>
      <c r="K1409" s="2">
        <f>IF(H1409="02.09 : Outras Saídas", IF(OR(ISNUMBER(SEARCH("CHEQUE COMPE SICREDI", F1409)), ISNUMBER(SEARCH("aniversario", F1409)), ISNUMBER(SEARCH("churrasco", F1409)), ISNUMBER(SEARCH("bolo", F1409)), ISNUMBER(SEARCH("SUPERMERCADO", F1409))), "6.1 Despesas Administrativas (Pessoal)", IF(OR(ISNUMBER(SEARCH("DLKNET", F1409)), ISNUMBER(SEARCH("TESTE", F1409))), "6.1 Despesas Administrativas (Gerais)", IFERROR(VLOOKUP(H1409, De_Para!A:B, 2, FALSE), "NÃO MAPEADO"))), IFERROR(VLOOKUP(H1409, De_Para!A:B, 2, FALSE), "NÃO MAPEADO"))</f>
        <v/>
      </c>
    </row>
    <row r="1410">
      <c r="A1410" s="2" t="inlineStr">
        <is>
          <t>68276</t>
        </is>
      </c>
      <c r="B1410" s="2" t="inlineStr">
        <is>
          <t>Sicoob</t>
        </is>
      </c>
      <c r="C1410" s="2" t="inlineStr">
        <is>
          <t>09/06/2026</t>
        </is>
      </c>
      <c r="D1410" s="2" t="inlineStr">
        <is>
          <t>09/06/2026</t>
        </is>
      </c>
      <c r="E1410" s="2" t="inlineStr">
        <is>
          <t>Dinheiro</t>
        </is>
      </c>
      <c r="F1410" s="2" t="inlineStr">
        <is>
          <t>Boleto "59853" do cliente "EVANDINA MORAES MARÇAL"</t>
        </is>
      </c>
      <c r="G1410" s="2" t="inlineStr">
        <is>
          <t>system</t>
        </is>
      </c>
      <c r="H1410" s="2" t="inlineStr">
        <is>
          <t>02.03.02.01 : Cobrança Bancaria</t>
        </is>
      </c>
      <c r="I1410" s="2" t="n"/>
      <c r="J1410" s="3" t="n">
        <v>-0.88</v>
      </c>
      <c r="K1410" s="2">
        <f>IF(H1410="02.09 : Outras Saídas", IF(OR(ISNUMBER(SEARCH("CHEQUE COMPE SICREDI", F1410)), ISNUMBER(SEARCH("aniversario", F1410)), ISNUMBER(SEARCH("churrasco", F1410)), ISNUMBER(SEARCH("bolo", F1410)), ISNUMBER(SEARCH("SUPERMERCADO", F1410))), "6.1 Despesas Administrativas (Pessoal)", IF(OR(ISNUMBER(SEARCH("DLKNET", F1410)), ISNUMBER(SEARCH("TESTE", F1410))), "6.1 Despesas Administrativas (Gerais)", IFERROR(VLOOKUP(H1410, De_Para!A:B, 2, FALSE), "NÃO MAPEADO"))), IFERROR(VLOOKUP(H1410, De_Para!A:B, 2, FALSE), "NÃO MAPEADO"))</f>
        <v/>
      </c>
    </row>
    <row r="1411">
      <c r="A1411" s="2" t="inlineStr">
        <is>
          <t>68275</t>
        </is>
      </c>
      <c r="B1411" s="2" t="inlineStr">
        <is>
          <t>Sicoob</t>
        </is>
      </c>
      <c r="C1411" s="2" t="inlineStr">
        <is>
          <t>09/06/2026</t>
        </is>
      </c>
      <c r="D1411" s="2" t="inlineStr">
        <is>
          <t>09/06/2026</t>
        </is>
      </c>
      <c r="E1411" s="2" t="inlineStr">
        <is>
          <t>Dinheiro</t>
        </is>
      </c>
      <c r="F1411" s="2" t="inlineStr">
        <is>
          <t>Boleto "59853" do cliente "EVANDINA MORAES MARÇAL"</t>
        </is>
      </c>
      <c r="G1411" s="2" t="inlineStr">
        <is>
          <t>system</t>
        </is>
      </c>
      <c r="H1411" s="2" t="inlineStr">
        <is>
          <t>01.01.01 : Mensalidade</t>
        </is>
      </c>
      <c r="I1411" s="3" t="n">
        <v>105</v>
      </c>
      <c r="J1411" s="2" t="n"/>
      <c r="K1411" s="2">
        <f>IF(H1411="02.09 : Outras Saídas", IF(OR(ISNUMBER(SEARCH("CHEQUE COMPE SICREDI", F1411)), ISNUMBER(SEARCH("aniversario", F1411)), ISNUMBER(SEARCH("churrasco", F1411)), ISNUMBER(SEARCH("bolo", F1411)), ISNUMBER(SEARCH("SUPERMERCADO", F1411))), "6.1 Despesas Administrativas (Pessoal)", IF(OR(ISNUMBER(SEARCH("DLKNET", F1411)), ISNUMBER(SEARCH("TESTE", F1411))), "6.1 Despesas Administrativas (Gerais)", IFERROR(VLOOKUP(H1411, De_Para!A:B, 2, FALSE), "NÃO MAPEADO"))), IFERROR(VLOOKUP(H1411, De_Para!A:B, 2, FALSE), "NÃO MAPEADO"))</f>
        <v/>
      </c>
    </row>
    <row r="1412">
      <c r="A1412" s="2" t="inlineStr">
        <is>
          <t>68274</t>
        </is>
      </c>
      <c r="B1412" s="2" t="inlineStr">
        <is>
          <t>Sicoob</t>
        </is>
      </c>
      <c r="C1412" s="2" t="inlineStr">
        <is>
          <t>09/06/2026</t>
        </is>
      </c>
      <c r="D1412" s="2" t="inlineStr">
        <is>
          <t>09/06/2026</t>
        </is>
      </c>
      <c r="E1412" s="2" t="inlineStr">
        <is>
          <t>Dinheiro</t>
        </is>
      </c>
      <c r="F1412" s="2" t="inlineStr">
        <is>
          <t>Boleto "57403" do cliente "CARLOS RIBEIRO DO AMARAL"</t>
        </is>
      </c>
      <c r="G1412" s="2" t="inlineStr">
        <is>
          <t>system</t>
        </is>
      </c>
      <c r="H1412" s="2" t="inlineStr">
        <is>
          <t>02.03.02.01 : Cobrança Bancaria</t>
        </is>
      </c>
      <c r="I1412" s="2" t="n"/>
      <c r="J1412" s="3" t="n">
        <v>-0.88</v>
      </c>
      <c r="K1412" s="2">
        <f>IF(H1412="02.09 : Outras Saídas", IF(OR(ISNUMBER(SEARCH("CHEQUE COMPE SICREDI", F1412)), ISNUMBER(SEARCH("aniversario", F1412)), ISNUMBER(SEARCH("churrasco", F1412)), ISNUMBER(SEARCH("bolo", F1412)), ISNUMBER(SEARCH("SUPERMERCADO", F1412))), "6.1 Despesas Administrativas (Pessoal)", IF(OR(ISNUMBER(SEARCH("DLKNET", F1412)), ISNUMBER(SEARCH("TESTE", F1412))), "6.1 Despesas Administrativas (Gerais)", IFERROR(VLOOKUP(H1412, De_Para!A:B, 2, FALSE), "NÃO MAPEADO"))), IFERROR(VLOOKUP(H1412, De_Para!A:B, 2, FALSE), "NÃO MAPEADO"))</f>
        <v/>
      </c>
    </row>
    <row r="1413">
      <c r="A1413" s="2" t="inlineStr">
        <is>
          <t>68273</t>
        </is>
      </c>
      <c r="B1413" s="2" t="inlineStr">
        <is>
          <t>Sicoob</t>
        </is>
      </c>
      <c r="C1413" s="2" t="inlineStr">
        <is>
          <t>09/06/2026</t>
        </is>
      </c>
      <c r="D1413" s="2" t="inlineStr">
        <is>
          <t>09/06/2026</t>
        </is>
      </c>
      <c r="E1413" s="2" t="inlineStr">
        <is>
          <t>Dinheiro</t>
        </is>
      </c>
      <c r="F1413" s="2" t="inlineStr">
        <is>
          <t>Boleto "57403" do cliente "CARLOS RIBEIRO DO AMARAL"</t>
        </is>
      </c>
      <c r="G1413" s="2" t="inlineStr">
        <is>
          <t>system</t>
        </is>
      </c>
      <c r="H1413" s="2" t="inlineStr">
        <is>
          <t>01.01.01 : Mensalidade</t>
        </is>
      </c>
      <c r="I1413" s="3" t="n">
        <v>80</v>
      </c>
      <c r="J1413" s="2" t="n"/>
      <c r="K1413" s="2">
        <f>IF(H1413="02.09 : Outras Saídas", IF(OR(ISNUMBER(SEARCH("CHEQUE COMPE SICREDI", F1413)), ISNUMBER(SEARCH("aniversario", F1413)), ISNUMBER(SEARCH("churrasco", F1413)), ISNUMBER(SEARCH("bolo", F1413)), ISNUMBER(SEARCH("SUPERMERCADO", F1413))), "6.1 Despesas Administrativas (Pessoal)", IF(OR(ISNUMBER(SEARCH("DLKNET", F1413)), ISNUMBER(SEARCH("TESTE", F1413))), "6.1 Despesas Administrativas (Gerais)", IFERROR(VLOOKUP(H1413, De_Para!A:B, 2, FALSE), "NÃO MAPEADO"))), IFERROR(VLOOKUP(H1413, De_Para!A:B, 2, FALSE), "NÃO MAPEADO"))</f>
        <v/>
      </c>
    </row>
    <row r="1414">
      <c r="A1414" s="2" t="inlineStr">
        <is>
          <t>68272</t>
        </is>
      </c>
      <c r="B1414" s="2" t="inlineStr">
        <is>
          <t>Sicoob</t>
        </is>
      </c>
      <c r="C1414" s="2" t="inlineStr">
        <is>
          <t>09/06/2026</t>
        </is>
      </c>
      <c r="D1414" s="2" t="inlineStr">
        <is>
          <t>09/06/2026</t>
        </is>
      </c>
      <c r="E1414" s="2" t="inlineStr">
        <is>
          <t>Dinheiro</t>
        </is>
      </c>
      <c r="F1414" s="2" t="inlineStr">
        <is>
          <t>Boleto "56455" do cliente "NATALIANE DE LIMA SANTANA"</t>
        </is>
      </c>
      <c r="G1414" s="2" t="inlineStr">
        <is>
          <t>system</t>
        </is>
      </c>
      <c r="H1414" s="2" t="inlineStr">
        <is>
          <t>02.03.02.01 : Cobrança Bancaria</t>
        </is>
      </c>
      <c r="I1414" s="2" t="n"/>
      <c r="J1414" s="3" t="n">
        <v>-0.88</v>
      </c>
      <c r="K1414" s="2">
        <f>IF(H1414="02.09 : Outras Saídas", IF(OR(ISNUMBER(SEARCH("CHEQUE COMPE SICREDI", F1414)), ISNUMBER(SEARCH("aniversario", F1414)), ISNUMBER(SEARCH("churrasco", F1414)), ISNUMBER(SEARCH("bolo", F1414)), ISNUMBER(SEARCH("SUPERMERCADO", F1414))), "6.1 Despesas Administrativas (Pessoal)", IF(OR(ISNUMBER(SEARCH("DLKNET", F1414)), ISNUMBER(SEARCH("TESTE", F1414))), "6.1 Despesas Administrativas (Gerais)", IFERROR(VLOOKUP(H1414, De_Para!A:B, 2, FALSE), "NÃO MAPEADO"))), IFERROR(VLOOKUP(H1414, De_Para!A:B, 2, FALSE), "NÃO MAPEADO"))</f>
        <v/>
      </c>
    </row>
    <row r="1415">
      <c r="A1415" s="2" t="inlineStr">
        <is>
          <t>68271</t>
        </is>
      </c>
      <c r="B1415" s="2" t="inlineStr">
        <is>
          <t>Sicoob</t>
        </is>
      </c>
      <c r="C1415" s="2" t="inlineStr">
        <is>
          <t>09/06/2026</t>
        </is>
      </c>
      <c r="D1415" s="2" t="inlineStr">
        <is>
          <t>09/06/2026</t>
        </is>
      </c>
      <c r="E1415" s="2" t="inlineStr">
        <is>
          <t>Dinheiro</t>
        </is>
      </c>
      <c r="F1415" s="2" t="inlineStr">
        <is>
          <t>Boleto "56455" do cliente "NATALIANE DE LIMA SANTANA"</t>
        </is>
      </c>
      <c r="G1415" s="2" t="inlineStr">
        <is>
          <t>system</t>
        </is>
      </c>
      <c r="H1415" s="2" t="inlineStr">
        <is>
          <t>01.01.01 : Mensalidade</t>
        </is>
      </c>
      <c r="I1415" s="3" t="n">
        <v>105</v>
      </c>
      <c r="J1415" s="2" t="n"/>
      <c r="K1415" s="2">
        <f>IF(H1415="02.09 : Outras Saídas", IF(OR(ISNUMBER(SEARCH("CHEQUE COMPE SICREDI", F1415)), ISNUMBER(SEARCH("aniversario", F1415)), ISNUMBER(SEARCH("churrasco", F1415)), ISNUMBER(SEARCH("bolo", F1415)), ISNUMBER(SEARCH("SUPERMERCADO", F1415))), "6.1 Despesas Administrativas (Pessoal)", IF(OR(ISNUMBER(SEARCH("DLKNET", F1415)), ISNUMBER(SEARCH("TESTE", F1415))), "6.1 Despesas Administrativas (Gerais)", IFERROR(VLOOKUP(H1415, De_Para!A:B, 2, FALSE), "NÃO MAPEADO"))), IFERROR(VLOOKUP(H1415, De_Para!A:B, 2, FALSE), "NÃO MAPEADO"))</f>
        <v/>
      </c>
    </row>
    <row r="1416">
      <c r="A1416" s="2" t="inlineStr">
        <is>
          <t>68270</t>
        </is>
      </c>
      <c r="B1416" s="2" t="inlineStr">
        <is>
          <t>Sicoob</t>
        </is>
      </c>
      <c r="C1416" s="2" t="inlineStr">
        <is>
          <t>09/06/2026</t>
        </is>
      </c>
      <c r="D1416" s="2" t="inlineStr">
        <is>
          <t>09/06/2026</t>
        </is>
      </c>
      <c r="E1416" s="2" t="inlineStr">
        <is>
          <t>Dinheiro</t>
        </is>
      </c>
      <c r="F1416" s="2" t="inlineStr">
        <is>
          <t>Boleto "56008" do cliente "MARCO INOCENCIO MIRANDA"</t>
        </is>
      </c>
      <c r="G1416" s="2" t="inlineStr">
        <is>
          <t>system</t>
        </is>
      </c>
      <c r="H1416" s="2" t="inlineStr">
        <is>
          <t>02.03.02.01 : Cobrança Bancaria</t>
        </is>
      </c>
      <c r="I1416" s="2" t="n"/>
      <c r="J1416" s="3" t="n">
        <v>-0.88</v>
      </c>
      <c r="K1416" s="2">
        <f>IF(H1416="02.09 : Outras Saídas", IF(OR(ISNUMBER(SEARCH("CHEQUE COMPE SICREDI", F1416)), ISNUMBER(SEARCH("aniversario", F1416)), ISNUMBER(SEARCH("churrasco", F1416)), ISNUMBER(SEARCH("bolo", F1416)), ISNUMBER(SEARCH("SUPERMERCADO", F1416))), "6.1 Despesas Administrativas (Pessoal)", IF(OR(ISNUMBER(SEARCH("DLKNET", F1416)), ISNUMBER(SEARCH("TESTE", F1416))), "6.1 Despesas Administrativas (Gerais)", IFERROR(VLOOKUP(H1416, De_Para!A:B, 2, FALSE), "NÃO MAPEADO"))), IFERROR(VLOOKUP(H1416, De_Para!A:B, 2, FALSE), "NÃO MAPEADO"))</f>
        <v/>
      </c>
    </row>
    <row r="1417">
      <c r="A1417" s="2" t="inlineStr">
        <is>
          <t>68269</t>
        </is>
      </c>
      <c r="B1417" s="2" t="inlineStr">
        <is>
          <t>Sicoob</t>
        </is>
      </c>
      <c r="C1417" s="2" t="inlineStr">
        <is>
          <t>09/06/2026</t>
        </is>
      </c>
      <c r="D1417" s="2" t="inlineStr">
        <is>
          <t>09/06/2026</t>
        </is>
      </c>
      <c r="E1417" s="2" t="inlineStr">
        <is>
          <t>Dinheiro</t>
        </is>
      </c>
      <c r="F1417" s="2" t="inlineStr">
        <is>
          <t>Boleto "56008" do cliente "MARCO INOCENCIO MIRANDA"</t>
        </is>
      </c>
      <c r="G1417" s="2" t="inlineStr">
        <is>
          <t>system</t>
        </is>
      </c>
      <c r="H1417" s="2" t="inlineStr">
        <is>
          <t>01.01.01 : Mensalidade</t>
        </is>
      </c>
      <c r="I1417" s="3" t="n">
        <v>50</v>
      </c>
      <c r="J1417" s="2" t="n"/>
      <c r="K1417" s="2">
        <f>IF(H1417="02.09 : Outras Saídas", IF(OR(ISNUMBER(SEARCH("CHEQUE COMPE SICREDI", F1417)), ISNUMBER(SEARCH("aniversario", F1417)), ISNUMBER(SEARCH("churrasco", F1417)), ISNUMBER(SEARCH("bolo", F1417)), ISNUMBER(SEARCH("SUPERMERCADO", F1417))), "6.1 Despesas Administrativas (Pessoal)", IF(OR(ISNUMBER(SEARCH("DLKNET", F1417)), ISNUMBER(SEARCH("TESTE", F1417))), "6.1 Despesas Administrativas (Gerais)", IFERROR(VLOOKUP(H1417, De_Para!A:B, 2, FALSE), "NÃO MAPEADO"))), IFERROR(VLOOKUP(H1417, De_Para!A:B, 2, FALSE), "NÃO MAPEADO"))</f>
        <v/>
      </c>
    </row>
    <row r="1418">
      <c r="A1418" s="2" t="inlineStr">
        <is>
          <t>68268</t>
        </is>
      </c>
      <c r="B1418" s="2" t="inlineStr">
        <is>
          <t>Sicredi SNI</t>
        </is>
      </c>
      <c r="C1418" s="2" t="inlineStr">
        <is>
          <t>09/06/2026</t>
        </is>
      </c>
      <c r="D1418" s="2" t="inlineStr">
        <is>
          <t>09/06/2026</t>
        </is>
      </c>
      <c r="E1418" s="2" t="inlineStr">
        <is>
          <t>PIX</t>
        </is>
      </c>
      <c r="F1418" s="2" t="inlineStr">
        <is>
          <t>Boleto "56545" do cliente "LUIZ PAULO CORREA"</t>
        </is>
      </c>
      <c r="G1418" s="2" t="inlineStr">
        <is>
          <t>system</t>
        </is>
      </c>
      <c r="H1418" s="2" t="inlineStr">
        <is>
          <t>02.03.02.01 : Cobrança Bancaria</t>
        </is>
      </c>
      <c r="I1418" s="2" t="n"/>
      <c r="J1418" s="3" t="n">
        <v>-0.49</v>
      </c>
      <c r="K1418" s="2">
        <f>IF(H1418="02.09 : Outras Saídas", IF(OR(ISNUMBER(SEARCH("CHEQUE COMPE SICREDI", F1418)), ISNUMBER(SEARCH("aniversario", F1418)), ISNUMBER(SEARCH("churrasco", F1418)), ISNUMBER(SEARCH("bolo", F1418)), ISNUMBER(SEARCH("SUPERMERCADO", F1418))), "6.1 Despesas Administrativas (Pessoal)", IF(OR(ISNUMBER(SEARCH("DLKNET", F1418)), ISNUMBER(SEARCH("TESTE", F1418))), "6.1 Despesas Administrativas (Gerais)", IFERROR(VLOOKUP(H1418, De_Para!A:B, 2, FALSE), "NÃO MAPEADO"))), IFERROR(VLOOKUP(H1418, De_Para!A:B, 2, FALSE), "NÃO MAPEADO"))</f>
        <v/>
      </c>
    </row>
    <row r="1419">
      <c r="A1419" s="2" t="inlineStr">
        <is>
          <t>68267</t>
        </is>
      </c>
      <c r="B1419" s="2" t="inlineStr">
        <is>
          <t>Sicredi SNI</t>
        </is>
      </c>
      <c r="C1419" s="2" t="inlineStr">
        <is>
          <t>09/06/2026</t>
        </is>
      </c>
      <c r="D1419" s="2" t="inlineStr">
        <is>
          <t>09/06/2026</t>
        </is>
      </c>
      <c r="E1419" s="2" t="inlineStr">
        <is>
          <t>PIX</t>
        </is>
      </c>
      <c r="F1419" s="2" t="inlineStr">
        <is>
          <t>Boleto "56545" do cliente "LUIZ PAULO CORREA"</t>
        </is>
      </c>
      <c r="G1419" s="2" t="inlineStr">
        <is>
          <t>system</t>
        </is>
      </c>
      <c r="H1419" s="2" t="inlineStr">
        <is>
          <t>01.01.01 : Mensalidade</t>
        </is>
      </c>
      <c r="I1419" s="3" t="n">
        <v>100</v>
      </c>
      <c r="J1419" s="2" t="n"/>
      <c r="K1419" s="2">
        <f>IF(H1419="02.09 : Outras Saídas", IF(OR(ISNUMBER(SEARCH("CHEQUE COMPE SICREDI", F1419)), ISNUMBER(SEARCH("aniversario", F1419)), ISNUMBER(SEARCH("churrasco", F1419)), ISNUMBER(SEARCH("bolo", F1419)), ISNUMBER(SEARCH("SUPERMERCADO", F1419))), "6.1 Despesas Administrativas (Pessoal)", IF(OR(ISNUMBER(SEARCH("DLKNET", F1419)), ISNUMBER(SEARCH("TESTE", F1419))), "6.1 Despesas Administrativas (Gerais)", IFERROR(VLOOKUP(H1419, De_Para!A:B, 2, FALSE), "NÃO MAPEADO"))), IFERROR(VLOOKUP(H1419, De_Para!A:B, 2, FALSE), "NÃO MAPEADO"))</f>
        <v/>
      </c>
    </row>
    <row r="1420">
      <c r="A1420" s="2" t="inlineStr">
        <is>
          <t>68266</t>
        </is>
      </c>
      <c r="B1420" s="2" t="inlineStr">
        <is>
          <t>Sicredi SNI</t>
        </is>
      </c>
      <c r="C1420" s="2" t="inlineStr">
        <is>
          <t>09/06/2026</t>
        </is>
      </c>
      <c r="D1420" s="2" t="inlineStr">
        <is>
          <t>09/06/2026</t>
        </is>
      </c>
      <c r="E1420" s="2" t="inlineStr">
        <is>
          <t>PIX</t>
        </is>
      </c>
      <c r="F1420" s="2" t="inlineStr">
        <is>
          <t>Boleto "60652" do cliente "MARLI MESSIAS FEDRO"</t>
        </is>
      </c>
      <c r="G1420" s="2" t="inlineStr">
        <is>
          <t>system</t>
        </is>
      </c>
      <c r="H1420" s="2" t="inlineStr">
        <is>
          <t>02.03.02.01 : Cobrança Bancaria</t>
        </is>
      </c>
      <c r="I1420" s="2" t="n"/>
      <c r="J1420" s="3" t="n">
        <v>-0.49</v>
      </c>
      <c r="K1420" s="2">
        <f>IF(H1420="02.09 : Outras Saídas", IF(OR(ISNUMBER(SEARCH("CHEQUE COMPE SICREDI", F1420)), ISNUMBER(SEARCH("aniversario", F1420)), ISNUMBER(SEARCH("churrasco", F1420)), ISNUMBER(SEARCH("bolo", F1420)), ISNUMBER(SEARCH("SUPERMERCADO", F1420))), "6.1 Despesas Administrativas (Pessoal)", IF(OR(ISNUMBER(SEARCH("DLKNET", F1420)), ISNUMBER(SEARCH("TESTE", F1420))), "6.1 Despesas Administrativas (Gerais)", IFERROR(VLOOKUP(H1420, De_Para!A:B, 2, FALSE), "NÃO MAPEADO"))), IFERROR(VLOOKUP(H1420, De_Para!A:B, 2, FALSE), "NÃO MAPEADO"))</f>
        <v/>
      </c>
    </row>
    <row r="1421">
      <c r="A1421" s="2" t="inlineStr">
        <is>
          <t>68265</t>
        </is>
      </c>
      <c r="B1421" s="2" t="inlineStr">
        <is>
          <t>Sicredi SNI</t>
        </is>
      </c>
      <c r="C1421" s="2" t="inlineStr">
        <is>
          <t>09/06/2026</t>
        </is>
      </c>
      <c r="D1421" s="2" t="inlineStr">
        <is>
          <t>09/06/2026</t>
        </is>
      </c>
      <c r="E1421" s="2" t="inlineStr">
        <is>
          <t>PIX</t>
        </is>
      </c>
      <c r="F1421" s="2" t="inlineStr">
        <is>
          <t>Boleto "60652" do cliente "MARLI MESSIAS FEDRO"</t>
        </is>
      </c>
      <c r="G1421" s="2" t="inlineStr">
        <is>
          <t>system</t>
        </is>
      </c>
      <c r="H1421" s="2" t="inlineStr">
        <is>
          <t>01.01.01 : Mensalidade</t>
        </is>
      </c>
      <c r="I1421" s="3" t="n">
        <v>80</v>
      </c>
      <c r="J1421" s="2" t="n"/>
      <c r="K1421" s="2">
        <f>IF(H1421="02.09 : Outras Saídas", IF(OR(ISNUMBER(SEARCH("CHEQUE COMPE SICREDI", F1421)), ISNUMBER(SEARCH("aniversario", F1421)), ISNUMBER(SEARCH("churrasco", F1421)), ISNUMBER(SEARCH("bolo", F1421)), ISNUMBER(SEARCH("SUPERMERCADO", F1421))), "6.1 Despesas Administrativas (Pessoal)", IF(OR(ISNUMBER(SEARCH("DLKNET", F1421)), ISNUMBER(SEARCH("TESTE", F1421))), "6.1 Despesas Administrativas (Gerais)", IFERROR(VLOOKUP(H1421, De_Para!A:B, 2, FALSE), "NÃO MAPEADO"))), IFERROR(VLOOKUP(H1421, De_Para!A:B, 2, FALSE), "NÃO MAPEADO"))</f>
        <v/>
      </c>
    </row>
    <row r="1422">
      <c r="A1422" s="2" t="inlineStr">
        <is>
          <t>68264</t>
        </is>
      </c>
      <c r="B1422" s="2" t="inlineStr">
        <is>
          <t>Sicredi SNI</t>
        </is>
      </c>
      <c r="C1422" s="2" t="inlineStr">
        <is>
          <t>09/06/2026</t>
        </is>
      </c>
      <c r="D1422" s="2" t="inlineStr">
        <is>
          <t>08/06/2026</t>
        </is>
      </c>
      <c r="E1422" s="2" t="inlineStr">
        <is>
          <t>Débito em Conta</t>
        </is>
      </c>
      <c r="F1422" s="2" t="inlineStr">
        <is>
          <t>TARIFA COM R LIQUIDACAO</t>
        </is>
      </c>
      <c r="G1422" s="2" t="inlineStr">
        <is>
          <t>clau</t>
        </is>
      </c>
      <c r="H1422" s="2" t="inlineStr">
        <is>
          <t>02.03.03.09 : TARIFA COM R LIQUIDACAO</t>
        </is>
      </c>
      <c r="I1422" s="2" t="n"/>
      <c r="J1422" s="3" t="n">
        <v>-13.6</v>
      </c>
      <c r="K1422" s="2">
        <f>IF(H1422="02.09 : Outras Saídas", IF(OR(ISNUMBER(SEARCH("CHEQUE COMPE SICREDI", F1422)), ISNUMBER(SEARCH("aniversario", F1422)), ISNUMBER(SEARCH("churrasco", F1422)), ISNUMBER(SEARCH("bolo", F1422)), ISNUMBER(SEARCH("SUPERMERCADO", F1422))), "6.1 Despesas Administrativas (Pessoal)", IF(OR(ISNUMBER(SEARCH("DLKNET", F1422)), ISNUMBER(SEARCH("TESTE", F1422))), "6.1 Despesas Administrativas (Gerais)", IFERROR(VLOOKUP(H1422, De_Para!A:B, 2, FALSE), "NÃO MAPEADO"))), IFERROR(VLOOKUP(H1422, De_Para!A:B, 2, FALSE), "NÃO MAPEADO"))</f>
        <v/>
      </c>
    </row>
    <row r="1423">
      <c r="A1423" s="2" t="inlineStr">
        <is>
          <t>68263</t>
        </is>
      </c>
      <c r="B1423" s="2" t="inlineStr">
        <is>
          <t>Sicredi SNI</t>
        </is>
      </c>
      <c r="C1423" s="2" t="inlineStr">
        <is>
          <t>09/06/2026</t>
        </is>
      </c>
      <c r="D1423" s="2" t="inlineStr">
        <is>
          <t>08/06/2026</t>
        </is>
      </c>
      <c r="E1423" s="2" t="inlineStr">
        <is>
          <t>Débito em Conta</t>
        </is>
      </c>
      <c r="F1423" s="2" t="inlineStr">
        <is>
          <t>TARIFA COM R LIQUIDACAO</t>
        </is>
      </c>
      <c r="G1423" s="2" t="inlineStr">
        <is>
          <t>clau</t>
        </is>
      </c>
      <c r="H1423" s="2" t="inlineStr">
        <is>
          <t>02.03.03.09 : TARIFA COM R LIQUIDACAO</t>
        </is>
      </c>
      <c r="I1423" s="2" t="n"/>
      <c r="J1423" s="3" t="n">
        <v>-4.25</v>
      </c>
      <c r="K1423" s="2">
        <f>IF(H1423="02.09 : Outras Saídas", IF(OR(ISNUMBER(SEARCH("CHEQUE COMPE SICREDI", F1423)), ISNUMBER(SEARCH("aniversario", F1423)), ISNUMBER(SEARCH("churrasco", F1423)), ISNUMBER(SEARCH("bolo", F1423)), ISNUMBER(SEARCH("SUPERMERCADO", F1423))), "6.1 Despesas Administrativas (Pessoal)", IF(OR(ISNUMBER(SEARCH("DLKNET", F1423)), ISNUMBER(SEARCH("TESTE", F1423))), "6.1 Despesas Administrativas (Gerais)", IFERROR(VLOOKUP(H1423, De_Para!A:B, 2, FALSE), "NÃO MAPEADO"))), IFERROR(VLOOKUP(H1423, De_Para!A:B, 2, FALSE), "NÃO MAPEADO"))</f>
        <v/>
      </c>
    </row>
    <row r="1424">
      <c r="A1424" s="2" t="inlineStr">
        <is>
          <t>68262</t>
        </is>
      </c>
      <c r="B1424" s="2" t="inlineStr">
        <is>
          <t>Sicredi SNI</t>
        </is>
      </c>
      <c r="C1424" s="2" t="inlineStr">
        <is>
          <t>09/06/2026</t>
        </is>
      </c>
      <c r="D1424" s="2" t="inlineStr">
        <is>
          <t>08/06/2026</t>
        </is>
      </c>
      <c r="E1424" s="2" t="inlineStr">
        <is>
          <t>PIX</t>
        </is>
      </c>
      <c r="F1424" s="2" t="inlineStr">
        <is>
          <t>PAGAMENTO PIX 09477667000154 SUPERGAS SANTOS</t>
        </is>
      </c>
      <c r="G1424" s="2" t="inlineStr">
        <is>
          <t>clau</t>
        </is>
      </c>
      <c r="H1424" s="2" t="inlineStr">
        <is>
          <t>02.03.02.07 : Pro-Labore</t>
        </is>
      </c>
      <c r="I1424" s="2" t="n"/>
      <c r="J1424" s="3" t="n">
        <v>-1888</v>
      </c>
      <c r="K1424" s="2">
        <f>IF(H1424="02.09 : Outras Saídas", IF(OR(ISNUMBER(SEARCH("CHEQUE COMPE SICREDI", F1424)), ISNUMBER(SEARCH("aniversario", F1424)), ISNUMBER(SEARCH("churrasco", F1424)), ISNUMBER(SEARCH("bolo", F1424)), ISNUMBER(SEARCH("SUPERMERCADO", F1424))), "6.1 Despesas Administrativas (Pessoal)", IF(OR(ISNUMBER(SEARCH("DLKNET", F1424)), ISNUMBER(SEARCH("TESTE", F1424))), "6.1 Despesas Administrativas (Gerais)", IFERROR(VLOOKUP(H1424, De_Para!A:B, 2, FALSE), "NÃO MAPEADO"))), IFERROR(VLOOKUP(H1424, De_Para!A:B, 2, FALSE), "NÃO MAPEADO"))</f>
        <v/>
      </c>
    </row>
    <row r="1425">
      <c r="A1425" s="2" t="inlineStr">
        <is>
          <t>68261</t>
        </is>
      </c>
      <c r="B1425" s="2" t="inlineStr">
        <is>
          <t>Sicredi SNI</t>
        </is>
      </c>
      <c r="C1425" s="2" t="inlineStr">
        <is>
          <t>09/06/2026</t>
        </is>
      </c>
      <c r="D1425" s="2" t="inlineStr">
        <is>
          <t>08/06/2026</t>
        </is>
      </c>
      <c r="E1425" s="2" t="inlineStr">
        <is>
          <t>Boleto</t>
        </is>
      </c>
      <c r="F1425" s="2" t="inlineStr">
        <is>
          <t>LIQUIDACAO BOLETO 20302290000135 LUX PRIME CONTA</t>
        </is>
      </c>
      <c r="G1425" s="2" t="inlineStr">
        <is>
          <t>clau</t>
        </is>
      </c>
      <c r="H1425" s="2" t="inlineStr">
        <is>
          <t>02.03.02.10 : Contabilidade</t>
        </is>
      </c>
      <c r="I1425" s="2" t="n"/>
      <c r="J1425" s="3" t="n">
        <v>-500</v>
      </c>
      <c r="K1425" s="2">
        <f>IF(H1425="02.09 : Outras Saídas", IF(OR(ISNUMBER(SEARCH("CHEQUE COMPE SICREDI", F1425)), ISNUMBER(SEARCH("aniversario", F1425)), ISNUMBER(SEARCH("churrasco", F1425)), ISNUMBER(SEARCH("bolo", F1425)), ISNUMBER(SEARCH("SUPERMERCADO", F1425))), "6.1 Despesas Administrativas (Pessoal)", IF(OR(ISNUMBER(SEARCH("DLKNET", F1425)), ISNUMBER(SEARCH("TESTE", F1425))), "6.1 Despesas Administrativas (Gerais)", IFERROR(VLOOKUP(H1425, De_Para!A:B, 2, FALSE), "NÃO MAPEADO"))), IFERROR(VLOOKUP(H1425, De_Para!A:B, 2, FALSE), "NÃO MAPEADO"))</f>
        <v/>
      </c>
    </row>
    <row r="1426">
      <c r="A1426" s="2" t="inlineStr">
        <is>
          <t>68260</t>
        </is>
      </c>
      <c r="B1426" s="2" t="inlineStr">
        <is>
          <t>Sicredi SNI</t>
        </is>
      </c>
      <c r="C1426" s="2" t="inlineStr">
        <is>
          <t>09/06/2026</t>
        </is>
      </c>
      <c r="D1426" s="2" t="inlineStr">
        <is>
          <t>09/06/2026</t>
        </is>
      </c>
      <c r="E1426" s="2" t="inlineStr">
        <is>
          <t>PIX</t>
        </is>
      </c>
      <c r="F1426" s="2" t="inlineStr">
        <is>
          <t>Boleto "60984" do cliente "NACIEL SILVA FREITAS"</t>
        </is>
      </c>
      <c r="G1426" s="2" t="inlineStr">
        <is>
          <t>system</t>
        </is>
      </c>
      <c r="H1426" s="2" t="inlineStr">
        <is>
          <t>02.03.02.01 : Cobrança Bancaria</t>
        </is>
      </c>
      <c r="I1426" s="2" t="n"/>
      <c r="J1426" s="3" t="n">
        <v>-0.49</v>
      </c>
      <c r="K1426" s="2">
        <f>IF(H1426="02.09 : Outras Saídas", IF(OR(ISNUMBER(SEARCH("CHEQUE COMPE SICREDI", F1426)), ISNUMBER(SEARCH("aniversario", F1426)), ISNUMBER(SEARCH("churrasco", F1426)), ISNUMBER(SEARCH("bolo", F1426)), ISNUMBER(SEARCH("SUPERMERCADO", F1426))), "6.1 Despesas Administrativas (Pessoal)", IF(OR(ISNUMBER(SEARCH("DLKNET", F1426)), ISNUMBER(SEARCH("TESTE", F1426))), "6.1 Despesas Administrativas (Gerais)", IFERROR(VLOOKUP(H1426, De_Para!A:B, 2, FALSE), "NÃO MAPEADO"))), IFERROR(VLOOKUP(H1426, De_Para!A:B, 2, FALSE), "NÃO MAPEADO"))</f>
        <v/>
      </c>
    </row>
    <row r="1427">
      <c r="A1427" s="2" t="inlineStr">
        <is>
          <t>68259</t>
        </is>
      </c>
      <c r="B1427" s="2" t="inlineStr">
        <is>
          <t>Sicredi SNI</t>
        </is>
      </c>
      <c r="C1427" s="2" t="inlineStr">
        <is>
          <t>09/06/2026</t>
        </is>
      </c>
      <c r="D1427" s="2" t="inlineStr">
        <is>
          <t>09/06/2026</t>
        </is>
      </c>
      <c r="E1427" s="2" t="inlineStr">
        <is>
          <t>PIX</t>
        </is>
      </c>
      <c r="F1427" s="2" t="inlineStr">
        <is>
          <t>Boleto "60984" do cliente "NACIEL SILVA FREITAS"</t>
        </is>
      </c>
      <c r="G1427" s="2" t="inlineStr">
        <is>
          <t>system</t>
        </is>
      </c>
      <c r="H1427" s="2" t="inlineStr">
        <is>
          <t>01.01.01 : Mensalidade</t>
        </is>
      </c>
      <c r="I1427" s="3" t="n">
        <v>105</v>
      </c>
      <c r="J1427" s="2" t="n"/>
      <c r="K1427" s="2">
        <f>IF(H1427="02.09 : Outras Saídas", IF(OR(ISNUMBER(SEARCH("CHEQUE COMPE SICREDI", F1427)), ISNUMBER(SEARCH("aniversario", F1427)), ISNUMBER(SEARCH("churrasco", F1427)), ISNUMBER(SEARCH("bolo", F1427)), ISNUMBER(SEARCH("SUPERMERCADO", F1427))), "6.1 Despesas Administrativas (Pessoal)", IF(OR(ISNUMBER(SEARCH("DLKNET", F1427)), ISNUMBER(SEARCH("TESTE", F1427))), "6.1 Despesas Administrativas (Gerais)", IFERROR(VLOOKUP(H1427, De_Para!A:B, 2, FALSE), "NÃO MAPEADO"))), IFERROR(VLOOKUP(H1427, De_Para!A:B, 2, FALSE), "NÃO MAPEADO"))</f>
        <v/>
      </c>
    </row>
    <row r="1428">
      <c r="A1428" s="2" t="inlineStr">
        <is>
          <t>68258</t>
        </is>
      </c>
      <c r="B1428" s="2" t="inlineStr">
        <is>
          <t>Sicredi SNI</t>
        </is>
      </c>
      <c r="C1428" s="2" t="inlineStr">
        <is>
          <t>09/06/2026</t>
        </is>
      </c>
      <c r="D1428" s="2" t="inlineStr">
        <is>
          <t>09/06/2026</t>
        </is>
      </c>
      <c r="E1428" s="2" t="inlineStr">
        <is>
          <t>Dinheiro</t>
        </is>
      </c>
      <c r="F1428" s="2" t="inlineStr">
        <is>
          <t>Boleto "66803" do cliente "MIGUEL LEPECHUKA NETO"</t>
        </is>
      </c>
      <c r="G1428" s="2" t="inlineStr">
        <is>
          <t>system</t>
        </is>
      </c>
      <c r="H1428" s="2" t="inlineStr">
        <is>
          <t>02.03.02.01 : Cobrança Bancaria</t>
        </is>
      </c>
      <c r="I1428" s="2" t="n"/>
      <c r="J1428" s="3" t="n">
        <v>-1.08</v>
      </c>
      <c r="K1428" s="2">
        <f>IF(H1428="02.09 : Outras Saídas", IF(OR(ISNUMBER(SEARCH("CHEQUE COMPE SICREDI", F1428)), ISNUMBER(SEARCH("aniversario", F1428)), ISNUMBER(SEARCH("churrasco", F1428)), ISNUMBER(SEARCH("bolo", F1428)), ISNUMBER(SEARCH("SUPERMERCADO", F1428))), "6.1 Despesas Administrativas (Pessoal)", IF(OR(ISNUMBER(SEARCH("DLKNET", F1428)), ISNUMBER(SEARCH("TESTE", F1428))), "6.1 Despesas Administrativas (Gerais)", IFERROR(VLOOKUP(H1428, De_Para!A:B, 2, FALSE), "NÃO MAPEADO"))), IFERROR(VLOOKUP(H1428, De_Para!A:B, 2, FALSE), "NÃO MAPEADO"))</f>
        <v/>
      </c>
    </row>
    <row r="1429">
      <c r="A1429" s="2" t="inlineStr">
        <is>
          <t>68257</t>
        </is>
      </c>
      <c r="B1429" s="2" t="inlineStr">
        <is>
          <t>Sicredi SNI</t>
        </is>
      </c>
      <c r="C1429" s="2" t="inlineStr">
        <is>
          <t>09/06/2026</t>
        </is>
      </c>
      <c r="D1429" s="2" t="inlineStr">
        <is>
          <t>09/06/2026</t>
        </is>
      </c>
      <c r="E1429" s="2" t="inlineStr">
        <is>
          <t>Dinheiro</t>
        </is>
      </c>
      <c r="F1429" s="2" t="inlineStr">
        <is>
          <t>Boleto "66803" do cliente "MIGUEL LEPECHUKA NETO"</t>
        </is>
      </c>
      <c r="G1429" s="2" t="inlineStr">
        <is>
          <t>system</t>
        </is>
      </c>
      <c r="H1429" s="2" t="inlineStr">
        <is>
          <t>01.01.01 : Mensalidade</t>
        </is>
      </c>
      <c r="I1429" s="3" t="n">
        <v>99.90000000000001</v>
      </c>
      <c r="J1429" s="2" t="n"/>
      <c r="K1429" s="2">
        <f>IF(H1429="02.09 : Outras Saídas", IF(OR(ISNUMBER(SEARCH("CHEQUE COMPE SICREDI", F1429)), ISNUMBER(SEARCH("aniversario", F1429)), ISNUMBER(SEARCH("churrasco", F1429)), ISNUMBER(SEARCH("bolo", F1429)), ISNUMBER(SEARCH("SUPERMERCADO", F1429))), "6.1 Despesas Administrativas (Pessoal)", IF(OR(ISNUMBER(SEARCH("DLKNET", F1429)), ISNUMBER(SEARCH("TESTE", F1429))), "6.1 Despesas Administrativas (Gerais)", IFERROR(VLOOKUP(H1429, De_Para!A:B, 2, FALSE), "NÃO MAPEADO"))), IFERROR(VLOOKUP(H1429, De_Para!A:B, 2, FALSE), "NÃO MAPEADO"))</f>
        <v/>
      </c>
    </row>
    <row r="1430">
      <c r="A1430" s="2" t="inlineStr">
        <is>
          <t>68256</t>
        </is>
      </c>
      <c r="B1430" s="2" t="inlineStr">
        <is>
          <t>Sicredi SNI</t>
        </is>
      </c>
      <c r="C1430" s="2" t="inlineStr">
        <is>
          <t>09/06/2026</t>
        </is>
      </c>
      <c r="D1430" s="2" t="inlineStr">
        <is>
          <t>09/06/2026</t>
        </is>
      </c>
      <c r="E1430" s="2" t="inlineStr">
        <is>
          <t>Dinheiro</t>
        </is>
      </c>
      <c r="F1430" s="2" t="inlineStr">
        <is>
          <t>Boleto "64143" do cliente "NECELINO GONÇALVES"</t>
        </is>
      </c>
      <c r="G1430" s="2" t="inlineStr">
        <is>
          <t>system</t>
        </is>
      </c>
      <c r="H1430" s="2" t="inlineStr">
        <is>
          <t>02.03.02.01 : Cobrança Bancaria</t>
        </is>
      </c>
      <c r="I1430" s="2" t="n"/>
      <c r="J1430" s="3" t="n">
        <v>-1.08</v>
      </c>
      <c r="K1430" s="2">
        <f>IF(H1430="02.09 : Outras Saídas", IF(OR(ISNUMBER(SEARCH("CHEQUE COMPE SICREDI", F1430)), ISNUMBER(SEARCH("aniversario", F1430)), ISNUMBER(SEARCH("churrasco", F1430)), ISNUMBER(SEARCH("bolo", F1430)), ISNUMBER(SEARCH("SUPERMERCADO", F1430))), "6.1 Despesas Administrativas (Pessoal)", IF(OR(ISNUMBER(SEARCH("DLKNET", F1430)), ISNUMBER(SEARCH("TESTE", F1430))), "6.1 Despesas Administrativas (Gerais)", IFERROR(VLOOKUP(H1430, De_Para!A:B, 2, FALSE), "NÃO MAPEADO"))), IFERROR(VLOOKUP(H1430, De_Para!A:B, 2, FALSE), "NÃO MAPEADO"))</f>
        <v/>
      </c>
    </row>
    <row r="1431">
      <c r="A1431" s="2" t="inlineStr">
        <is>
          <t>68255</t>
        </is>
      </c>
      <c r="B1431" s="2" t="inlineStr">
        <is>
          <t>Sicredi SNI</t>
        </is>
      </c>
      <c r="C1431" s="2" t="inlineStr">
        <is>
          <t>09/06/2026</t>
        </is>
      </c>
      <c r="D1431" s="2" t="inlineStr">
        <is>
          <t>09/06/2026</t>
        </is>
      </c>
      <c r="E1431" s="2" t="inlineStr">
        <is>
          <t>Dinheiro</t>
        </is>
      </c>
      <c r="F1431" s="2" t="inlineStr">
        <is>
          <t>Boleto "64143" do cliente "NECELINO GONÇALVES"</t>
        </is>
      </c>
      <c r="G1431" s="2" t="inlineStr">
        <is>
          <t>system</t>
        </is>
      </c>
      <c r="H1431" s="2" t="inlineStr">
        <is>
          <t>01.01.01 : Mensalidade</t>
        </is>
      </c>
      <c r="I1431" s="3" t="n">
        <v>104.9</v>
      </c>
      <c r="J1431" s="2" t="n"/>
      <c r="K1431" s="2">
        <f>IF(H1431="02.09 : Outras Saídas", IF(OR(ISNUMBER(SEARCH("CHEQUE COMPE SICREDI", F1431)), ISNUMBER(SEARCH("aniversario", F1431)), ISNUMBER(SEARCH("churrasco", F1431)), ISNUMBER(SEARCH("bolo", F1431)), ISNUMBER(SEARCH("SUPERMERCADO", F1431))), "6.1 Despesas Administrativas (Pessoal)", IF(OR(ISNUMBER(SEARCH("DLKNET", F1431)), ISNUMBER(SEARCH("TESTE", F1431))), "6.1 Despesas Administrativas (Gerais)", IFERROR(VLOOKUP(H1431, De_Para!A:B, 2, FALSE), "NÃO MAPEADO"))), IFERROR(VLOOKUP(H1431, De_Para!A:B, 2, FALSE), "NÃO MAPEADO"))</f>
        <v/>
      </c>
    </row>
    <row r="1432">
      <c r="A1432" s="2" t="inlineStr">
        <is>
          <t>68254</t>
        </is>
      </c>
      <c r="B1432" s="2" t="inlineStr">
        <is>
          <t>Sicredi SNI</t>
        </is>
      </c>
      <c r="C1432" s="2" t="inlineStr">
        <is>
          <t>09/06/2026</t>
        </is>
      </c>
      <c r="D1432" s="2" t="inlineStr">
        <is>
          <t>09/06/2026</t>
        </is>
      </c>
      <c r="E1432" s="2" t="inlineStr">
        <is>
          <t>Dinheiro</t>
        </is>
      </c>
      <c r="F1432" s="2" t="inlineStr">
        <is>
          <t>Boleto "63004" do cliente "BENEDITO APARECIDO TREVISAN"</t>
        </is>
      </c>
      <c r="G1432" s="2" t="inlineStr">
        <is>
          <t>system</t>
        </is>
      </c>
      <c r="H1432" s="2" t="inlineStr">
        <is>
          <t>02.03.02.01 : Cobrança Bancaria</t>
        </is>
      </c>
      <c r="I1432" s="2" t="n"/>
      <c r="J1432" s="3" t="n">
        <v>-1.08</v>
      </c>
      <c r="K1432" s="2">
        <f>IF(H1432="02.09 : Outras Saídas", IF(OR(ISNUMBER(SEARCH("CHEQUE COMPE SICREDI", F1432)), ISNUMBER(SEARCH("aniversario", F1432)), ISNUMBER(SEARCH("churrasco", F1432)), ISNUMBER(SEARCH("bolo", F1432)), ISNUMBER(SEARCH("SUPERMERCADO", F1432))), "6.1 Despesas Administrativas (Pessoal)", IF(OR(ISNUMBER(SEARCH("DLKNET", F1432)), ISNUMBER(SEARCH("TESTE", F1432))), "6.1 Despesas Administrativas (Gerais)", IFERROR(VLOOKUP(H1432, De_Para!A:B, 2, FALSE), "NÃO MAPEADO"))), IFERROR(VLOOKUP(H1432, De_Para!A:B, 2, FALSE), "NÃO MAPEADO"))</f>
        <v/>
      </c>
    </row>
    <row r="1433">
      <c r="A1433" s="2" t="inlineStr">
        <is>
          <t>68253</t>
        </is>
      </c>
      <c r="B1433" s="2" t="inlineStr">
        <is>
          <t>Sicredi SNI</t>
        </is>
      </c>
      <c r="C1433" s="2" t="inlineStr">
        <is>
          <t>09/06/2026</t>
        </is>
      </c>
      <c r="D1433" s="2" t="inlineStr">
        <is>
          <t>09/06/2026</t>
        </is>
      </c>
      <c r="E1433" s="2" t="inlineStr">
        <is>
          <t>Dinheiro</t>
        </is>
      </c>
      <c r="F1433" s="2" t="inlineStr">
        <is>
          <t>Boleto "63004" do cliente "BENEDITO APARECIDO TREVISAN"</t>
        </is>
      </c>
      <c r="G1433" s="2" t="inlineStr">
        <is>
          <t>system</t>
        </is>
      </c>
      <c r="H1433" s="2" t="inlineStr">
        <is>
          <t>01.01.01 : Mensalidade</t>
        </is>
      </c>
      <c r="I1433" s="3" t="n">
        <v>99.90000000000001</v>
      </c>
      <c r="J1433" s="2" t="n"/>
      <c r="K1433" s="2">
        <f>IF(H1433="02.09 : Outras Saídas", IF(OR(ISNUMBER(SEARCH("CHEQUE COMPE SICREDI", F1433)), ISNUMBER(SEARCH("aniversario", F1433)), ISNUMBER(SEARCH("churrasco", F1433)), ISNUMBER(SEARCH("bolo", F1433)), ISNUMBER(SEARCH("SUPERMERCADO", F1433))), "6.1 Despesas Administrativas (Pessoal)", IF(OR(ISNUMBER(SEARCH("DLKNET", F1433)), ISNUMBER(SEARCH("TESTE", F1433))), "6.1 Despesas Administrativas (Gerais)", IFERROR(VLOOKUP(H1433, De_Para!A:B, 2, FALSE), "NÃO MAPEADO"))), IFERROR(VLOOKUP(H1433, De_Para!A:B, 2, FALSE), "NÃO MAPEADO"))</f>
        <v/>
      </c>
    </row>
    <row r="1434">
      <c r="A1434" s="2" t="inlineStr">
        <is>
          <t>68252</t>
        </is>
      </c>
      <c r="B1434" s="2" t="inlineStr">
        <is>
          <t>Sicredi SNI</t>
        </is>
      </c>
      <c r="C1434" s="2" t="inlineStr">
        <is>
          <t>09/06/2026</t>
        </is>
      </c>
      <c r="D1434" s="2" t="inlineStr">
        <is>
          <t>09/06/2026</t>
        </is>
      </c>
      <c r="E1434" s="2" t="inlineStr">
        <is>
          <t>Dinheiro</t>
        </is>
      </c>
      <c r="F1434" s="2" t="inlineStr">
        <is>
          <t>Boleto "60153" do cliente "JEFERSON LEANDRO GUERRA DE OLIVEIRA"</t>
        </is>
      </c>
      <c r="G1434" s="2" t="inlineStr">
        <is>
          <t>system</t>
        </is>
      </c>
      <c r="H1434" s="2" t="inlineStr">
        <is>
          <t>02.03.02.01 : Cobrança Bancaria</t>
        </is>
      </c>
      <c r="I1434" s="2" t="n"/>
      <c r="J1434" s="3" t="n">
        <v>-1.08</v>
      </c>
      <c r="K1434" s="2">
        <f>IF(H1434="02.09 : Outras Saídas", IF(OR(ISNUMBER(SEARCH("CHEQUE COMPE SICREDI", F1434)), ISNUMBER(SEARCH("aniversario", F1434)), ISNUMBER(SEARCH("churrasco", F1434)), ISNUMBER(SEARCH("bolo", F1434)), ISNUMBER(SEARCH("SUPERMERCADO", F1434))), "6.1 Despesas Administrativas (Pessoal)", IF(OR(ISNUMBER(SEARCH("DLKNET", F1434)), ISNUMBER(SEARCH("TESTE", F1434))), "6.1 Despesas Administrativas (Gerais)", IFERROR(VLOOKUP(H1434, De_Para!A:B, 2, FALSE), "NÃO MAPEADO"))), IFERROR(VLOOKUP(H1434, De_Para!A:B, 2, FALSE), "NÃO MAPEADO"))</f>
        <v/>
      </c>
    </row>
    <row r="1435">
      <c r="A1435" s="2" t="inlineStr">
        <is>
          <t>68251</t>
        </is>
      </c>
      <c r="B1435" s="2" t="inlineStr">
        <is>
          <t>Sicredi SNI</t>
        </is>
      </c>
      <c r="C1435" s="2" t="inlineStr">
        <is>
          <t>09/06/2026</t>
        </is>
      </c>
      <c r="D1435" s="2" t="inlineStr">
        <is>
          <t>09/06/2026</t>
        </is>
      </c>
      <c r="E1435" s="2" t="inlineStr">
        <is>
          <t>Dinheiro</t>
        </is>
      </c>
      <c r="F1435" s="2" t="inlineStr">
        <is>
          <t>Boleto "60153" do cliente "JEFERSON LEANDRO GUERRA DE OLIVEIRA"</t>
        </is>
      </c>
      <c r="G1435" s="2" t="inlineStr">
        <is>
          <t>system</t>
        </is>
      </c>
      <c r="H1435" s="2" t="inlineStr">
        <is>
          <t>01.01.01 : Mensalidade</t>
        </is>
      </c>
      <c r="I1435" s="3" t="n">
        <v>105</v>
      </c>
      <c r="J1435" s="2" t="n"/>
      <c r="K1435" s="2">
        <f>IF(H1435="02.09 : Outras Saídas", IF(OR(ISNUMBER(SEARCH("CHEQUE COMPE SICREDI", F1435)), ISNUMBER(SEARCH("aniversario", F1435)), ISNUMBER(SEARCH("churrasco", F1435)), ISNUMBER(SEARCH("bolo", F1435)), ISNUMBER(SEARCH("SUPERMERCADO", F1435))), "6.1 Despesas Administrativas (Pessoal)", IF(OR(ISNUMBER(SEARCH("DLKNET", F1435)), ISNUMBER(SEARCH("TESTE", F1435))), "6.1 Despesas Administrativas (Gerais)", IFERROR(VLOOKUP(H1435, De_Para!A:B, 2, FALSE), "NÃO MAPEADO"))), IFERROR(VLOOKUP(H1435, De_Para!A:B, 2, FALSE), "NÃO MAPEADO"))</f>
        <v/>
      </c>
    </row>
    <row r="1436">
      <c r="A1436" s="2" t="inlineStr">
        <is>
          <t>68250</t>
        </is>
      </c>
      <c r="B1436" s="2" t="inlineStr">
        <is>
          <t>Sicredi SNI</t>
        </is>
      </c>
      <c r="C1436" s="2" t="inlineStr">
        <is>
          <t>09/06/2026</t>
        </is>
      </c>
      <c r="D1436" s="2" t="inlineStr">
        <is>
          <t>09/06/2026</t>
        </is>
      </c>
      <c r="E1436" s="2" t="inlineStr">
        <is>
          <t>Dinheiro</t>
        </is>
      </c>
      <c r="F1436" s="2" t="inlineStr">
        <is>
          <t>Boleto "60001" do cliente "GLAUCIA FERREIRA RODRIGUES"</t>
        </is>
      </c>
      <c r="G1436" s="2" t="inlineStr">
        <is>
          <t>system</t>
        </is>
      </c>
      <c r="H1436" s="2" t="inlineStr">
        <is>
          <t>02.03.02.01 : Cobrança Bancaria</t>
        </is>
      </c>
      <c r="I1436" s="2" t="n"/>
      <c r="J1436" s="3" t="n">
        <v>-1.08</v>
      </c>
      <c r="K1436" s="2">
        <f>IF(H1436="02.09 : Outras Saídas", IF(OR(ISNUMBER(SEARCH("CHEQUE COMPE SICREDI", F1436)), ISNUMBER(SEARCH("aniversario", F1436)), ISNUMBER(SEARCH("churrasco", F1436)), ISNUMBER(SEARCH("bolo", F1436)), ISNUMBER(SEARCH("SUPERMERCADO", F1436))), "6.1 Despesas Administrativas (Pessoal)", IF(OR(ISNUMBER(SEARCH("DLKNET", F1436)), ISNUMBER(SEARCH("TESTE", F1436))), "6.1 Despesas Administrativas (Gerais)", IFERROR(VLOOKUP(H1436, De_Para!A:B, 2, FALSE), "NÃO MAPEADO"))), IFERROR(VLOOKUP(H1436, De_Para!A:B, 2, FALSE), "NÃO MAPEADO"))</f>
        <v/>
      </c>
    </row>
    <row r="1437">
      <c r="A1437" s="2" t="inlineStr">
        <is>
          <t>68249</t>
        </is>
      </c>
      <c r="B1437" s="2" t="inlineStr">
        <is>
          <t>Sicredi SNI</t>
        </is>
      </c>
      <c r="C1437" s="2" t="inlineStr">
        <is>
          <t>09/06/2026</t>
        </is>
      </c>
      <c r="D1437" s="2" t="inlineStr">
        <is>
          <t>09/06/2026</t>
        </is>
      </c>
      <c r="E1437" s="2" t="inlineStr">
        <is>
          <t>Dinheiro</t>
        </is>
      </c>
      <c r="F1437" s="2" t="inlineStr">
        <is>
          <t>Boleto "60001" do cliente "GLAUCIA FERREIRA RODRIGUES"</t>
        </is>
      </c>
      <c r="G1437" s="2" t="inlineStr">
        <is>
          <t>system</t>
        </is>
      </c>
      <c r="H1437" s="2" t="inlineStr">
        <is>
          <t>01.01.01 : Mensalidade</t>
        </is>
      </c>
      <c r="I1437" s="3" t="n">
        <v>105</v>
      </c>
      <c r="J1437" s="2" t="n"/>
      <c r="K1437" s="2">
        <f>IF(H1437="02.09 : Outras Saídas", IF(OR(ISNUMBER(SEARCH("CHEQUE COMPE SICREDI", F1437)), ISNUMBER(SEARCH("aniversario", F1437)), ISNUMBER(SEARCH("churrasco", F1437)), ISNUMBER(SEARCH("bolo", F1437)), ISNUMBER(SEARCH("SUPERMERCADO", F1437))), "6.1 Despesas Administrativas (Pessoal)", IF(OR(ISNUMBER(SEARCH("DLKNET", F1437)), ISNUMBER(SEARCH("TESTE", F1437))), "6.1 Despesas Administrativas (Gerais)", IFERROR(VLOOKUP(H1437, De_Para!A:B, 2, FALSE), "NÃO MAPEADO"))), IFERROR(VLOOKUP(H1437, De_Para!A:B, 2, FALSE), "NÃO MAPEADO"))</f>
        <v/>
      </c>
    </row>
    <row r="1438">
      <c r="A1438" s="2" t="inlineStr">
        <is>
          <t>68248</t>
        </is>
      </c>
      <c r="B1438" s="2" t="inlineStr">
        <is>
          <t>Sicredi SNI</t>
        </is>
      </c>
      <c r="C1438" s="2" t="inlineStr">
        <is>
          <t>09/06/2026</t>
        </is>
      </c>
      <c r="D1438" s="2" t="inlineStr">
        <is>
          <t>09/06/2026</t>
        </is>
      </c>
      <c r="E1438" s="2" t="inlineStr">
        <is>
          <t>Dinheiro</t>
        </is>
      </c>
      <c r="F1438" s="2" t="inlineStr">
        <is>
          <t>Boleto "57680" do cliente "LEVI VICENTE"</t>
        </is>
      </c>
      <c r="G1438" s="2" t="inlineStr">
        <is>
          <t>system</t>
        </is>
      </c>
      <c r="H1438" s="2" t="inlineStr">
        <is>
          <t>02.03.02.01 : Cobrança Bancaria</t>
        </is>
      </c>
      <c r="I1438" s="2" t="n"/>
      <c r="J1438" s="3" t="n">
        <v>-1.08</v>
      </c>
      <c r="K1438" s="2">
        <f>IF(H1438="02.09 : Outras Saídas", IF(OR(ISNUMBER(SEARCH("CHEQUE COMPE SICREDI", F1438)), ISNUMBER(SEARCH("aniversario", F1438)), ISNUMBER(SEARCH("churrasco", F1438)), ISNUMBER(SEARCH("bolo", F1438)), ISNUMBER(SEARCH("SUPERMERCADO", F1438))), "6.1 Despesas Administrativas (Pessoal)", IF(OR(ISNUMBER(SEARCH("DLKNET", F1438)), ISNUMBER(SEARCH("TESTE", F1438))), "6.1 Despesas Administrativas (Gerais)", IFERROR(VLOOKUP(H1438, De_Para!A:B, 2, FALSE), "NÃO MAPEADO"))), IFERROR(VLOOKUP(H1438, De_Para!A:B, 2, FALSE), "NÃO MAPEADO"))</f>
        <v/>
      </c>
    </row>
    <row r="1439">
      <c r="A1439" s="2" t="inlineStr">
        <is>
          <t>68247</t>
        </is>
      </c>
      <c r="B1439" s="2" t="inlineStr">
        <is>
          <t>Sicredi SNI</t>
        </is>
      </c>
      <c r="C1439" s="2" t="inlineStr">
        <is>
          <t>09/06/2026</t>
        </is>
      </c>
      <c r="D1439" s="2" t="inlineStr">
        <is>
          <t>09/06/2026</t>
        </is>
      </c>
      <c r="E1439" s="2" t="inlineStr">
        <is>
          <t>Dinheiro</t>
        </is>
      </c>
      <c r="F1439" s="2" t="inlineStr">
        <is>
          <t>Boleto "57680" do cliente "LEVI VICENTE"</t>
        </is>
      </c>
      <c r="G1439" s="2" t="inlineStr">
        <is>
          <t>system</t>
        </is>
      </c>
      <c r="H1439" s="2" t="inlineStr">
        <is>
          <t>01.01.01 : Mensalidade</t>
        </is>
      </c>
      <c r="I1439" s="3" t="n">
        <v>102.12</v>
      </c>
      <c r="J1439" s="2" t="n"/>
      <c r="K1439" s="2">
        <f>IF(H1439="02.09 : Outras Saídas", IF(OR(ISNUMBER(SEARCH("CHEQUE COMPE SICREDI", F1439)), ISNUMBER(SEARCH("aniversario", F1439)), ISNUMBER(SEARCH("churrasco", F1439)), ISNUMBER(SEARCH("bolo", F1439)), ISNUMBER(SEARCH("SUPERMERCADO", F1439))), "6.1 Despesas Administrativas (Pessoal)", IF(OR(ISNUMBER(SEARCH("DLKNET", F1439)), ISNUMBER(SEARCH("TESTE", F1439))), "6.1 Despesas Administrativas (Gerais)", IFERROR(VLOOKUP(H1439, De_Para!A:B, 2, FALSE), "NÃO MAPEADO"))), IFERROR(VLOOKUP(H1439, De_Para!A:B, 2, FALSE), "NÃO MAPEADO"))</f>
        <v/>
      </c>
    </row>
    <row r="1440">
      <c r="A1440" s="2" t="inlineStr">
        <is>
          <t>68246</t>
        </is>
      </c>
      <c r="B1440" s="2" t="inlineStr">
        <is>
          <t>Sicoob</t>
        </is>
      </c>
      <c r="C1440" s="2" t="inlineStr">
        <is>
          <t>09/06/2026</t>
        </is>
      </c>
      <c r="D1440" s="2" t="inlineStr">
        <is>
          <t>09/06/2026</t>
        </is>
      </c>
      <c r="E1440" s="2" t="inlineStr">
        <is>
          <t>Dinheiro</t>
        </is>
      </c>
      <c r="F1440" s="2" t="inlineStr">
        <is>
          <t>Boleto "66920" do cliente "NILSON PACHECO"</t>
        </is>
      </c>
      <c r="G1440" s="2" t="inlineStr">
        <is>
          <t>system</t>
        </is>
      </c>
      <c r="H1440" s="2" t="inlineStr">
        <is>
          <t>02.03.02.01 : Cobrança Bancaria</t>
        </is>
      </c>
      <c r="I1440" s="2" t="n"/>
      <c r="J1440" s="3" t="n">
        <v>-0.88</v>
      </c>
      <c r="K1440" s="2">
        <f>IF(H1440="02.09 : Outras Saídas", IF(OR(ISNUMBER(SEARCH("CHEQUE COMPE SICREDI", F1440)), ISNUMBER(SEARCH("aniversario", F1440)), ISNUMBER(SEARCH("churrasco", F1440)), ISNUMBER(SEARCH("bolo", F1440)), ISNUMBER(SEARCH("SUPERMERCADO", F1440))), "6.1 Despesas Administrativas (Pessoal)", IF(OR(ISNUMBER(SEARCH("DLKNET", F1440)), ISNUMBER(SEARCH("TESTE", F1440))), "6.1 Despesas Administrativas (Gerais)", IFERROR(VLOOKUP(H1440, De_Para!A:B, 2, FALSE), "NÃO MAPEADO"))), IFERROR(VLOOKUP(H1440, De_Para!A:B, 2, FALSE), "NÃO MAPEADO"))</f>
        <v/>
      </c>
    </row>
    <row r="1441">
      <c r="A1441" s="2" t="inlineStr">
        <is>
          <t>68245</t>
        </is>
      </c>
      <c r="B1441" s="2" t="inlineStr">
        <is>
          <t>Sicoob</t>
        </is>
      </c>
      <c r="C1441" s="2" t="inlineStr">
        <is>
          <t>09/06/2026</t>
        </is>
      </c>
      <c r="D1441" s="2" t="inlineStr">
        <is>
          <t>09/06/2026</t>
        </is>
      </c>
      <c r="E1441" s="2" t="inlineStr">
        <is>
          <t>Dinheiro</t>
        </is>
      </c>
      <c r="F1441" s="2" t="inlineStr">
        <is>
          <t>Boleto "66920" do cliente "NILSON PACHECO"</t>
        </is>
      </c>
      <c r="G1441" s="2" t="inlineStr">
        <is>
          <t>system</t>
        </is>
      </c>
      <c r="H1441" s="2" t="inlineStr">
        <is>
          <t>01.03.01 : Mensalidade</t>
        </is>
      </c>
      <c r="I1441" s="3" t="n">
        <v>69.90000000000001</v>
      </c>
      <c r="J1441" s="2" t="n"/>
      <c r="K1441" s="2">
        <f>IF(H1441="02.09 : Outras Saídas", IF(OR(ISNUMBER(SEARCH("CHEQUE COMPE SICREDI", F1441)), ISNUMBER(SEARCH("aniversario", F1441)), ISNUMBER(SEARCH("churrasco", F1441)), ISNUMBER(SEARCH("bolo", F1441)), ISNUMBER(SEARCH("SUPERMERCADO", F1441))), "6.1 Despesas Administrativas (Pessoal)", IF(OR(ISNUMBER(SEARCH("DLKNET", F1441)), ISNUMBER(SEARCH("TESTE", F1441))), "6.1 Despesas Administrativas (Gerais)", IFERROR(VLOOKUP(H1441, De_Para!A:B, 2, FALSE), "NÃO MAPEADO"))), IFERROR(VLOOKUP(H1441, De_Para!A:B, 2, FALSE), "NÃO MAPEADO"))</f>
        <v/>
      </c>
    </row>
    <row r="1442">
      <c r="A1442" s="2" t="inlineStr">
        <is>
          <t>68244</t>
        </is>
      </c>
      <c r="B1442" s="2" t="inlineStr">
        <is>
          <t>Sicoob</t>
        </is>
      </c>
      <c r="C1442" s="2" t="inlineStr">
        <is>
          <t>09/06/2026</t>
        </is>
      </c>
      <c r="D1442" s="2" t="inlineStr">
        <is>
          <t>09/06/2026</t>
        </is>
      </c>
      <c r="E1442" s="2" t="inlineStr">
        <is>
          <t>Dinheiro</t>
        </is>
      </c>
      <c r="F1442" s="2" t="inlineStr">
        <is>
          <t>Boleto "64662" do cliente "NELSON ALVARES DA SILVEIRA"</t>
        </is>
      </c>
      <c r="G1442" s="2" t="inlineStr">
        <is>
          <t>system</t>
        </is>
      </c>
      <c r="H1442" s="2" t="inlineStr">
        <is>
          <t>02.03.02.01 : Cobrança Bancaria</t>
        </is>
      </c>
      <c r="I1442" s="2" t="n"/>
      <c r="J1442" s="3" t="n">
        <v>-0.88</v>
      </c>
      <c r="K1442" s="2">
        <f>IF(H1442="02.09 : Outras Saídas", IF(OR(ISNUMBER(SEARCH("CHEQUE COMPE SICREDI", F1442)), ISNUMBER(SEARCH("aniversario", F1442)), ISNUMBER(SEARCH("churrasco", F1442)), ISNUMBER(SEARCH("bolo", F1442)), ISNUMBER(SEARCH("SUPERMERCADO", F1442))), "6.1 Despesas Administrativas (Pessoal)", IF(OR(ISNUMBER(SEARCH("DLKNET", F1442)), ISNUMBER(SEARCH("TESTE", F1442))), "6.1 Despesas Administrativas (Gerais)", IFERROR(VLOOKUP(H1442, De_Para!A:B, 2, FALSE), "NÃO MAPEADO"))), IFERROR(VLOOKUP(H1442, De_Para!A:B, 2, FALSE), "NÃO MAPEADO"))</f>
        <v/>
      </c>
    </row>
    <row r="1443">
      <c r="A1443" s="2" t="inlineStr">
        <is>
          <t>68243</t>
        </is>
      </c>
      <c r="B1443" s="2" t="inlineStr">
        <is>
          <t>Sicoob</t>
        </is>
      </c>
      <c r="C1443" s="2" t="inlineStr">
        <is>
          <t>09/06/2026</t>
        </is>
      </c>
      <c r="D1443" s="2" t="inlineStr">
        <is>
          <t>09/06/2026</t>
        </is>
      </c>
      <c r="E1443" s="2" t="inlineStr">
        <is>
          <t>Dinheiro</t>
        </is>
      </c>
      <c r="F1443" s="2" t="inlineStr">
        <is>
          <t>Boleto "64662" do cliente "NELSON ALVARES DA SILVEIRA"</t>
        </is>
      </c>
      <c r="G1443" s="2" t="inlineStr">
        <is>
          <t>system</t>
        </is>
      </c>
      <c r="H1443" s="2" t="inlineStr">
        <is>
          <t>01.03.01 : Mensalidade</t>
        </is>
      </c>
      <c r="I1443" s="3" t="n">
        <v>100</v>
      </c>
      <c r="J1443" s="2" t="n"/>
      <c r="K1443" s="2">
        <f>IF(H1443="02.09 : Outras Saídas", IF(OR(ISNUMBER(SEARCH("CHEQUE COMPE SICREDI", F1443)), ISNUMBER(SEARCH("aniversario", F1443)), ISNUMBER(SEARCH("churrasco", F1443)), ISNUMBER(SEARCH("bolo", F1443)), ISNUMBER(SEARCH("SUPERMERCADO", F1443))), "6.1 Despesas Administrativas (Pessoal)", IF(OR(ISNUMBER(SEARCH("DLKNET", F1443)), ISNUMBER(SEARCH("TESTE", F1443))), "6.1 Despesas Administrativas (Gerais)", IFERROR(VLOOKUP(H1443, De_Para!A:B, 2, FALSE), "NÃO MAPEADO"))), IFERROR(VLOOKUP(H1443, De_Para!A:B, 2, FALSE), "NÃO MAPEADO"))</f>
        <v/>
      </c>
    </row>
    <row r="1444">
      <c r="A1444" s="2" t="inlineStr">
        <is>
          <t>68242</t>
        </is>
      </c>
      <c r="B1444" s="2" t="inlineStr">
        <is>
          <t>Sicoob</t>
        </is>
      </c>
      <c r="C1444" s="2" t="inlineStr">
        <is>
          <t>09/06/2026</t>
        </is>
      </c>
      <c r="D1444" s="2" t="inlineStr">
        <is>
          <t>09/06/2026</t>
        </is>
      </c>
      <c r="E1444" s="2" t="inlineStr">
        <is>
          <t>Dinheiro</t>
        </is>
      </c>
      <c r="F1444" s="2" t="inlineStr">
        <is>
          <t>Boleto "64076" do cliente "JORGE ROSARIO ALEXANDRE"</t>
        </is>
      </c>
      <c r="G1444" s="2" t="inlineStr">
        <is>
          <t>system</t>
        </is>
      </c>
      <c r="H1444" s="2" t="inlineStr">
        <is>
          <t>02.03.02.01 : Cobrança Bancaria</t>
        </is>
      </c>
      <c r="I1444" s="2" t="n"/>
      <c r="J1444" s="3" t="n">
        <v>-0.88</v>
      </c>
      <c r="K1444" s="2">
        <f>IF(H1444="02.09 : Outras Saídas", IF(OR(ISNUMBER(SEARCH("CHEQUE COMPE SICREDI", F1444)), ISNUMBER(SEARCH("aniversario", F1444)), ISNUMBER(SEARCH("churrasco", F1444)), ISNUMBER(SEARCH("bolo", F1444)), ISNUMBER(SEARCH("SUPERMERCADO", F1444))), "6.1 Despesas Administrativas (Pessoal)", IF(OR(ISNUMBER(SEARCH("DLKNET", F1444)), ISNUMBER(SEARCH("TESTE", F1444))), "6.1 Despesas Administrativas (Gerais)", IFERROR(VLOOKUP(H1444, De_Para!A:B, 2, FALSE), "NÃO MAPEADO"))), IFERROR(VLOOKUP(H1444, De_Para!A:B, 2, FALSE), "NÃO MAPEADO"))</f>
        <v/>
      </c>
    </row>
    <row r="1445">
      <c r="A1445" s="2" t="inlineStr">
        <is>
          <t>68241</t>
        </is>
      </c>
      <c r="B1445" s="2" t="inlineStr">
        <is>
          <t>Sicoob</t>
        </is>
      </c>
      <c r="C1445" s="2" t="inlineStr">
        <is>
          <t>09/06/2026</t>
        </is>
      </c>
      <c r="D1445" s="2" t="inlineStr">
        <is>
          <t>09/06/2026</t>
        </is>
      </c>
      <c r="E1445" s="2" t="inlineStr">
        <is>
          <t>Dinheiro</t>
        </is>
      </c>
      <c r="F1445" s="2" t="inlineStr">
        <is>
          <t>Boleto "64076" do cliente "JORGE ROSARIO ALEXANDRE"</t>
        </is>
      </c>
      <c r="G1445" s="2" t="inlineStr">
        <is>
          <t>system</t>
        </is>
      </c>
      <c r="H1445" s="2" t="inlineStr">
        <is>
          <t>01.03.01 : Mensalidade</t>
        </is>
      </c>
      <c r="I1445" s="3" t="n">
        <v>105</v>
      </c>
      <c r="J1445" s="2" t="n"/>
      <c r="K1445" s="2">
        <f>IF(H1445="02.09 : Outras Saídas", IF(OR(ISNUMBER(SEARCH("CHEQUE COMPE SICREDI", F1445)), ISNUMBER(SEARCH("aniversario", F1445)), ISNUMBER(SEARCH("churrasco", F1445)), ISNUMBER(SEARCH("bolo", F1445)), ISNUMBER(SEARCH("SUPERMERCADO", F1445))), "6.1 Despesas Administrativas (Pessoal)", IF(OR(ISNUMBER(SEARCH("DLKNET", F1445)), ISNUMBER(SEARCH("TESTE", F1445))), "6.1 Despesas Administrativas (Gerais)", IFERROR(VLOOKUP(H1445, De_Para!A:B, 2, FALSE), "NÃO MAPEADO"))), IFERROR(VLOOKUP(H1445, De_Para!A:B, 2, FALSE), "NÃO MAPEADO"))</f>
        <v/>
      </c>
    </row>
    <row r="1446">
      <c r="A1446" s="2" t="inlineStr">
        <is>
          <t>68240</t>
        </is>
      </c>
      <c r="B1446" s="2" t="inlineStr">
        <is>
          <t>Sicoob</t>
        </is>
      </c>
      <c r="C1446" s="2" t="inlineStr">
        <is>
          <t>09/06/2026</t>
        </is>
      </c>
      <c r="D1446" s="2" t="inlineStr">
        <is>
          <t>09/06/2026</t>
        </is>
      </c>
      <c r="E1446" s="2" t="inlineStr">
        <is>
          <t>Dinheiro</t>
        </is>
      </c>
      <c r="F1446" s="2" t="inlineStr">
        <is>
          <t>Boleto "63877" do cliente "FLAVIO DE MORAES CAMPOS"</t>
        </is>
      </c>
      <c r="G1446" s="2" t="inlineStr">
        <is>
          <t>system</t>
        </is>
      </c>
      <c r="H1446" s="2" t="inlineStr">
        <is>
          <t>02.03.02.01 : Cobrança Bancaria</t>
        </is>
      </c>
      <c r="I1446" s="2" t="n"/>
      <c r="J1446" s="3" t="n">
        <v>-0.88</v>
      </c>
      <c r="K1446" s="2">
        <f>IF(H1446="02.09 : Outras Saídas", IF(OR(ISNUMBER(SEARCH("CHEQUE COMPE SICREDI", F1446)), ISNUMBER(SEARCH("aniversario", F1446)), ISNUMBER(SEARCH("churrasco", F1446)), ISNUMBER(SEARCH("bolo", F1446)), ISNUMBER(SEARCH("SUPERMERCADO", F1446))), "6.1 Despesas Administrativas (Pessoal)", IF(OR(ISNUMBER(SEARCH("DLKNET", F1446)), ISNUMBER(SEARCH("TESTE", F1446))), "6.1 Despesas Administrativas (Gerais)", IFERROR(VLOOKUP(H1446, De_Para!A:B, 2, FALSE), "NÃO MAPEADO"))), IFERROR(VLOOKUP(H1446, De_Para!A:B, 2, FALSE), "NÃO MAPEADO"))</f>
        <v/>
      </c>
    </row>
    <row r="1447">
      <c r="A1447" s="2" t="inlineStr">
        <is>
          <t>68239</t>
        </is>
      </c>
      <c r="B1447" s="2" t="inlineStr">
        <is>
          <t>Sicoob</t>
        </is>
      </c>
      <c r="C1447" s="2" t="inlineStr">
        <is>
          <t>09/06/2026</t>
        </is>
      </c>
      <c r="D1447" s="2" t="inlineStr">
        <is>
          <t>09/06/2026</t>
        </is>
      </c>
      <c r="E1447" s="2" t="inlineStr">
        <is>
          <t>Dinheiro</t>
        </is>
      </c>
      <c r="F1447" s="2" t="inlineStr">
        <is>
          <t>Boleto "63877" do cliente "FLAVIO DE MORAES CAMPOS"</t>
        </is>
      </c>
      <c r="G1447" s="2" t="inlineStr">
        <is>
          <t>system</t>
        </is>
      </c>
      <c r="H1447" s="2" t="inlineStr">
        <is>
          <t>01.01.01 : Mensalidade</t>
        </is>
      </c>
      <c r="I1447" s="3" t="n">
        <v>104.9</v>
      </c>
      <c r="J1447" s="2" t="n"/>
      <c r="K1447" s="2">
        <f>IF(H1447="02.09 : Outras Saídas", IF(OR(ISNUMBER(SEARCH("CHEQUE COMPE SICREDI", F1447)), ISNUMBER(SEARCH("aniversario", F1447)), ISNUMBER(SEARCH("churrasco", F1447)), ISNUMBER(SEARCH("bolo", F1447)), ISNUMBER(SEARCH("SUPERMERCADO", F1447))), "6.1 Despesas Administrativas (Pessoal)", IF(OR(ISNUMBER(SEARCH("DLKNET", F1447)), ISNUMBER(SEARCH("TESTE", F1447))), "6.1 Despesas Administrativas (Gerais)", IFERROR(VLOOKUP(H1447, De_Para!A:B, 2, FALSE), "NÃO MAPEADO"))), IFERROR(VLOOKUP(H1447, De_Para!A:B, 2, FALSE), "NÃO MAPEADO"))</f>
        <v/>
      </c>
    </row>
    <row r="1448">
      <c r="A1448" s="2" t="inlineStr">
        <is>
          <t>68238</t>
        </is>
      </c>
      <c r="B1448" s="2" t="inlineStr">
        <is>
          <t>Sicoob</t>
        </is>
      </c>
      <c r="C1448" s="2" t="inlineStr">
        <is>
          <t>09/06/2026</t>
        </is>
      </c>
      <c r="D1448" s="2" t="inlineStr">
        <is>
          <t>09/06/2026</t>
        </is>
      </c>
      <c r="E1448" s="2" t="inlineStr">
        <is>
          <t>Dinheiro</t>
        </is>
      </c>
      <c r="F1448" s="2" t="inlineStr">
        <is>
          <t>Boleto "63064" do cliente "VALDIR CONSULIN"</t>
        </is>
      </c>
      <c r="G1448" s="2" t="inlineStr">
        <is>
          <t>system</t>
        </is>
      </c>
      <c r="H1448" s="2" t="inlineStr">
        <is>
          <t>02.03.02.01 : Cobrança Bancaria</t>
        </is>
      </c>
      <c r="I1448" s="2" t="n"/>
      <c r="J1448" s="3" t="n">
        <v>-0.88</v>
      </c>
      <c r="K1448" s="2">
        <f>IF(H1448="02.09 : Outras Saídas", IF(OR(ISNUMBER(SEARCH("CHEQUE COMPE SICREDI", F1448)), ISNUMBER(SEARCH("aniversario", F1448)), ISNUMBER(SEARCH("churrasco", F1448)), ISNUMBER(SEARCH("bolo", F1448)), ISNUMBER(SEARCH("SUPERMERCADO", F1448))), "6.1 Despesas Administrativas (Pessoal)", IF(OR(ISNUMBER(SEARCH("DLKNET", F1448)), ISNUMBER(SEARCH("TESTE", F1448))), "6.1 Despesas Administrativas (Gerais)", IFERROR(VLOOKUP(H1448, De_Para!A:B, 2, FALSE), "NÃO MAPEADO"))), IFERROR(VLOOKUP(H1448, De_Para!A:B, 2, FALSE), "NÃO MAPEADO"))</f>
        <v/>
      </c>
    </row>
    <row r="1449">
      <c r="A1449" s="2" t="inlineStr">
        <is>
          <t>68237</t>
        </is>
      </c>
      <c r="B1449" s="2" t="inlineStr">
        <is>
          <t>Sicoob</t>
        </is>
      </c>
      <c r="C1449" s="2" t="inlineStr">
        <is>
          <t>09/06/2026</t>
        </is>
      </c>
      <c r="D1449" s="2" t="inlineStr">
        <is>
          <t>09/06/2026</t>
        </is>
      </c>
      <c r="E1449" s="2" t="inlineStr">
        <is>
          <t>Dinheiro</t>
        </is>
      </c>
      <c r="F1449" s="2" t="inlineStr">
        <is>
          <t>Boleto "63064" do cliente "VALDIR CONSULIN"</t>
        </is>
      </c>
      <c r="G1449" s="2" t="inlineStr">
        <is>
          <t>system</t>
        </is>
      </c>
      <c r="H1449" s="2" t="inlineStr">
        <is>
          <t>01.01.01 : Mensalidade</t>
        </is>
      </c>
      <c r="I1449" s="3" t="n">
        <v>80</v>
      </c>
      <c r="J1449" s="2" t="n"/>
      <c r="K1449" s="2">
        <f>IF(H1449="02.09 : Outras Saídas", IF(OR(ISNUMBER(SEARCH("CHEQUE COMPE SICREDI", F1449)), ISNUMBER(SEARCH("aniversario", F1449)), ISNUMBER(SEARCH("churrasco", F1449)), ISNUMBER(SEARCH("bolo", F1449)), ISNUMBER(SEARCH("SUPERMERCADO", F1449))), "6.1 Despesas Administrativas (Pessoal)", IF(OR(ISNUMBER(SEARCH("DLKNET", F1449)), ISNUMBER(SEARCH("TESTE", F1449))), "6.1 Despesas Administrativas (Gerais)", IFERROR(VLOOKUP(H1449, De_Para!A:B, 2, FALSE), "NÃO MAPEADO"))), IFERROR(VLOOKUP(H1449, De_Para!A:B, 2, FALSE), "NÃO MAPEADO"))</f>
        <v/>
      </c>
    </row>
    <row r="1450">
      <c r="A1450" s="2" t="inlineStr">
        <is>
          <t>68236</t>
        </is>
      </c>
      <c r="B1450" s="2" t="inlineStr">
        <is>
          <t>Sicoob</t>
        </is>
      </c>
      <c r="C1450" s="2" t="inlineStr">
        <is>
          <t>09/06/2026</t>
        </is>
      </c>
      <c r="D1450" s="2" t="inlineStr">
        <is>
          <t>09/06/2026</t>
        </is>
      </c>
      <c r="E1450" s="2" t="inlineStr">
        <is>
          <t>Dinheiro</t>
        </is>
      </c>
      <c r="F1450" s="2" t="inlineStr">
        <is>
          <t>Boleto "57447" do cliente "JOAO MARIA OSEAS DA SILVA"</t>
        </is>
      </c>
      <c r="G1450" s="2" t="inlineStr">
        <is>
          <t>system</t>
        </is>
      </c>
      <c r="H1450" s="2" t="inlineStr">
        <is>
          <t>02.03.02.01 : Cobrança Bancaria</t>
        </is>
      </c>
      <c r="I1450" s="2" t="n"/>
      <c r="J1450" s="3" t="n">
        <v>-0.88</v>
      </c>
      <c r="K1450" s="2">
        <f>IF(H1450="02.09 : Outras Saídas", IF(OR(ISNUMBER(SEARCH("CHEQUE COMPE SICREDI", F1450)), ISNUMBER(SEARCH("aniversario", F1450)), ISNUMBER(SEARCH("churrasco", F1450)), ISNUMBER(SEARCH("bolo", F1450)), ISNUMBER(SEARCH("SUPERMERCADO", F1450))), "6.1 Despesas Administrativas (Pessoal)", IF(OR(ISNUMBER(SEARCH("DLKNET", F1450)), ISNUMBER(SEARCH("TESTE", F1450))), "6.1 Despesas Administrativas (Gerais)", IFERROR(VLOOKUP(H1450, De_Para!A:B, 2, FALSE), "NÃO MAPEADO"))), IFERROR(VLOOKUP(H1450, De_Para!A:B, 2, FALSE), "NÃO MAPEADO"))</f>
        <v/>
      </c>
    </row>
    <row r="1451">
      <c r="A1451" s="2" t="inlineStr">
        <is>
          <t>68235</t>
        </is>
      </c>
      <c r="B1451" s="2" t="inlineStr">
        <is>
          <t>Sicoob</t>
        </is>
      </c>
      <c r="C1451" s="2" t="inlineStr">
        <is>
          <t>09/06/2026</t>
        </is>
      </c>
      <c r="D1451" s="2" t="inlineStr">
        <is>
          <t>09/06/2026</t>
        </is>
      </c>
      <c r="E1451" s="2" t="inlineStr">
        <is>
          <t>Dinheiro</t>
        </is>
      </c>
      <c r="F1451" s="2" t="inlineStr">
        <is>
          <t>Boleto "57447" do cliente "JOAO MARIA OSEAS DA SILVA"</t>
        </is>
      </c>
      <c r="G1451" s="2" t="inlineStr">
        <is>
          <t>system</t>
        </is>
      </c>
      <c r="H1451" s="2" t="inlineStr">
        <is>
          <t>01.01.01 : Mensalidade</t>
        </is>
      </c>
      <c r="I1451" s="3" t="n">
        <v>110</v>
      </c>
      <c r="J1451" s="2" t="n"/>
      <c r="K1451" s="2">
        <f>IF(H1451="02.09 : Outras Saídas", IF(OR(ISNUMBER(SEARCH("CHEQUE COMPE SICREDI", F1451)), ISNUMBER(SEARCH("aniversario", F1451)), ISNUMBER(SEARCH("churrasco", F1451)), ISNUMBER(SEARCH("bolo", F1451)), ISNUMBER(SEARCH("SUPERMERCADO", F1451))), "6.1 Despesas Administrativas (Pessoal)", IF(OR(ISNUMBER(SEARCH("DLKNET", F1451)), ISNUMBER(SEARCH("TESTE", F1451))), "6.1 Despesas Administrativas (Gerais)", IFERROR(VLOOKUP(H1451, De_Para!A:B, 2, FALSE), "NÃO MAPEADO"))), IFERROR(VLOOKUP(H1451, De_Para!A:B, 2, FALSE), "NÃO MAPEADO"))</f>
        <v/>
      </c>
    </row>
    <row r="1452">
      <c r="A1452" s="2" t="inlineStr">
        <is>
          <t>68234</t>
        </is>
      </c>
      <c r="B1452" s="2" t="inlineStr">
        <is>
          <t>Sicoob</t>
        </is>
      </c>
      <c r="C1452" s="2" t="inlineStr">
        <is>
          <t>09/06/2026</t>
        </is>
      </c>
      <c r="D1452" s="2" t="inlineStr">
        <is>
          <t>09/06/2026</t>
        </is>
      </c>
      <c r="E1452" s="2" t="inlineStr">
        <is>
          <t>Dinheiro</t>
        </is>
      </c>
      <c r="F1452" s="2" t="inlineStr">
        <is>
          <t>Boleto "57425" do cliente "FLAVIO JOSE DE OLIVEIRA CHUEIRE"</t>
        </is>
      </c>
      <c r="G1452" s="2" t="inlineStr">
        <is>
          <t>system</t>
        </is>
      </c>
      <c r="H1452" s="2" t="inlineStr">
        <is>
          <t>02.03.02.01 : Cobrança Bancaria</t>
        </is>
      </c>
      <c r="I1452" s="2" t="n"/>
      <c r="J1452" s="3" t="n">
        <v>-0.88</v>
      </c>
      <c r="K1452" s="2">
        <f>IF(H1452="02.09 : Outras Saídas", IF(OR(ISNUMBER(SEARCH("CHEQUE COMPE SICREDI", F1452)), ISNUMBER(SEARCH("aniversario", F1452)), ISNUMBER(SEARCH("churrasco", F1452)), ISNUMBER(SEARCH("bolo", F1452)), ISNUMBER(SEARCH("SUPERMERCADO", F1452))), "6.1 Despesas Administrativas (Pessoal)", IF(OR(ISNUMBER(SEARCH("DLKNET", F1452)), ISNUMBER(SEARCH("TESTE", F1452))), "6.1 Despesas Administrativas (Gerais)", IFERROR(VLOOKUP(H1452, De_Para!A:B, 2, FALSE), "NÃO MAPEADO"))), IFERROR(VLOOKUP(H1452, De_Para!A:B, 2, FALSE), "NÃO MAPEADO"))</f>
        <v/>
      </c>
    </row>
    <row r="1453">
      <c r="A1453" s="2" t="inlineStr">
        <is>
          <t>68233</t>
        </is>
      </c>
      <c r="B1453" s="2" t="inlineStr">
        <is>
          <t>Sicoob</t>
        </is>
      </c>
      <c r="C1453" s="2" t="inlineStr">
        <is>
          <t>09/06/2026</t>
        </is>
      </c>
      <c r="D1453" s="2" t="inlineStr">
        <is>
          <t>09/06/2026</t>
        </is>
      </c>
      <c r="E1453" s="2" t="inlineStr">
        <is>
          <t>Dinheiro</t>
        </is>
      </c>
      <c r="F1453" s="2" t="inlineStr">
        <is>
          <t>Boleto "57425" do cliente "FLAVIO JOSE DE OLIVEIRA CHUEIRE"</t>
        </is>
      </c>
      <c r="G1453" s="2" t="inlineStr">
        <is>
          <t>system</t>
        </is>
      </c>
      <c r="H1453" s="2" t="inlineStr">
        <is>
          <t>01.01.01 : Mensalidade</t>
        </is>
      </c>
      <c r="I1453" s="3" t="n">
        <v>105</v>
      </c>
      <c r="J1453" s="2" t="n"/>
      <c r="K1453" s="2">
        <f>IF(H1453="02.09 : Outras Saídas", IF(OR(ISNUMBER(SEARCH("CHEQUE COMPE SICREDI", F1453)), ISNUMBER(SEARCH("aniversario", F1453)), ISNUMBER(SEARCH("churrasco", F1453)), ISNUMBER(SEARCH("bolo", F1453)), ISNUMBER(SEARCH("SUPERMERCADO", F1453))), "6.1 Despesas Administrativas (Pessoal)", IF(OR(ISNUMBER(SEARCH("DLKNET", F1453)), ISNUMBER(SEARCH("TESTE", F1453))), "6.1 Despesas Administrativas (Gerais)", IFERROR(VLOOKUP(H1453, De_Para!A:B, 2, FALSE), "NÃO MAPEADO"))), IFERROR(VLOOKUP(H1453, De_Para!A:B, 2, FALSE), "NÃO MAPEADO"))</f>
        <v/>
      </c>
    </row>
    <row r="1454">
      <c r="A1454" s="2" t="inlineStr">
        <is>
          <t>68232</t>
        </is>
      </c>
      <c r="B1454" s="2" t="inlineStr">
        <is>
          <t>Sicoob</t>
        </is>
      </c>
      <c r="C1454" s="2" t="inlineStr">
        <is>
          <t>09/06/2026</t>
        </is>
      </c>
      <c r="D1454" s="2" t="inlineStr">
        <is>
          <t>09/06/2026</t>
        </is>
      </c>
      <c r="E1454" s="2" t="inlineStr">
        <is>
          <t>Dinheiro</t>
        </is>
      </c>
      <c r="F1454" s="2" t="inlineStr">
        <is>
          <t>Boleto "57414" do cliente "CELINA DE FATIMA DO VALE"</t>
        </is>
      </c>
      <c r="G1454" s="2" t="inlineStr">
        <is>
          <t>system</t>
        </is>
      </c>
      <c r="H1454" s="2" t="inlineStr">
        <is>
          <t>02.03.02.01 : Cobrança Bancaria</t>
        </is>
      </c>
      <c r="I1454" s="2" t="n"/>
      <c r="J1454" s="3" t="n">
        <v>-0.88</v>
      </c>
      <c r="K1454" s="2">
        <f>IF(H1454="02.09 : Outras Saídas", IF(OR(ISNUMBER(SEARCH("CHEQUE COMPE SICREDI", F1454)), ISNUMBER(SEARCH("aniversario", F1454)), ISNUMBER(SEARCH("churrasco", F1454)), ISNUMBER(SEARCH("bolo", F1454)), ISNUMBER(SEARCH("SUPERMERCADO", F1454))), "6.1 Despesas Administrativas (Pessoal)", IF(OR(ISNUMBER(SEARCH("DLKNET", F1454)), ISNUMBER(SEARCH("TESTE", F1454))), "6.1 Despesas Administrativas (Gerais)", IFERROR(VLOOKUP(H1454, De_Para!A:B, 2, FALSE), "NÃO MAPEADO"))), IFERROR(VLOOKUP(H1454, De_Para!A:B, 2, FALSE), "NÃO MAPEADO"))</f>
        <v/>
      </c>
    </row>
    <row r="1455">
      <c r="A1455" s="2" t="inlineStr">
        <is>
          <t>68231</t>
        </is>
      </c>
      <c r="B1455" s="2" t="inlineStr">
        <is>
          <t>Sicoob</t>
        </is>
      </c>
      <c r="C1455" s="2" t="inlineStr">
        <is>
          <t>09/06/2026</t>
        </is>
      </c>
      <c r="D1455" s="2" t="inlineStr">
        <is>
          <t>09/06/2026</t>
        </is>
      </c>
      <c r="E1455" s="2" t="inlineStr">
        <is>
          <t>Dinheiro</t>
        </is>
      </c>
      <c r="F1455" s="2" t="inlineStr">
        <is>
          <t>Boleto "57414" do cliente "CELINA DE FATIMA DO VALE"</t>
        </is>
      </c>
      <c r="G1455" s="2" t="inlineStr">
        <is>
          <t>system</t>
        </is>
      </c>
      <c r="H1455" s="2" t="inlineStr">
        <is>
          <t>01.01.01 : Mensalidade</t>
        </is>
      </c>
      <c r="I1455" s="3" t="n">
        <v>80</v>
      </c>
      <c r="J1455" s="2" t="n"/>
      <c r="K1455" s="2">
        <f>IF(H1455="02.09 : Outras Saídas", IF(OR(ISNUMBER(SEARCH("CHEQUE COMPE SICREDI", F1455)), ISNUMBER(SEARCH("aniversario", F1455)), ISNUMBER(SEARCH("churrasco", F1455)), ISNUMBER(SEARCH("bolo", F1455)), ISNUMBER(SEARCH("SUPERMERCADO", F1455))), "6.1 Despesas Administrativas (Pessoal)", IF(OR(ISNUMBER(SEARCH("DLKNET", F1455)), ISNUMBER(SEARCH("TESTE", F1455))), "6.1 Despesas Administrativas (Gerais)", IFERROR(VLOOKUP(H1455, De_Para!A:B, 2, FALSE), "NÃO MAPEADO"))), IFERROR(VLOOKUP(H1455, De_Para!A:B, 2, FALSE), "NÃO MAPEADO"))</f>
        <v/>
      </c>
    </row>
    <row r="1456">
      <c r="A1456" s="2" t="inlineStr">
        <is>
          <t>68230</t>
        </is>
      </c>
      <c r="B1456" s="2" t="inlineStr">
        <is>
          <t>Sicoob</t>
        </is>
      </c>
      <c r="C1456" s="2" t="inlineStr">
        <is>
          <t>09/06/2026</t>
        </is>
      </c>
      <c r="D1456" s="2" t="inlineStr">
        <is>
          <t>09/06/2026</t>
        </is>
      </c>
      <c r="E1456" s="2" t="inlineStr">
        <is>
          <t>Dinheiro</t>
        </is>
      </c>
      <c r="F1456" s="2" t="inlineStr">
        <is>
          <t>Boleto "57249" do cliente "POLIANA CAROLINE BARBOSA"</t>
        </is>
      </c>
      <c r="G1456" s="2" t="inlineStr">
        <is>
          <t>system</t>
        </is>
      </c>
      <c r="H1456" s="2" t="inlineStr">
        <is>
          <t>02.03.02.01 : Cobrança Bancaria</t>
        </is>
      </c>
      <c r="I1456" s="2" t="n"/>
      <c r="J1456" s="3" t="n">
        <v>-0.88</v>
      </c>
      <c r="K1456" s="2">
        <f>IF(H1456="02.09 : Outras Saídas", IF(OR(ISNUMBER(SEARCH("CHEQUE COMPE SICREDI", F1456)), ISNUMBER(SEARCH("aniversario", F1456)), ISNUMBER(SEARCH("churrasco", F1456)), ISNUMBER(SEARCH("bolo", F1456)), ISNUMBER(SEARCH("SUPERMERCADO", F1456))), "6.1 Despesas Administrativas (Pessoal)", IF(OR(ISNUMBER(SEARCH("DLKNET", F1456)), ISNUMBER(SEARCH("TESTE", F1456))), "6.1 Despesas Administrativas (Gerais)", IFERROR(VLOOKUP(H1456, De_Para!A:B, 2, FALSE), "NÃO MAPEADO"))), IFERROR(VLOOKUP(H1456, De_Para!A:B, 2, FALSE), "NÃO MAPEADO"))</f>
        <v/>
      </c>
    </row>
    <row r="1457">
      <c r="A1457" s="2" t="inlineStr">
        <is>
          <t>68229</t>
        </is>
      </c>
      <c r="B1457" s="2" t="inlineStr">
        <is>
          <t>Sicoob</t>
        </is>
      </c>
      <c r="C1457" s="2" t="inlineStr">
        <is>
          <t>09/06/2026</t>
        </is>
      </c>
      <c r="D1457" s="2" t="inlineStr">
        <is>
          <t>09/06/2026</t>
        </is>
      </c>
      <c r="E1457" s="2" t="inlineStr">
        <is>
          <t>Dinheiro</t>
        </is>
      </c>
      <c r="F1457" s="2" t="inlineStr">
        <is>
          <t>Boleto "57249" do cliente "POLIANA CAROLINE BARBOSA"</t>
        </is>
      </c>
      <c r="G1457" s="2" t="inlineStr">
        <is>
          <t>system</t>
        </is>
      </c>
      <c r="H1457" s="2" t="inlineStr">
        <is>
          <t>01.01.01 : Mensalidade</t>
        </is>
      </c>
      <c r="I1457" s="3" t="n">
        <v>105</v>
      </c>
      <c r="J1457" s="2" t="n"/>
      <c r="K1457" s="2">
        <f>IF(H1457="02.09 : Outras Saídas", IF(OR(ISNUMBER(SEARCH("CHEQUE COMPE SICREDI", F1457)), ISNUMBER(SEARCH("aniversario", F1457)), ISNUMBER(SEARCH("churrasco", F1457)), ISNUMBER(SEARCH("bolo", F1457)), ISNUMBER(SEARCH("SUPERMERCADO", F1457))), "6.1 Despesas Administrativas (Pessoal)", IF(OR(ISNUMBER(SEARCH("DLKNET", F1457)), ISNUMBER(SEARCH("TESTE", F1457))), "6.1 Despesas Administrativas (Gerais)", IFERROR(VLOOKUP(H1457, De_Para!A:B, 2, FALSE), "NÃO MAPEADO"))), IFERROR(VLOOKUP(H1457, De_Para!A:B, 2, FALSE), "NÃO MAPEADO"))</f>
        <v/>
      </c>
    </row>
    <row r="1458">
      <c r="A1458" s="2" t="inlineStr">
        <is>
          <t>68228</t>
        </is>
      </c>
      <c r="B1458" s="2" t="inlineStr">
        <is>
          <t>Sicoob</t>
        </is>
      </c>
      <c r="C1458" s="2" t="inlineStr">
        <is>
          <t>09/06/2026</t>
        </is>
      </c>
      <c r="D1458" s="2" t="inlineStr">
        <is>
          <t>09/06/2026</t>
        </is>
      </c>
      <c r="E1458" s="2" t="inlineStr">
        <is>
          <t>Dinheiro</t>
        </is>
      </c>
      <c r="F1458" s="2" t="inlineStr">
        <is>
          <t>Boleto "57161" do cliente "EDVALDO VITO RIBEIRO"</t>
        </is>
      </c>
      <c r="G1458" s="2" t="inlineStr">
        <is>
          <t>system</t>
        </is>
      </c>
      <c r="H1458" s="2" t="inlineStr">
        <is>
          <t>02.03.02.01 : Cobrança Bancaria</t>
        </is>
      </c>
      <c r="I1458" s="2" t="n"/>
      <c r="J1458" s="3" t="n">
        <v>-0.88</v>
      </c>
      <c r="K1458" s="2">
        <f>IF(H1458="02.09 : Outras Saídas", IF(OR(ISNUMBER(SEARCH("CHEQUE COMPE SICREDI", F1458)), ISNUMBER(SEARCH("aniversario", F1458)), ISNUMBER(SEARCH("churrasco", F1458)), ISNUMBER(SEARCH("bolo", F1458)), ISNUMBER(SEARCH("SUPERMERCADO", F1458))), "6.1 Despesas Administrativas (Pessoal)", IF(OR(ISNUMBER(SEARCH("DLKNET", F1458)), ISNUMBER(SEARCH("TESTE", F1458))), "6.1 Despesas Administrativas (Gerais)", IFERROR(VLOOKUP(H1458, De_Para!A:B, 2, FALSE), "NÃO MAPEADO"))), IFERROR(VLOOKUP(H1458, De_Para!A:B, 2, FALSE), "NÃO MAPEADO"))</f>
        <v/>
      </c>
    </row>
    <row r="1459">
      <c r="A1459" s="2" t="inlineStr">
        <is>
          <t>68227</t>
        </is>
      </c>
      <c r="B1459" s="2" t="inlineStr">
        <is>
          <t>Sicoob</t>
        </is>
      </c>
      <c r="C1459" s="2" t="inlineStr">
        <is>
          <t>09/06/2026</t>
        </is>
      </c>
      <c r="D1459" s="2" t="inlineStr">
        <is>
          <t>09/06/2026</t>
        </is>
      </c>
      <c r="E1459" s="2" t="inlineStr">
        <is>
          <t>Dinheiro</t>
        </is>
      </c>
      <c r="F1459" s="2" t="inlineStr">
        <is>
          <t>Boleto "57161" do cliente "EDVALDO VITO RIBEIRO"</t>
        </is>
      </c>
      <c r="G1459" s="2" t="inlineStr">
        <is>
          <t>system</t>
        </is>
      </c>
      <c r="H1459" s="2" t="inlineStr">
        <is>
          <t>01.03.01 : Mensalidade</t>
        </is>
      </c>
      <c r="I1459" s="3" t="n">
        <v>105</v>
      </c>
      <c r="J1459" s="2" t="n"/>
      <c r="K1459" s="2">
        <f>IF(H1459="02.09 : Outras Saídas", IF(OR(ISNUMBER(SEARCH("CHEQUE COMPE SICREDI", F1459)), ISNUMBER(SEARCH("aniversario", F1459)), ISNUMBER(SEARCH("churrasco", F1459)), ISNUMBER(SEARCH("bolo", F1459)), ISNUMBER(SEARCH("SUPERMERCADO", F1459))), "6.1 Despesas Administrativas (Pessoal)", IF(OR(ISNUMBER(SEARCH("DLKNET", F1459)), ISNUMBER(SEARCH("TESTE", F1459))), "6.1 Despesas Administrativas (Gerais)", IFERROR(VLOOKUP(H1459, De_Para!A:B, 2, FALSE), "NÃO MAPEADO"))), IFERROR(VLOOKUP(H1459, De_Para!A:B, 2, FALSE), "NÃO MAPEADO"))</f>
        <v/>
      </c>
    </row>
    <row r="1460">
      <c r="A1460" s="2" t="inlineStr">
        <is>
          <t>68226</t>
        </is>
      </c>
      <c r="B1460" s="2" t="inlineStr">
        <is>
          <t>Sicoob</t>
        </is>
      </c>
      <c r="C1460" s="2" t="inlineStr">
        <is>
          <t>09/06/2026</t>
        </is>
      </c>
      <c r="D1460" s="2" t="inlineStr">
        <is>
          <t>09/06/2026</t>
        </is>
      </c>
      <c r="E1460" s="2" t="inlineStr">
        <is>
          <t>Dinheiro</t>
        </is>
      </c>
      <c r="F1460" s="2" t="inlineStr">
        <is>
          <t>Boleto "56475" do cliente "CAMILA APARECIDA RIBEIRO DE ATAIDE"</t>
        </is>
      </c>
      <c r="G1460" s="2" t="inlineStr">
        <is>
          <t>system</t>
        </is>
      </c>
      <c r="H1460" s="2" t="inlineStr">
        <is>
          <t>02.03.02.01 : Cobrança Bancaria</t>
        </is>
      </c>
      <c r="I1460" s="2" t="n"/>
      <c r="J1460" s="3" t="n">
        <v>-0.88</v>
      </c>
      <c r="K1460" s="2">
        <f>IF(H1460="02.09 : Outras Saídas", IF(OR(ISNUMBER(SEARCH("CHEQUE COMPE SICREDI", F1460)), ISNUMBER(SEARCH("aniversario", F1460)), ISNUMBER(SEARCH("churrasco", F1460)), ISNUMBER(SEARCH("bolo", F1460)), ISNUMBER(SEARCH("SUPERMERCADO", F1460))), "6.1 Despesas Administrativas (Pessoal)", IF(OR(ISNUMBER(SEARCH("DLKNET", F1460)), ISNUMBER(SEARCH("TESTE", F1460))), "6.1 Despesas Administrativas (Gerais)", IFERROR(VLOOKUP(H1460, De_Para!A:B, 2, FALSE), "NÃO MAPEADO"))), IFERROR(VLOOKUP(H1460, De_Para!A:B, 2, FALSE), "NÃO MAPEADO"))</f>
        <v/>
      </c>
    </row>
    <row r="1461">
      <c r="A1461" s="2" t="inlineStr">
        <is>
          <t>68225</t>
        </is>
      </c>
      <c r="B1461" s="2" t="inlineStr">
        <is>
          <t>Sicoob</t>
        </is>
      </c>
      <c r="C1461" s="2" t="inlineStr">
        <is>
          <t>09/06/2026</t>
        </is>
      </c>
      <c r="D1461" s="2" t="inlineStr">
        <is>
          <t>09/06/2026</t>
        </is>
      </c>
      <c r="E1461" s="2" t="inlineStr">
        <is>
          <t>Dinheiro</t>
        </is>
      </c>
      <c r="F1461" s="2" t="inlineStr">
        <is>
          <t>Boleto "56475" do cliente "CAMILA APARECIDA RIBEIRO DE ATAIDE"</t>
        </is>
      </c>
      <c r="G1461" s="2" t="inlineStr">
        <is>
          <t>system</t>
        </is>
      </c>
      <c r="H1461" s="2" t="inlineStr">
        <is>
          <t>01.01.01 : Mensalidade</t>
        </is>
      </c>
      <c r="I1461" s="3" t="n">
        <v>105</v>
      </c>
      <c r="J1461" s="2" t="n"/>
      <c r="K1461" s="2">
        <f>IF(H1461="02.09 : Outras Saídas", IF(OR(ISNUMBER(SEARCH("CHEQUE COMPE SICREDI", F1461)), ISNUMBER(SEARCH("aniversario", F1461)), ISNUMBER(SEARCH("churrasco", F1461)), ISNUMBER(SEARCH("bolo", F1461)), ISNUMBER(SEARCH("SUPERMERCADO", F1461))), "6.1 Despesas Administrativas (Pessoal)", IF(OR(ISNUMBER(SEARCH("DLKNET", F1461)), ISNUMBER(SEARCH("TESTE", F1461))), "6.1 Despesas Administrativas (Gerais)", IFERROR(VLOOKUP(H1461, De_Para!A:B, 2, FALSE), "NÃO MAPEADO"))), IFERROR(VLOOKUP(H1461, De_Para!A:B, 2, FALSE), "NÃO MAPEADO"))</f>
        <v/>
      </c>
    </row>
    <row r="1462">
      <c r="A1462" s="2" t="inlineStr">
        <is>
          <t>68224</t>
        </is>
      </c>
      <c r="B1462" s="2" t="inlineStr">
        <is>
          <t>Sicoob</t>
        </is>
      </c>
      <c r="C1462" s="2" t="inlineStr">
        <is>
          <t>09/06/2026</t>
        </is>
      </c>
      <c r="D1462" s="2" t="inlineStr">
        <is>
          <t>09/06/2026</t>
        </is>
      </c>
      <c r="E1462" s="2" t="inlineStr">
        <is>
          <t>Dinheiro</t>
        </is>
      </c>
      <c r="F1462" s="2" t="inlineStr">
        <is>
          <t>Boleto "59843" do cliente "DIEGO DA SILVA PEREIRA"</t>
        </is>
      </c>
      <c r="G1462" s="2" t="inlineStr">
        <is>
          <t>system</t>
        </is>
      </c>
      <c r="H1462" s="2" t="inlineStr">
        <is>
          <t>02.03.02.01 : Cobrança Bancaria</t>
        </is>
      </c>
      <c r="I1462" s="2" t="n"/>
      <c r="J1462" s="3" t="n">
        <v>-0.88</v>
      </c>
      <c r="K1462" s="2">
        <f>IF(H1462="02.09 : Outras Saídas", IF(OR(ISNUMBER(SEARCH("CHEQUE COMPE SICREDI", F1462)), ISNUMBER(SEARCH("aniversario", F1462)), ISNUMBER(SEARCH("churrasco", F1462)), ISNUMBER(SEARCH("bolo", F1462)), ISNUMBER(SEARCH("SUPERMERCADO", F1462))), "6.1 Despesas Administrativas (Pessoal)", IF(OR(ISNUMBER(SEARCH("DLKNET", F1462)), ISNUMBER(SEARCH("TESTE", F1462))), "6.1 Despesas Administrativas (Gerais)", IFERROR(VLOOKUP(H1462, De_Para!A:B, 2, FALSE), "NÃO MAPEADO"))), IFERROR(VLOOKUP(H1462, De_Para!A:B, 2, FALSE), "NÃO MAPEADO"))</f>
        <v/>
      </c>
    </row>
    <row r="1463">
      <c r="A1463" s="2" t="inlineStr">
        <is>
          <t>68223</t>
        </is>
      </c>
      <c r="B1463" s="2" t="inlineStr">
        <is>
          <t>Sicoob</t>
        </is>
      </c>
      <c r="C1463" s="2" t="inlineStr">
        <is>
          <t>09/06/2026</t>
        </is>
      </c>
      <c r="D1463" s="2" t="inlineStr">
        <is>
          <t>09/06/2026</t>
        </is>
      </c>
      <c r="E1463" s="2" t="inlineStr">
        <is>
          <t>Dinheiro</t>
        </is>
      </c>
      <c r="F1463" s="2" t="inlineStr">
        <is>
          <t>Boleto "59843" do cliente "DIEGO DA SILVA PEREIRA"</t>
        </is>
      </c>
      <c r="G1463" s="2" t="inlineStr">
        <is>
          <t>system</t>
        </is>
      </c>
      <c r="H1463" s="2" t="inlineStr">
        <is>
          <t>01.01.01 : Mensalidade</t>
        </is>
      </c>
      <c r="I1463" s="3" t="n">
        <v>105</v>
      </c>
      <c r="J1463" s="2" t="n"/>
      <c r="K1463" s="2">
        <f>IF(H1463="02.09 : Outras Saídas", IF(OR(ISNUMBER(SEARCH("CHEQUE COMPE SICREDI", F1463)), ISNUMBER(SEARCH("aniversario", F1463)), ISNUMBER(SEARCH("churrasco", F1463)), ISNUMBER(SEARCH("bolo", F1463)), ISNUMBER(SEARCH("SUPERMERCADO", F1463))), "6.1 Despesas Administrativas (Pessoal)", IF(OR(ISNUMBER(SEARCH("DLKNET", F1463)), ISNUMBER(SEARCH("TESTE", F1463))), "6.1 Despesas Administrativas (Gerais)", IFERROR(VLOOKUP(H1463, De_Para!A:B, 2, FALSE), "NÃO MAPEADO"))), IFERROR(VLOOKUP(H1463, De_Para!A:B, 2, FALSE), "NÃO MAPEADO"))</f>
        <v/>
      </c>
    </row>
    <row r="1464">
      <c r="A1464" s="2" t="inlineStr">
        <is>
          <t>68222</t>
        </is>
      </c>
      <c r="B1464" s="2" t="inlineStr">
        <is>
          <t>Sicoob</t>
        </is>
      </c>
      <c r="C1464" s="2" t="inlineStr">
        <is>
          <t>09/06/2026</t>
        </is>
      </c>
      <c r="D1464" s="2" t="inlineStr">
        <is>
          <t>09/06/2026</t>
        </is>
      </c>
      <c r="E1464" s="2" t="inlineStr">
        <is>
          <t>Dinheiro</t>
        </is>
      </c>
      <c r="F1464" s="2" t="inlineStr">
        <is>
          <t>Boleto "58200" do cliente "DENISIA MARIA DA SILVA"</t>
        </is>
      </c>
      <c r="G1464" s="2" t="inlineStr">
        <is>
          <t>system</t>
        </is>
      </c>
      <c r="H1464" s="2" t="inlineStr">
        <is>
          <t>02.03.02.01 : Cobrança Bancaria</t>
        </is>
      </c>
      <c r="I1464" s="2" t="n"/>
      <c r="J1464" s="3" t="n">
        <v>-0.88</v>
      </c>
      <c r="K1464" s="2">
        <f>IF(H1464="02.09 : Outras Saídas", IF(OR(ISNUMBER(SEARCH("CHEQUE COMPE SICREDI", F1464)), ISNUMBER(SEARCH("aniversario", F1464)), ISNUMBER(SEARCH("churrasco", F1464)), ISNUMBER(SEARCH("bolo", F1464)), ISNUMBER(SEARCH("SUPERMERCADO", F1464))), "6.1 Despesas Administrativas (Pessoal)", IF(OR(ISNUMBER(SEARCH("DLKNET", F1464)), ISNUMBER(SEARCH("TESTE", F1464))), "6.1 Despesas Administrativas (Gerais)", IFERROR(VLOOKUP(H1464, De_Para!A:B, 2, FALSE), "NÃO MAPEADO"))), IFERROR(VLOOKUP(H1464, De_Para!A:B, 2, FALSE), "NÃO MAPEADO"))</f>
        <v/>
      </c>
    </row>
    <row r="1465">
      <c r="A1465" s="2" t="inlineStr">
        <is>
          <t>68221</t>
        </is>
      </c>
      <c r="B1465" s="2" t="inlineStr">
        <is>
          <t>Sicoob</t>
        </is>
      </c>
      <c r="C1465" s="2" t="inlineStr">
        <is>
          <t>09/06/2026</t>
        </is>
      </c>
      <c r="D1465" s="2" t="inlineStr">
        <is>
          <t>09/06/2026</t>
        </is>
      </c>
      <c r="E1465" s="2" t="inlineStr">
        <is>
          <t>Dinheiro</t>
        </is>
      </c>
      <c r="F1465" s="2" t="inlineStr">
        <is>
          <t>Boleto "58200" do cliente "DENISIA MARIA DA SILVA"</t>
        </is>
      </c>
      <c r="G1465" s="2" t="inlineStr">
        <is>
          <t>system</t>
        </is>
      </c>
      <c r="H1465" s="2" t="inlineStr">
        <is>
          <t>01.03.01 : Mensalidade</t>
        </is>
      </c>
      <c r="I1465" s="3" t="n">
        <v>105</v>
      </c>
      <c r="J1465" s="2" t="n"/>
      <c r="K1465" s="2">
        <f>IF(H1465="02.09 : Outras Saídas", IF(OR(ISNUMBER(SEARCH("CHEQUE COMPE SICREDI", F1465)), ISNUMBER(SEARCH("aniversario", F1465)), ISNUMBER(SEARCH("churrasco", F1465)), ISNUMBER(SEARCH("bolo", F1465)), ISNUMBER(SEARCH("SUPERMERCADO", F1465))), "6.1 Despesas Administrativas (Pessoal)", IF(OR(ISNUMBER(SEARCH("DLKNET", F1465)), ISNUMBER(SEARCH("TESTE", F1465))), "6.1 Despesas Administrativas (Gerais)", IFERROR(VLOOKUP(H1465, De_Para!A:B, 2, FALSE), "NÃO MAPEADO"))), IFERROR(VLOOKUP(H1465, De_Para!A:B, 2, FALSE), "NÃO MAPEADO"))</f>
        <v/>
      </c>
    </row>
    <row r="1466">
      <c r="A1466" s="2" t="inlineStr">
        <is>
          <t>68220</t>
        </is>
      </c>
      <c r="B1466" s="2" t="inlineStr">
        <is>
          <t>Sicoob</t>
        </is>
      </c>
      <c r="C1466" s="2" t="inlineStr">
        <is>
          <t>09/06/2026</t>
        </is>
      </c>
      <c r="D1466" s="2" t="inlineStr">
        <is>
          <t>09/06/2026</t>
        </is>
      </c>
      <c r="E1466" s="2" t="inlineStr">
        <is>
          <t>Dinheiro</t>
        </is>
      </c>
      <c r="F1466" s="2" t="inlineStr">
        <is>
          <t>Boleto "57612" do cliente "VILMAR GONCALVES VIEIRA"</t>
        </is>
      </c>
      <c r="G1466" s="2" t="inlineStr">
        <is>
          <t>system</t>
        </is>
      </c>
      <c r="H1466" s="2" t="inlineStr">
        <is>
          <t>02.03.02.01 : Cobrança Bancaria</t>
        </is>
      </c>
      <c r="I1466" s="2" t="n"/>
      <c r="J1466" s="3" t="n">
        <v>-0.88</v>
      </c>
      <c r="K1466" s="2">
        <f>IF(H1466="02.09 : Outras Saídas", IF(OR(ISNUMBER(SEARCH("CHEQUE COMPE SICREDI", F1466)), ISNUMBER(SEARCH("aniversario", F1466)), ISNUMBER(SEARCH("churrasco", F1466)), ISNUMBER(SEARCH("bolo", F1466)), ISNUMBER(SEARCH("SUPERMERCADO", F1466))), "6.1 Despesas Administrativas (Pessoal)", IF(OR(ISNUMBER(SEARCH("DLKNET", F1466)), ISNUMBER(SEARCH("TESTE", F1466))), "6.1 Despesas Administrativas (Gerais)", IFERROR(VLOOKUP(H1466, De_Para!A:B, 2, FALSE), "NÃO MAPEADO"))), IFERROR(VLOOKUP(H1466, De_Para!A:B, 2, FALSE), "NÃO MAPEADO"))</f>
        <v/>
      </c>
    </row>
    <row r="1467">
      <c r="A1467" s="2" t="inlineStr">
        <is>
          <t>68219</t>
        </is>
      </c>
      <c r="B1467" s="2" t="inlineStr">
        <is>
          <t>Sicoob</t>
        </is>
      </c>
      <c r="C1467" s="2" t="inlineStr">
        <is>
          <t>09/06/2026</t>
        </is>
      </c>
      <c r="D1467" s="2" t="inlineStr">
        <is>
          <t>09/06/2026</t>
        </is>
      </c>
      <c r="E1467" s="2" t="inlineStr">
        <is>
          <t>Dinheiro</t>
        </is>
      </c>
      <c r="F1467" s="2" t="inlineStr">
        <is>
          <t>Boleto "57612" do cliente "VILMAR GONCALVES VIEIRA"</t>
        </is>
      </c>
      <c r="G1467" s="2" t="inlineStr">
        <is>
          <t>system</t>
        </is>
      </c>
      <c r="H1467" s="2" t="inlineStr">
        <is>
          <t>01.01.01 : Mensalidade</t>
        </is>
      </c>
      <c r="I1467" s="3" t="n">
        <v>105</v>
      </c>
      <c r="J1467" s="2" t="n"/>
      <c r="K1467" s="2">
        <f>IF(H1467="02.09 : Outras Saídas", IF(OR(ISNUMBER(SEARCH("CHEQUE COMPE SICREDI", F1467)), ISNUMBER(SEARCH("aniversario", F1467)), ISNUMBER(SEARCH("churrasco", F1467)), ISNUMBER(SEARCH("bolo", F1467)), ISNUMBER(SEARCH("SUPERMERCADO", F1467))), "6.1 Despesas Administrativas (Pessoal)", IF(OR(ISNUMBER(SEARCH("DLKNET", F1467)), ISNUMBER(SEARCH("TESTE", F1467))), "6.1 Despesas Administrativas (Gerais)", IFERROR(VLOOKUP(H1467, De_Para!A:B, 2, FALSE), "NÃO MAPEADO"))), IFERROR(VLOOKUP(H1467, De_Para!A:B, 2, FALSE), "NÃO MAPEADO"))</f>
        <v/>
      </c>
    </row>
    <row r="1468">
      <c r="A1468" s="2" t="inlineStr">
        <is>
          <t>68218</t>
        </is>
      </c>
      <c r="B1468" s="2" t="inlineStr">
        <is>
          <t>Sicoob</t>
        </is>
      </c>
      <c r="C1468" s="2" t="inlineStr">
        <is>
          <t>09/06/2026</t>
        </is>
      </c>
      <c r="D1468" s="2" t="inlineStr">
        <is>
          <t>09/06/2026</t>
        </is>
      </c>
      <c r="E1468" s="2" t="inlineStr">
        <is>
          <t>Dinheiro</t>
        </is>
      </c>
      <c r="F1468" s="2" t="inlineStr">
        <is>
          <t>Boleto "56159" do cliente "LETICIA TORRES BATISTA"</t>
        </is>
      </c>
      <c r="G1468" s="2" t="inlineStr">
        <is>
          <t>system</t>
        </is>
      </c>
      <c r="H1468" s="2" t="inlineStr">
        <is>
          <t>02.03.02.01 : Cobrança Bancaria</t>
        </is>
      </c>
      <c r="I1468" s="2" t="n"/>
      <c r="J1468" s="3" t="n">
        <v>-0.88</v>
      </c>
      <c r="K1468" s="2">
        <f>IF(H1468="02.09 : Outras Saídas", IF(OR(ISNUMBER(SEARCH("CHEQUE COMPE SICREDI", F1468)), ISNUMBER(SEARCH("aniversario", F1468)), ISNUMBER(SEARCH("churrasco", F1468)), ISNUMBER(SEARCH("bolo", F1468)), ISNUMBER(SEARCH("SUPERMERCADO", F1468))), "6.1 Despesas Administrativas (Pessoal)", IF(OR(ISNUMBER(SEARCH("DLKNET", F1468)), ISNUMBER(SEARCH("TESTE", F1468))), "6.1 Despesas Administrativas (Gerais)", IFERROR(VLOOKUP(H1468, De_Para!A:B, 2, FALSE), "NÃO MAPEADO"))), IFERROR(VLOOKUP(H1468, De_Para!A:B, 2, FALSE), "NÃO MAPEADO"))</f>
        <v/>
      </c>
    </row>
    <row r="1469">
      <c r="A1469" s="2" t="inlineStr">
        <is>
          <t>68217</t>
        </is>
      </c>
      <c r="B1469" s="2" t="inlineStr">
        <is>
          <t>Sicoob</t>
        </is>
      </c>
      <c r="C1469" s="2" t="inlineStr">
        <is>
          <t>09/06/2026</t>
        </is>
      </c>
      <c r="D1469" s="2" t="inlineStr">
        <is>
          <t>09/06/2026</t>
        </is>
      </c>
      <c r="E1469" s="2" t="inlineStr">
        <is>
          <t>Dinheiro</t>
        </is>
      </c>
      <c r="F1469" s="2" t="inlineStr">
        <is>
          <t>Boleto "56159" do cliente "LETICIA TORRES BATISTA"</t>
        </is>
      </c>
      <c r="G1469" s="2" t="inlineStr">
        <is>
          <t>system</t>
        </is>
      </c>
      <c r="H1469" s="2" t="inlineStr">
        <is>
          <t>01.01.01 : Mensalidade</t>
        </is>
      </c>
      <c r="I1469" s="3" t="n">
        <v>105</v>
      </c>
      <c r="J1469" s="2" t="n"/>
      <c r="K1469" s="2">
        <f>IF(H1469="02.09 : Outras Saídas", IF(OR(ISNUMBER(SEARCH("CHEQUE COMPE SICREDI", F1469)), ISNUMBER(SEARCH("aniversario", F1469)), ISNUMBER(SEARCH("churrasco", F1469)), ISNUMBER(SEARCH("bolo", F1469)), ISNUMBER(SEARCH("SUPERMERCADO", F1469))), "6.1 Despesas Administrativas (Pessoal)", IF(OR(ISNUMBER(SEARCH("DLKNET", F1469)), ISNUMBER(SEARCH("TESTE", F1469))), "6.1 Despesas Administrativas (Gerais)", IFERROR(VLOOKUP(H1469, De_Para!A:B, 2, FALSE), "NÃO MAPEADO"))), IFERROR(VLOOKUP(H1469, De_Para!A:B, 2, FALSE), "NÃO MAPEADO"))</f>
        <v/>
      </c>
    </row>
    <row r="1470">
      <c r="A1470" s="2" t="inlineStr">
        <is>
          <t>68216</t>
        </is>
      </c>
      <c r="B1470" s="2" t="inlineStr">
        <is>
          <t>Sicoob</t>
        </is>
      </c>
      <c r="C1470" s="2" t="inlineStr">
        <is>
          <t>09/06/2026</t>
        </is>
      </c>
      <c r="D1470" s="2" t="inlineStr">
        <is>
          <t>09/06/2026</t>
        </is>
      </c>
      <c r="E1470" s="2" t="inlineStr">
        <is>
          <t>Dinheiro</t>
        </is>
      </c>
      <c r="F1470" s="2" t="inlineStr">
        <is>
          <t>Boleto "56118" do cliente "CARLOS ALBERTO FERREIRA PIMENTEL"</t>
        </is>
      </c>
      <c r="G1470" s="2" t="inlineStr">
        <is>
          <t>system</t>
        </is>
      </c>
      <c r="H1470" s="2" t="inlineStr">
        <is>
          <t>02.03.02.01 : Cobrança Bancaria</t>
        </is>
      </c>
      <c r="I1470" s="2" t="n"/>
      <c r="J1470" s="3" t="n">
        <v>-0.88</v>
      </c>
      <c r="K1470" s="2">
        <f>IF(H1470="02.09 : Outras Saídas", IF(OR(ISNUMBER(SEARCH("CHEQUE COMPE SICREDI", F1470)), ISNUMBER(SEARCH("aniversario", F1470)), ISNUMBER(SEARCH("churrasco", F1470)), ISNUMBER(SEARCH("bolo", F1470)), ISNUMBER(SEARCH("SUPERMERCADO", F1470))), "6.1 Despesas Administrativas (Pessoal)", IF(OR(ISNUMBER(SEARCH("DLKNET", F1470)), ISNUMBER(SEARCH("TESTE", F1470))), "6.1 Despesas Administrativas (Gerais)", IFERROR(VLOOKUP(H1470, De_Para!A:B, 2, FALSE), "NÃO MAPEADO"))), IFERROR(VLOOKUP(H1470, De_Para!A:B, 2, FALSE), "NÃO MAPEADO"))</f>
        <v/>
      </c>
    </row>
    <row r="1471">
      <c r="A1471" s="2" t="inlineStr">
        <is>
          <t>68215</t>
        </is>
      </c>
      <c r="B1471" s="2" t="inlineStr">
        <is>
          <t>Sicoob</t>
        </is>
      </c>
      <c r="C1471" s="2" t="inlineStr">
        <is>
          <t>09/06/2026</t>
        </is>
      </c>
      <c r="D1471" s="2" t="inlineStr">
        <is>
          <t>09/06/2026</t>
        </is>
      </c>
      <c r="E1471" s="2" t="inlineStr">
        <is>
          <t>Dinheiro</t>
        </is>
      </c>
      <c r="F1471" s="2" t="inlineStr">
        <is>
          <t>Boleto "56118" do cliente "CARLOS ALBERTO FERREIRA PIMENTEL"</t>
        </is>
      </c>
      <c r="G1471" s="2" t="inlineStr">
        <is>
          <t>system</t>
        </is>
      </c>
      <c r="H1471" s="2" t="inlineStr">
        <is>
          <t>01.03.01 : Mensalidade</t>
        </is>
      </c>
      <c r="I1471" s="3" t="n">
        <v>105</v>
      </c>
      <c r="J1471" s="2" t="n"/>
      <c r="K1471" s="2">
        <f>IF(H1471="02.09 : Outras Saídas", IF(OR(ISNUMBER(SEARCH("CHEQUE COMPE SICREDI", F1471)), ISNUMBER(SEARCH("aniversario", F1471)), ISNUMBER(SEARCH("churrasco", F1471)), ISNUMBER(SEARCH("bolo", F1471)), ISNUMBER(SEARCH("SUPERMERCADO", F1471))), "6.1 Despesas Administrativas (Pessoal)", IF(OR(ISNUMBER(SEARCH("DLKNET", F1471)), ISNUMBER(SEARCH("TESTE", F1471))), "6.1 Despesas Administrativas (Gerais)", IFERROR(VLOOKUP(H1471, De_Para!A:B, 2, FALSE), "NÃO MAPEADO"))), IFERROR(VLOOKUP(H1471, De_Para!A:B, 2, FALSE), "NÃO MAPEADO"))</f>
        <v/>
      </c>
    </row>
    <row r="1472">
      <c r="A1472" s="2" t="inlineStr">
        <is>
          <t>68214</t>
        </is>
      </c>
      <c r="B1472" s="2" t="inlineStr">
        <is>
          <t>Sicoob</t>
        </is>
      </c>
      <c r="C1472" s="2" t="inlineStr">
        <is>
          <t>09/06/2026</t>
        </is>
      </c>
      <c r="D1472" s="2" t="inlineStr">
        <is>
          <t>09/06/2026</t>
        </is>
      </c>
      <c r="E1472" s="2" t="inlineStr">
        <is>
          <t>Dinheiro</t>
        </is>
      </c>
      <c r="F1472" s="2" t="inlineStr">
        <is>
          <t>Boleto "55988" do cliente "VALDINEI BATISTA DA SILVA"</t>
        </is>
      </c>
      <c r="G1472" s="2" t="inlineStr">
        <is>
          <t>system</t>
        </is>
      </c>
      <c r="H1472" s="2" t="inlineStr">
        <is>
          <t>02.03.02.01 : Cobrança Bancaria</t>
        </is>
      </c>
      <c r="I1472" s="2" t="n"/>
      <c r="J1472" s="3" t="n">
        <v>-0.88</v>
      </c>
      <c r="K1472" s="2">
        <f>IF(H1472="02.09 : Outras Saídas", IF(OR(ISNUMBER(SEARCH("CHEQUE COMPE SICREDI", F1472)), ISNUMBER(SEARCH("aniversario", F1472)), ISNUMBER(SEARCH("churrasco", F1472)), ISNUMBER(SEARCH("bolo", F1472)), ISNUMBER(SEARCH("SUPERMERCADO", F1472))), "6.1 Despesas Administrativas (Pessoal)", IF(OR(ISNUMBER(SEARCH("DLKNET", F1472)), ISNUMBER(SEARCH("TESTE", F1472))), "6.1 Despesas Administrativas (Gerais)", IFERROR(VLOOKUP(H1472, De_Para!A:B, 2, FALSE), "NÃO MAPEADO"))), IFERROR(VLOOKUP(H1472, De_Para!A:B, 2, FALSE), "NÃO MAPEADO"))</f>
        <v/>
      </c>
    </row>
    <row r="1473">
      <c r="A1473" s="2" t="inlineStr">
        <is>
          <t>68213</t>
        </is>
      </c>
      <c r="B1473" s="2" t="inlineStr">
        <is>
          <t>Sicoob</t>
        </is>
      </c>
      <c r="C1473" s="2" t="inlineStr">
        <is>
          <t>09/06/2026</t>
        </is>
      </c>
      <c r="D1473" s="2" t="inlineStr">
        <is>
          <t>09/06/2026</t>
        </is>
      </c>
      <c r="E1473" s="2" t="inlineStr">
        <is>
          <t>Dinheiro</t>
        </is>
      </c>
      <c r="F1473" s="2" t="inlineStr">
        <is>
          <t>Boleto "55988" do cliente "VALDINEI BATISTA DA SILVA"</t>
        </is>
      </c>
      <c r="G1473" s="2" t="inlineStr">
        <is>
          <t>system</t>
        </is>
      </c>
      <c r="H1473" s="2" t="inlineStr">
        <is>
          <t>01.01.01 : Mensalidade</t>
        </is>
      </c>
      <c r="I1473" s="3" t="n">
        <v>105</v>
      </c>
      <c r="J1473" s="2" t="n"/>
      <c r="K1473" s="2">
        <f>IF(H1473="02.09 : Outras Saídas", IF(OR(ISNUMBER(SEARCH("CHEQUE COMPE SICREDI", F1473)), ISNUMBER(SEARCH("aniversario", F1473)), ISNUMBER(SEARCH("churrasco", F1473)), ISNUMBER(SEARCH("bolo", F1473)), ISNUMBER(SEARCH("SUPERMERCADO", F1473))), "6.1 Despesas Administrativas (Pessoal)", IF(OR(ISNUMBER(SEARCH("DLKNET", F1473)), ISNUMBER(SEARCH("TESTE", F1473))), "6.1 Despesas Administrativas (Gerais)", IFERROR(VLOOKUP(H1473, De_Para!A:B, 2, FALSE), "NÃO MAPEADO"))), IFERROR(VLOOKUP(H1473, De_Para!A:B, 2, FALSE), "NÃO MAPEADO"))</f>
        <v/>
      </c>
    </row>
    <row r="1474">
      <c r="A1474" s="2" t="inlineStr">
        <is>
          <t>68212</t>
        </is>
      </c>
      <c r="B1474" s="2" t="inlineStr">
        <is>
          <t>Sicredi SNI</t>
        </is>
      </c>
      <c r="C1474" s="2" t="inlineStr">
        <is>
          <t>09/06/2026</t>
        </is>
      </c>
      <c r="D1474" s="2" t="inlineStr">
        <is>
          <t>09/06/2026</t>
        </is>
      </c>
      <c r="E1474" s="2" t="inlineStr">
        <is>
          <t>PIX</t>
        </is>
      </c>
      <c r="F1474" s="2" t="inlineStr">
        <is>
          <t>Boleto "66176" do cliente "NATALINA CAVALHEIRO"</t>
        </is>
      </c>
      <c r="G1474" s="2" t="inlineStr">
        <is>
          <t>system</t>
        </is>
      </c>
      <c r="H1474" s="2" t="inlineStr">
        <is>
          <t>02.03.02.01 : Cobrança Bancaria</t>
        </is>
      </c>
      <c r="I1474" s="2" t="n"/>
      <c r="J1474" s="3" t="n">
        <v>-0.49</v>
      </c>
      <c r="K1474" s="2">
        <f>IF(H1474="02.09 : Outras Saídas", IF(OR(ISNUMBER(SEARCH("CHEQUE COMPE SICREDI", F1474)), ISNUMBER(SEARCH("aniversario", F1474)), ISNUMBER(SEARCH("churrasco", F1474)), ISNUMBER(SEARCH("bolo", F1474)), ISNUMBER(SEARCH("SUPERMERCADO", F1474))), "6.1 Despesas Administrativas (Pessoal)", IF(OR(ISNUMBER(SEARCH("DLKNET", F1474)), ISNUMBER(SEARCH("TESTE", F1474))), "6.1 Despesas Administrativas (Gerais)", IFERROR(VLOOKUP(H1474, De_Para!A:B, 2, FALSE), "NÃO MAPEADO"))), IFERROR(VLOOKUP(H1474, De_Para!A:B, 2, FALSE), "NÃO MAPEADO"))</f>
        <v/>
      </c>
    </row>
    <row r="1475">
      <c r="A1475" s="2" t="inlineStr">
        <is>
          <t>68211</t>
        </is>
      </c>
      <c r="B1475" s="2" t="inlineStr">
        <is>
          <t>Sicredi SNI</t>
        </is>
      </c>
      <c r="C1475" s="2" t="inlineStr">
        <is>
          <t>09/06/2026</t>
        </is>
      </c>
      <c r="D1475" s="2" t="inlineStr">
        <is>
          <t>09/06/2026</t>
        </is>
      </c>
      <c r="E1475" s="2" t="inlineStr">
        <is>
          <t>PIX</t>
        </is>
      </c>
      <c r="F1475" s="2" t="inlineStr">
        <is>
          <t>Boleto "66176" do cliente "NATALINA CAVALHEIRO"</t>
        </is>
      </c>
      <c r="G1475" s="2" t="inlineStr">
        <is>
          <t>system</t>
        </is>
      </c>
      <c r="H1475" s="2" t="inlineStr">
        <is>
          <t>01.01.01 : Mensalidade</t>
        </is>
      </c>
      <c r="I1475" s="3" t="n">
        <v>105</v>
      </c>
      <c r="J1475" s="2" t="n"/>
      <c r="K1475" s="2">
        <f>IF(H1475="02.09 : Outras Saídas", IF(OR(ISNUMBER(SEARCH("CHEQUE COMPE SICREDI", F1475)), ISNUMBER(SEARCH("aniversario", F1475)), ISNUMBER(SEARCH("churrasco", F1475)), ISNUMBER(SEARCH("bolo", F1475)), ISNUMBER(SEARCH("SUPERMERCADO", F1475))), "6.1 Despesas Administrativas (Pessoal)", IF(OR(ISNUMBER(SEARCH("DLKNET", F1475)), ISNUMBER(SEARCH("TESTE", F1475))), "6.1 Despesas Administrativas (Gerais)", IFERROR(VLOOKUP(H1475, De_Para!A:B, 2, FALSE), "NÃO MAPEADO"))), IFERROR(VLOOKUP(H1475, De_Para!A:B, 2, FALSE), "NÃO MAPEADO"))</f>
        <v/>
      </c>
    </row>
    <row r="1476">
      <c r="A1476" s="2" t="inlineStr">
        <is>
          <t>68210</t>
        </is>
      </c>
      <c r="B1476" s="2" t="inlineStr">
        <is>
          <t>Sicredi SNI</t>
        </is>
      </c>
      <c r="C1476" s="2" t="inlineStr">
        <is>
          <t>09/06/2026</t>
        </is>
      </c>
      <c r="D1476" s="2" t="inlineStr">
        <is>
          <t>09/06/2026</t>
        </is>
      </c>
      <c r="E1476" s="2" t="inlineStr">
        <is>
          <t>PIX</t>
        </is>
      </c>
      <c r="F1476" s="2" t="inlineStr">
        <is>
          <t>Boleto "64109" do cliente "ORAZI GOMES DO PRADO"</t>
        </is>
      </c>
      <c r="G1476" s="2" t="inlineStr">
        <is>
          <t>system</t>
        </is>
      </c>
      <c r="H1476" s="2" t="inlineStr">
        <is>
          <t>02.03.02.01 : Cobrança Bancaria</t>
        </is>
      </c>
      <c r="I1476" s="2" t="n"/>
      <c r="J1476" s="3" t="n">
        <v>-0.49</v>
      </c>
      <c r="K1476" s="2">
        <f>IF(H1476="02.09 : Outras Saídas", IF(OR(ISNUMBER(SEARCH("CHEQUE COMPE SICREDI", F1476)), ISNUMBER(SEARCH("aniversario", F1476)), ISNUMBER(SEARCH("churrasco", F1476)), ISNUMBER(SEARCH("bolo", F1476)), ISNUMBER(SEARCH("SUPERMERCADO", F1476))), "6.1 Despesas Administrativas (Pessoal)", IF(OR(ISNUMBER(SEARCH("DLKNET", F1476)), ISNUMBER(SEARCH("TESTE", F1476))), "6.1 Despesas Administrativas (Gerais)", IFERROR(VLOOKUP(H1476, De_Para!A:B, 2, FALSE), "NÃO MAPEADO"))), IFERROR(VLOOKUP(H1476, De_Para!A:B, 2, FALSE), "NÃO MAPEADO"))</f>
        <v/>
      </c>
    </row>
    <row r="1477">
      <c r="A1477" s="2" t="inlineStr">
        <is>
          <t>68209</t>
        </is>
      </c>
      <c r="B1477" s="2" t="inlineStr">
        <is>
          <t>Sicredi SNI</t>
        </is>
      </c>
      <c r="C1477" s="2" t="inlineStr">
        <is>
          <t>09/06/2026</t>
        </is>
      </c>
      <c r="D1477" s="2" t="inlineStr">
        <is>
          <t>09/06/2026</t>
        </is>
      </c>
      <c r="E1477" s="2" t="inlineStr">
        <is>
          <t>PIX</t>
        </is>
      </c>
      <c r="F1477" s="2" t="inlineStr">
        <is>
          <t>Boleto "64109" do cliente "ORAZI GOMES DO PRADO"</t>
        </is>
      </c>
      <c r="G1477" s="2" t="inlineStr">
        <is>
          <t>system</t>
        </is>
      </c>
      <c r="H1477" s="2" t="inlineStr">
        <is>
          <t>01.01.01 : Mensalidade</t>
        </is>
      </c>
      <c r="I1477" s="3" t="n">
        <v>104.9</v>
      </c>
      <c r="J1477" s="2" t="n"/>
      <c r="K1477" s="2">
        <f>IF(H1477="02.09 : Outras Saídas", IF(OR(ISNUMBER(SEARCH("CHEQUE COMPE SICREDI", F1477)), ISNUMBER(SEARCH("aniversario", F1477)), ISNUMBER(SEARCH("churrasco", F1477)), ISNUMBER(SEARCH("bolo", F1477)), ISNUMBER(SEARCH("SUPERMERCADO", F1477))), "6.1 Despesas Administrativas (Pessoal)", IF(OR(ISNUMBER(SEARCH("DLKNET", F1477)), ISNUMBER(SEARCH("TESTE", F1477))), "6.1 Despesas Administrativas (Gerais)", IFERROR(VLOOKUP(H1477, De_Para!A:B, 2, FALSE), "NÃO MAPEADO"))), IFERROR(VLOOKUP(H1477, De_Para!A:B, 2, FALSE), "NÃO MAPEADO"))</f>
        <v/>
      </c>
    </row>
    <row r="1478">
      <c r="A1478" s="2" t="inlineStr">
        <is>
          <t>68208</t>
        </is>
      </c>
      <c r="B1478" s="2" t="inlineStr">
        <is>
          <t>Sicredi SNI</t>
        </is>
      </c>
      <c r="C1478" s="2" t="inlineStr">
        <is>
          <t>09/06/2026</t>
        </is>
      </c>
      <c r="D1478" s="2" t="inlineStr">
        <is>
          <t>09/06/2026</t>
        </is>
      </c>
      <c r="E1478" s="2" t="inlineStr">
        <is>
          <t>PIX</t>
        </is>
      </c>
      <c r="F1478" s="2" t="inlineStr">
        <is>
          <t>Boleto "60388" do cliente "VALDIR BATISTA DE ALMEIDA"</t>
        </is>
      </c>
      <c r="G1478" s="2" t="inlineStr">
        <is>
          <t>system</t>
        </is>
      </c>
      <c r="H1478" s="2" t="inlineStr">
        <is>
          <t>02.03.02.01 : Cobrança Bancaria</t>
        </is>
      </c>
      <c r="I1478" s="2" t="n"/>
      <c r="J1478" s="3" t="n">
        <v>-0.49</v>
      </c>
      <c r="K1478" s="2">
        <f>IF(H1478="02.09 : Outras Saídas", IF(OR(ISNUMBER(SEARCH("CHEQUE COMPE SICREDI", F1478)), ISNUMBER(SEARCH("aniversario", F1478)), ISNUMBER(SEARCH("churrasco", F1478)), ISNUMBER(SEARCH("bolo", F1478)), ISNUMBER(SEARCH("SUPERMERCADO", F1478))), "6.1 Despesas Administrativas (Pessoal)", IF(OR(ISNUMBER(SEARCH("DLKNET", F1478)), ISNUMBER(SEARCH("TESTE", F1478))), "6.1 Despesas Administrativas (Gerais)", IFERROR(VLOOKUP(H1478, De_Para!A:B, 2, FALSE), "NÃO MAPEADO"))), IFERROR(VLOOKUP(H1478, De_Para!A:B, 2, FALSE), "NÃO MAPEADO"))</f>
        <v/>
      </c>
    </row>
    <row r="1479">
      <c r="A1479" s="2" t="inlineStr">
        <is>
          <t>68207</t>
        </is>
      </c>
      <c r="B1479" s="2" t="inlineStr">
        <is>
          <t>Sicredi SNI</t>
        </is>
      </c>
      <c r="C1479" s="2" t="inlineStr">
        <is>
          <t>09/06/2026</t>
        </is>
      </c>
      <c r="D1479" s="2" t="inlineStr">
        <is>
          <t>09/06/2026</t>
        </is>
      </c>
      <c r="E1479" s="2" t="inlineStr">
        <is>
          <t>PIX</t>
        </is>
      </c>
      <c r="F1479" s="2" t="inlineStr">
        <is>
          <t>Boleto "60388" do cliente "VALDIR BATISTA DE ALMEIDA"</t>
        </is>
      </c>
      <c r="G1479" s="2" t="inlineStr">
        <is>
          <t>system</t>
        </is>
      </c>
      <c r="H1479" s="2" t="inlineStr">
        <is>
          <t>01.01.01 : Mensalidade</t>
        </is>
      </c>
      <c r="I1479" s="3" t="n">
        <v>110</v>
      </c>
      <c r="J1479" s="2" t="n"/>
      <c r="K1479" s="2">
        <f>IF(H1479="02.09 : Outras Saídas", IF(OR(ISNUMBER(SEARCH("CHEQUE COMPE SICREDI", F1479)), ISNUMBER(SEARCH("aniversario", F1479)), ISNUMBER(SEARCH("churrasco", F1479)), ISNUMBER(SEARCH("bolo", F1479)), ISNUMBER(SEARCH("SUPERMERCADO", F1479))), "6.1 Despesas Administrativas (Pessoal)", IF(OR(ISNUMBER(SEARCH("DLKNET", F1479)), ISNUMBER(SEARCH("TESTE", F1479))), "6.1 Despesas Administrativas (Gerais)", IFERROR(VLOOKUP(H1479, De_Para!A:B, 2, FALSE), "NÃO MAPEADO"))), IFERROR(VLOOKUP(H1479, De_Para!A:B, 2, FALSE), "NÃO MAPEADO"))</f>
        <v/>
      </c>
    </row>
    <row r="1480">
      <c r="A1480" s="2" t="inlineStr">
        <is>
          <t>68206</t>
        </is>
      </c>
      <c r="B1480" s="2" t="inlineStr">
        <is>
          <t>Sicredi SNI</t>
        </is>
      </c>
      <c r="C1480" s="2" t="inlineStr">
        <is>
          <t>09/06/2026</t>
        </is>
      </c>
      <c r="D1480" s="2" t="inlineStr">
        <is>
          <t>09/06/2026</t>
        </is>
      </c>
      <c r="E1480" s="2" t="inlineStr">
        <is>
          <t>PIX</t>
        </is>
      </c>
      <c r="F1480" s="2" t="inlineStr">
        <is>
          <t>Boleto "57052" do cliente "DIVINO DONIZETI DOS SANTOS"</t>
        </is>
      </c>
      <c r="G1480" s="2" t="inlineStr">
        <is>
          <t>system</t>
        </is>
      </c>
      <c r="H1480" s="2" t="inlineStr">
        <is>
          <t>02.03.02.01 : Cobrança Bancaria</t>
        </is>
      </c>
      <c r="I1480" s="2" t="n"/>
      <c r="J1480" s="3" t="n">
        <v>-0.49</v>
      </c>
      <c r="K1480" s="2">
        <f>IF(H1480="02.09 : Outras Saídas", IF(OR(ISNUMBER(SEARCH("CHEQUE COMPE SICREDI", F1480)), ISNUMBER(SEARCH("aniversario", F1480)), ISNUMBER(SEARCH("churrasco", F1480)), ISNUMBER(SEARCH("bolo", F1480)), ISNUMBER(SEARCH("SUPERMERCADO", F1480))), "6.1 Despesas Administrativas (Pessoal)", IF(OR(ISNUMBER(SEARCH("DLKNET", F1480)), ISNUMBER(SEARCH("TESTE", F1480))), "6.1 Despesas Administrativas (Gerais)", IFERROR(VLOOKUP(H1480, De_Para!A:B, 2, FALSE), "NÃO MAPEADO"))), IFERROR(VLOOKUP(H1480, De_Para!A:B, 2, FALSE), "NÃO MAPEADO"))</f>
        <v/>
      </c>
    </row>
    <row r="1481">
      <c r="A1481" s="2" t="inlineStr">
        <is>
          <t>68205</t>
        </is>
      </c>
      <c r="B1481" s="2" t="inlineStr">
        <is>
          <t>Sicredi SNI</t>
        </is>
      </c>
      <c r="C1481" s="2" t="inlineStr">
        <is>
          <t>09/06/2026</t>
        </is>
      </c>
      <c r="D1481" s="2" t="inlineStr">
        <is>
          <t>09/06/2026</t>
        </is>
      </c>
      <c r="E1481" s="2" t="inlineStr">
        <is>
          <t>PIX</t>
        </is>
      </c>
      <c r="F1481" s="2" t="inlineStr">
        <is>
          <t>Boleto "57052" do cliente "DIVINO DONIZETI DOS SANTOS"</t>
        </is>
      </c>
      <c r="G1481" s="2" t="inlineStr">
        <is>
          <t>system</t>
        </is>
      </c>
      <c r="H1481" s="2" t="inlineStr">
        <is>
          <t>01.01.01 : Mensalidade</t>
        </is>
      </c>
      <c r="I1481" s="3" t="n">
        <v>100</v>
      </c>
      <c r="J1481" s="2" t="n"/>
      <c r="K1481" s="2">
        <f>IF(H1481="02.09 : Outras Saídas", IF(OR(ISNUMBER(SEARCH("CHEQUE COMPE SICREDI", F1481)), ISNUMBER(SEARCH("aniversario", F1481)), ISNUMBER(SEARCH("churrasco", F1481)), ISNUMBER(SEARCH("bolo", F1481)), ISNUMBER(SEARCH("SUPERMERCADO", F1481))), "6.1 Despesas Administrativas (Pessoal)", IF(OR(ISNUMBER(SEARCH("DLKNET", F1481)), ISNUMBER(SEARCH("TESTE", F1481))), "6.1 Despesas Administrativas (Gerais)", IFERROR(VLOOKUP(H1481, De_Para!A:B, 2, FALSE), "NÃO MAPEADO"))), IFERROR(VLOOKUP(H1481, De_Para!A:B, 2, FALSE), "NÃO MAPEADO"))</f>
        <v/>
      </c>
    </row>
    <row r="1482">
      <c r="A1482" s="2" t="inlineStr">
        <is>
          <t>68204</t>
        </is>
      </c>
      <c r="B1482" s="2" t="inlineStr">
        <is>
          <t>Sicredi SNI</t>
        </is>
      </c>
      <c r="C1482" s="2" t="inlineStr">
        <is>
          <t>09/06/2026</t>
        </is>
      </c>
      <c r="D1482" s="2" t="inlineStr">
        <is>
          <t>09/06/2026</t>
        </is>
      </c>
      <c r="E1482" s="2" t="inlineStr">
        <is>
          <t>PIX</t>
        </is>
      </c>
      <c r="F1482" s="2" t="inlineStr">
        <is>
          <t>Boleto "56615" do cliente "JOAO PAULO CORREA"</t>
        </is>
      </c>
      <c r="G1482" s="2" t="inlineStr">
        <is>
          <t>system</t>
        </is>
      </c>
      <c r="H1482" s="2" t="inlineStr">
        <is>
          <t>02.03.02.01 : Cobrança Bancaria</t>
        </is>
      </c>
      <c r="I1482" s="2" t="n"/>
      <c r="J1482" s="3" t="n">
        <v>-0.49</v>
      </c>
      <c r="K1482" s="2">
        <f>IF(H1482="02.09 : Outras Saídas", IF(OR(ISNUMBER(SEARCH("CHEQUE COMPE SICREDI", F1482)), ISNUMBER(SEARCH("aniversario", F1482)), ISNUMBER(SEARCH("churrasco", F1482)), ISNUMBER(SEARCH("bolo", F1482)), ISNUMBER(SEARCH("SUPERMERCADO", F1482))), "6.1 Despesas Administrativas (Pessoal)", IF(OR(ISNUMBER(SEARCH("DLKNET", F1482)), ISNUMBER(SEARCH("TESTE", F1482))), "6.1 Despesas Administrativas (Gerais)", IFERROR(VLOOKUP(H1482, De_Para!A:B, 2, FALSE), "NÃO MAPEADO"))), IFERROR(VLOOKUP(H1482, De_Para!A:B, 2, FALSE), "NÃO MAPEADO"))</f>
        <v/>
      </c>
    </row>
    <row r="1483">
      <c r="A1483" s="2" t="inlineStr">
        <is>
          <t>68203</t>
        </is>
      </c>
      <c r="B1483" s="2" t="inlineStr">
        <is>
          <t>Sicredi SNI</t>
        </is>
      </c>
      <c r="C1483" s="2" t="inlineStr">
        <is>
          <t>09/06/2026</t>
        </is>
      </c>
      <c r="D1483" s="2" t="inlineStr">
        <is>
          <t>09/06/2026</t>
        </is>
      </c>
      <c r="E1483" s="2" t="inlineStr">
        <is>
          <t>PIX</t>
        </is>
      </c>
      <c r="F1483" s="2" t="inlineStr">
        <is>
          <t>Boleto "56615" do cliente "JOAO PAULO CORREA"</t>
        </is>
      </c>
      <c r="G1483" s="2" t="inlineStr">
        <is>
          <t>system</t>
        </is>
      </c>
      <c r="H1483" s="2" t="inlineStr">
        <is>
          <t>01.01.01 : Mensalidade</t>
        </is>
      </c>
      <c r="I1483" s="3" t="n">
        <v>100</v>
      </c>
      <c r="J1483" s="2" t="n"/>
      <c r="K1483" s="2">
        <f>IF(H1483="02.09 : Outras Saídas", IF(OR(ISNUMBER(SEARCH("CHEQUE COMPE SICREDI", F1483)), ISNUMBER(SEARCH("aniversario", F1483)), ISNUMBER(SEARCH("churrasco", F1483)), ISNUMBER(SEARCH("bolo", F1483)), ISNUMBER(SEARCH("SUPERMERCADO", F1483))), "6.1 Despesas Administrativas (Pessoal)", IF(OR(ISNUMBER(SEARCH("DLKNET", F1483)), ISNUMBER(SEARCH("TESTE", F1483))), "6.1 Despesas Administrativas (Gerais)", IFERROR(VLOOKUP(H1483, De_Para!A:B, 2, FALSE), "NÃO MAPEADO"))), IFERROR(VLOOKUP(H1483, De_Para!A:B, 2, FALSE), "NÃO MAPEADO"))</f>
        <v/>
      </c>
    </row>
    <row r="1484">
      <c r="A1484" s="2" t="inlineStr">
        <is>
          <t>68202</t>
        </is>
      </c>
      <c r="B1484" s="2" t="inlineStr">
        <is>
          <t>Sicredi SNI</t>
        </is>
      </c>
      <c r="C1484" s="2" t="inlineStr">
        <is>
          <t>09/06/2026</t>
        </is>
      </c>
      <c r="D1484" s="2" t="inlineStr">
        <is>
          <t>09/06/2026</t>
        </is>
      </c>
      <c r="E1484" s="2" t="inlineStr">
        <is>
          <t>PIX</t>
        </is>
      </c>
      <c r="F1484" s="2" t="inlineStr">
        <is>
          <t>Boleto "69207" do cliente "IVAN DONIZETTI DE MIRANDA"</t>
        </is>
      </c>
      <c r="G1484" s="2" t="inlineStr">
        <is>
          <t>system</t>
        </is>
      </c>
      <c r="H1484" s="2" t="inlineStr">
        <is>
          <t>02.03.02.01 : Cobrança Bancaria</t>
        </is>
      </c>
      <c r="I1484" s="2" t="n"/>
      <c r="J1484" s="3" t="n">
        <v>-0.49</v>
      </c>
      <c r="K1484" s="2">
        <f>IF(H1484="02.09 : Outras Saídas", IF(OR(ISNUMBER(SEARCH("CHEQUE COMPE SICREDI", F1484)), ISNUMBER(SEARCH("aniversario", F1484)), ISNUMBER(SEARCH("churrasco", F1484)), ISNUMBER(SEARCH("bolo", F1484)), ISNUMBER(SEARCH("SUPERMERCADO", F1484))), "6.1 Despesas Administrativas (Pessoal)", IF(OR(ISNUMBER(SEARCH("DLKNET", F1484)), ISNUMBER(SEARCH("TESTE", F1484))), "6.1 Despesas Administrativas (Gerais)", IFERROR(VLOOKUP(H1484, De_Para!A:B, 2, FALSE), "NÃO MAPEADO"))), IFERROR(VLOOKUP(H1484, De_Para!A:B, 2, FALSE), "NÃO MAPEADO"))</f>
        <v/>
      </c>
    </row>
    <row r="1485">
      <c r="A1485" s="2" t="inlineStr">
        <is>
          <t>68201</t>
        </is>
      </c>
      <c r="B1485" s="2" t="inlineStr">
        <is>
          <t>Sicredi SNI</t>
        </is>
      </c>
      <c r="C1485" s="2" t="inlineStr">
        <is>
          <t>09/06/2026</t>
        </is>
      </c>
      <c r="D1485" s="2" t="inlineStr">
        <is>
          <t>09/06/2026</t>
        </is>
      </c>
      <c r="E1485" s="2" t="inlineStr">
        <is>
          <t>PIX</t>
        </is>
      </c>
      <c r="F1485" s="2" t="inlineStr">
        <is>
          <t>Boleto "69207" do cliente "IVAN DONIZETTI DE MIRANDA"</t>
        </is>
      </c>
      <c r="G1485" s="2" t="inlineStr">
        <is>
          <t>system</t>
        </is>
      </c>
      <c r="H1485" s="2" t="inlineStr">
        <is>
          <t>01.01.01 : Mensalidade</t>
        </is>
      </c>
      <c r="I1485" s="3" t="n">
        <v>200</v>
      </c>
      <c r="J1485" s="2" t="n"/>
      <c r="K1485" s="2">
        <f>IF(H1485="02.09 : Outras Saídas", IF(OR(ISNUMBER(SEARCH("CHEQUE COMPE SICREDI", F1485)), ISNUMBER(SEARCH("aniversario", F1485)), ISNUMBER(SEARCH("churrasco", F1485)), ISNUMBER(SEARCH("bolo", F1485)), ISNUMBER(SEARCH("SUPERMERCADO", F1485))), "6.1 Despesas Administrativas (Pessoal)", IF(OR(ISNUMBER(SEARCH("DLKNET", F1485)), ISNUMBER(SEARCH("TESTE", F1485))), "6.1 Despesas Administrativas (Gerais)", IFERROR(VLOOKUP(H1485, De_Para!A:B, 2, FALSE), "NÃO MAPEADO"))), IFERROR(VLOOKUP(H1485, De_Para!A:B, 2, FALSE), "NÃO MAPEADO"))</f>
        <v/>
      </c>
    </row>
    <row r="1486">
      <c r="A1486" s="2" t="inlineStr">
        <is>
          <t>68200</t>
        </is>
      </c>
      <c r="B1486" s="2" t="inlineStr">
        <is>
          <t>Sicredi SNI</t>
        </is>
      </c>
      <c r="C1486" s="2" t="inlineStr">
        <is>
          <t>09/06/2026</t>
        </is>
      </c>
      <c r="D1486" s="2" t="inlineStr">
        <is>
          <t>09/06/2026</t>
        </is>
      </c>
      <c r="E1486" s="2" t="inlineStr">
        <is>
          <t>PIX</t>
        </is>
      </c>
      <c r="F1486" s="2" t="inlineStr">
        <is>
          <t>Boleto "64402" do cliente "SILVANE BATISTA DO PRADO"</t>
        </is>
      </c>
      <c r="G1486" s="2" t="inlineStr">
        <is>
          <t>system</t>
        </is>
      </c>
      <c r="H1486" s="2" t="inlineStr">
        <is>
          <t>02.03.02.01 : Cobrança Bancaria</t>
        </is>
      </c>
      <c r="I1486" s="2" t="n"/>
      <c r="J1486" s="3" t="n">
        <v>-0.49</v>
      </c>
      <c r="K1486" s="2">
        <f>IF(H1486="02.09 : Outras Saídas", IF(OR(ISNUMBER(SEARCH("CHEQUE COMPE SICREDI", F1486)), ISNUMBER(SEARCH("aniversario", F1486)), ISNUMBER(SEARCH("churrasco", F1486)), ISNUMBER(SEARCH("bolo", F1486)), ISNUMBER(SEARCH("SUPERMERCADO", F1486))), "6.1 Despesas Administrativas (Pessoal)", IF(OR(ISNUMBER(SEARCH("DLKNET", F1486)), ISNUMBER(SEARCH("TESTE", F1486))), "6.1 Despesas Administrativas (Gerais)", IFERROR(VLOOKUP(H1486, De_Para!A:B, 2, FALSE), "NÃO MAPEADO"))), IFERROR(VLOOKUP(H1486, De_Para!A:B, 2, FALSE), "NÃO MAPEADO"))</f>
        <v/>
      </c>
    </row>
    <row r="1487">
      <c r="A1487" s="2" t="inlineStr">
        <is>
          <t>68199</t>
        </is>
      </c>
      <c r="B1487" s="2" t="inlineStr">
        <is>
          <t>Sicredi SNI</t>
        </is>
      </c>
      <c r="C1487" s="2" t="inlineStr">
        <is>
          <t>09/06/2026</t>
        </is>
      </c>
      <c r="D1487" s="2" t="inlineStr">
        <is>
          <t>09/06/2026</t>
        </is>
      </c>
      <c r="E1487" s="2" t="inlineStr">
        <is>
          <t>PIX</t>
        </is>
      </c>
      <c r="F1487" s="2" t="inlineStr">
        <is>
          <t>Boleto "64402" do cliente "SILVANE BATISTA DO PRADO"</t>
        </is>
      </c>
      <c r="G1487" s="2" t="inlineStr">
        <is>
          <t>system</t>
        </is>
      </c>
      <c r="H1487" s="2" t="inlineStr">
        <is>
          <t>01.01.01 : Mensalidade</t>
        </is>
      </c>
      <c r="I1487" s="3" t="n">
        <v>104.9</v>
      </c>
      <c r="J1487" s="2" t="n"/>
      <c r="K1487" s="2">
        <f>IF(H1487="02.09 : Outras Saídas", IF(OR(ISNUMBER(SEARCH("CHEQUE COMPE SICREDI", F1487)), ISNUMBER(SEARCH("aniversario", F1487)), ISNUMBER(SEARCH("churrasco", F1487)), ISNUMBER(SEARCH("bolo", F1487)), ISNUMBER(SEARCH("SUPERMERCADO", F1487))), "6.1 Despesas Administrativas (Pessoal)", IF(OR(ISNUMBER(SEARCH("DLKNET", F1487)), ISNUMBER(SEARCH("TESTE", F1487))), "6.1 Despesas Administrativas (Gerais)", IFERROR(VLOOKUP(H1487, De_Para!A:B, 2, FALSE), "NÃO MAPEADO"))), IFERROR(VLOOKUP(H1487, De_Para!A:B, 2, FALSE), "NÃO MAPEADO"))</f>
        <v/>
      </c>
    </row>
    <row r="1488">
      <c r="A1488" s="2" t="inlineStr">
        <is>
          <t>68198</t>
        </is>
      </c>
      <c r="B1488" s="2" t="inlineStr">
        <is>
          <t>Sicredi SNI</t>
        </is>
      </c>
      <c r="C1488" s="2" t="inlineStr">
        <is>
          <t>09/06/2026</t>
        </is>
      </c>
      <c r="D1488" s="2" t="inlineStr">
        <is>
          <t>09/06/2026</t>
        </is>
      </c>
      <c r="E1488" s="2" t="inlineStr">
        <is>
          <t>PIX</t>
        </is>
      </c>
      <c r="F1488" s="2" t="inlineStr">
        <is>
          <t>Boleto "64626" do cliente "POLLYANA FERNANDA DOS SANTOS"</t>
        </is>
      </c>
      <c r="G1488" s="2" t="inlineStr">
        <is>
          <t>system</t>
        </is>
      </c>
      <c r="H1488" s="2" t="inlineStr">
        <is>
          <t>02.03.02.01 : Cobrança Bancaria</t>
        </is>
      </c>
      <c r="I1488" s="2" t="n"/>
      <c r="J1488" s="3" t="n">
        <v>-0.49</v>
      </c>
      <c r="K1488" s="2">
        <f>IF(H1488="02.09 : Outras Saídas", IF(OR(ISNUMBER(SEARCH("CHEQUE COMPE SICREDI", F1488)), ISNUMBER(SEARCH("aniversario", F1488)), ISNUMBER(SEARCH("churrasco", F1488)), ISNUMBER(SEARCH("bolo", F1488)), ISNUMBER(SEARCH("SUPERMERCADO", F1488))), "6.1 Despesas Administrativas (Pessoal)", IF(OR(ISNUMBER(SEARCH("DLKNET", F1488)), ISNUMBER(SEARCH("TESTE", F1488))), "6.1 Despesas Administrativas (Gerais)", IFERROR(VLOOKUP(H1488, De_Para!A:B, 2, FALSE), "NÃO MAPEADO"))), IFERROR(VLOOKUP(H1488, De_Para!A:B, 2, FALSE), "NÃO MAPEADO"))</f>
        <v/>
      </c>
    </row>
    <row r="1489">
      <c r="A1489" s="2" t="inlineStr">
        <is>
          <t>68197</t>
        </is>
      </c>
      <c r="B1489" s="2" t="inlineStr">
        <is>
          <t>Sicredi SNI</t>
        </is>
      </c>
      <c r="C1489" s="2" t="inlineStr">
        <is>
          <t>09/06/2026</t>
        </is>
      </c>
      <c r="D1489" s="2" t="inlineStr">
        <is>
          <t>09/06/2026</t>
        </is>
      </c>
      <c r="E1489" s="2" t="inlineStr">
        <is>
          <t>PIX</t>
        </is>
      </c>
      <c r="F1489" s="2" t="inlineStr">
        <is>
          <t>Boleto "64626" do cliente "POLLYANA FERNANDA DOS SANTOS"</t>
        </is>
      </c>
      <c r="G1489" s="2" t="inlineStr">
        <is>
          <t>system</t>
        </is>
      </c>
      <c r="H1489" s="2" t="inlineStr">
        <is>
          <t>01.01.01 : Mensalidade</t>
        </is>
      </c>
      <c r="I1489" s="3" t="n">
        <v>104.9</v>
      </c>
      <c r="J1489" s="2" t="n"/>
      <c r="K1489" s="2">
        <f>IF(H1489="02.09 : Outras Saídas", IF(OR(ISNUMBER(SEARCH("CHEQUE COMPE SICREDI", F1489)), ISNUMBER(SEARCH("aniversario", F1489)), ISNUMBER(SEARCH("churrasco", F1489)), ISNUMBER(SEARCH("bolo", F1489)), ISNUMBER(SEARCH("SUPERMERCADO", F1489))), "6.1 Despesas Administrativas (Pessoal)", IF(OR(ISNUMBER(SEARCH("DLKNET", F1489)), ISNUMBER(SEARCH("TESTE", F1489))), "6.1 Despesas Administrativas (Gerais)", IFERROR(VLOOKUP(H1489, De_Para!A:B, 2, FALSE), "NÃO MAPEADO"))), IFERROR(VLOOKUP(H1489, De_Para!A:B, 2, FALSE), "NÃO MAPEADO"))</f>
        <v/>
      </c>
    </row>
    <row r="1490">
      <c r="A1490" s="2" t="inlineStr">
        <is>
          <t>68196</t>
        </is>
      </c>
      <c r="B1490" s="2" t="inlineStr">
        <is>
          <t>Sicredi SNI</t>
        </is>
      </c>
      <c r="C1490" s="2" t="inlineStr">
        <is>
          <t>09/06/2026</t>
        </is>
      </c>
      <c r="D1490" s="2" t="inlineStr">
        <is>
          <t>09/06/2026</t>
        </is>
      </c>
      <c r="E1490" s="2" t="inlineStr">
        <is>
          <t>PIX</t>
        </is>
      </c>
      <c r="F1490" s="2" t="inlineStr">
        <is>
          <t>Boleto "56931" do cliente "ADEMAR PIRATELO"</t>
        </is>
      </c>
      <c r="G1490" s="2" t="inlineStr">
        <is>
          <t>system</t>
        </is>
      </c>
      <c r="H1490" s="2" t="inlineStr">
        <is>
          <t>02.03.02.01 : Cobrança Bancaria</t>
        </is>
      </c>
      <c r="I1490" s="2" t="n"/>
      <c r="J1490" s="3" t="n">
        <v>-0.49</v>
      </c>
      <c r="K1490" s="2">
        <f>IF(H1490="02.09 : Outras Saídas", IF(OR(ISNUMBER(SEARCH("CHEQUE COMPE SICREDI", F1490)), ISNUMBER(SEARCH("aniversario", F1490)), ISNUMBER(SEARCH("churrasco", F1490)), ISNUMBER(SEARCH("bolo", F1490)), ISNUMBER(SEARCH("SUPERMERCADO", F1490))), "6.1 Despesas Administrativas (Pessoal)", IF(OR(ISNUMBER(SEARCH("DLKNET", F1490)), ISNUMBER(SEARCH("TESTE", F1490))), "6.1 Despesas Administrativas (Gerais)", IFERROR(VLOOKUP(H1490, De_Para!A:B, 2, FALSE), "NÃO MAPEADO"))), IFERROR(VLOOKUP(H1490, De_Para!A:B, 2, FALSE), "NÃO MAPEADO"))</f>
        <v/>
      </c>
    </row>
    <row r="1491">
      <c r="A1491" s="2" t="inlineStr">
        <is>
          <t>68195</t>
        </is>
      </c>
      <c r="B1491" s="2" t="inlineStr">
        <is>
          <t>Sicredi SNI</t>
        </is>
      </c>
      <c r="C1491" s="2" t="inlineStr">
        <is>
          <t>09/06/2026</t>
        </is>
      </c>
      <c r="D1491" s="2" t="inlineStr">
        <is>
          <t>09/06/2026</t>
        </is>
      </c>
      <c r="E1491" s="2" t="inlineStr">
        <is>
          <t>PIX</t>
        </is>
      </c>
      <c r="F1491" s="2" t="inlineStr">
        <is>
          <t>Boleto "56931" do cliente "ADEMAR PIRATELO"</t>
        </is>
      </c>
      <c r="G1491" s="2" t="inlineStr">
        <is>
          <t>system</t>
        </is>
      </c>
      <c r="H1491" s="2" t="inlineStr">
        <is>
          <t>01.01.01 : Mensalidade</t>
        </is>
      </c>
      <c r="I1491" s="3" t="n">
        <v>105</v>
      </c>
      <c r="J1491" s="2" t="n"/>
      <c r="K1491" s="2">
        <f>IF(H1491="02.09 : Outras Saídas", IF(OR(ISNUMBER(SEARCH("CHEQUE COMPE SICREDI", F1491)), ISNUMBER(SEARCH("aniversario", F1491)), ISNUMBER(SEARCH("churrasco", F1491)), ISNUMBER(SEARCH("bolo", F1491)), ISNUMBER(SEARCH("SUPERMERCADO", F1491))), "6.1 Despesas Administrativas (Pessoal)", IF(OR(ISNUMBER(SEARCH("DLKNET", F1491)), ISNUMBER(SEARCH("TESTE", F1491))), "6.1 Despesas Administrativas (Gerais)", IFERROR(VLOOKUP(H1491, De_Para!A:B, 2, FALSE), "NÃO MAPEADO"))), IFERROR(VLOOKUP(H1491, De_Para!A:B, 2, FALSE), "NÃO MAPEADO"))</f>
        <v/>
      </c>
    </row>
    <row r="1492">
      <c r="A1492" s="2" t="inlineStr">
        <is>
          <t>68194</t>
        </is>
      </c>
      <c r="B1492" s="2" t="inlineStr">
        <is>
          <t>Sicredi SNI</t>
        </is>
      </c>
      <c r="C1492" s="2" t="inlineStr">
        <is>
          <t>09/06/2026</t>
        </is>
      </c>
      <c r="D1492" s="2" t="inlineStr">
        <is>
          <t>09/06/2026</t>
        </is>
      </c>
      <c r="E1492" s="2" t="inlineStr">
        <is>
          <t>PIX</t>
        </is>
      </c>
      <c r="F1492" s="2" t="inlineStr">
        <is>
          <t>Boleto "57074" do cliente "WILLIAM EDUARD ENGEL WEISS"</t>
        </is>
      </c>
      <c r="G1492" s="2" t="inlineStr">
        <is>
          <t>system</t>
        </is>
      </c>
      <c r="H1492" s="2" t="inlineStr">
        <is>
          <t>02.03.02.01 : Cobrança Bancaria</t>
        </is>
      </c>
      <c r="I1492" s="2" t="n"/>
      <c r="J1492" s="3" t="n">
        <v>-0.49</v>
      </c>
      <c r="K1492" s="2">
        <f>IF(H1492="02.09 : Outras Saídas", IF(OR(ISNUMBER(SEARCH("CHEQUE COMPE SICREDI", F1492)), ISNUMBER(SEARCH("aniversario", F1492)), ISNUMBER(SEARCH("churrasco", F1492)), ISNUMBER(SEARCH("bolo", F1492)), ISNUMBER(SEARCH("SUPERMERCADO", F1492))), "6.1 Despesas Administrativas (Pessoal)", IF(OR(ISNUMBER(SEARCH("DLKNET", F1492)), ISNUMBER(SEARCH("TESTE", F1492))), "6.1 Despesas Administrativas (Gerais)", IFERROR(VLOOKUP(H1492, De_Para!A:B, 2, FALSE), "NÃO MAPEADO"))), IFERROR(VLOOKUP(H1492, De_Para!A:B, 2, FALSE), "NÃO MAPEADO"))</f>
        <v/>
      </c>
    </row>
    <row r="1493">
      <c r="A1493" s="2" t="inlineStr">
        <is>
          <t>68193</t>
        </is>
      </c>
      <c r="B1493" s="2" t="inlineStr">
        <is>
          <t>Sicredi SNI</t>
        </is>
      </c>
      <c r="C1493" s="2" t="inlineStr">
        <is>
          <t>09/06/2026</t>
        </is>
      </c>
      <c r="D1493" s="2" t="inlineStr">
        <is>
          <t>09/06/2026</t>
        </is>
      </c>
      <c r="E1493" s="2" t="inlineStr">
        <is>
          <t>PIX</t>
        </is>
      </c>
      <c r="F1493" s="2" t="inlineStr">
        <is>
          <t>Boleto "57074" do cliente "WILLIAM EDUARD ENGEL WEISS"</t>
        </is>
      </c>
      <c r="G1493" s="2" t="inlineStr">
        <is>
          <t>system</t>
        </is>
      </c>
      <c r="H1493" s="2" t="inlineStr">
        <is>
          <t>01.01.01 : Mensalidade</t>
        </is>
      </c>
      <c r="I1493" s="3" t="n">
        <v>100</v>
      </c>
      <c r="J1493" s="2" t="n"/>
      <c r="K1493" s="2">
        <f>IF(H1493="02.09 : Outras Saídas", IF(OR(ISNUMBER(SEARCH("CHEQUE COMPE SICREDI", F1493)), ISNUMBER(SEARCH("aniversario", F1493)), ISNUMBER(SEARCH("churrasco", F1493)), ISNUMBER(SEARCH("bolo", F1493)), ISNUMBER(SEARCH("SUPERMERCADO", F1493))), "6.1 Despesas Administrativas (Pessoal)", IF(OR(ISNUMBER(SEARCH("DLKNET", F1493)), ISNUMBER(SEARCH("TESTE", F1493))), "6.1 Despesas Administrativas (Gerais)", IFERROR(VLOOKUP(H1493, De_Para!A:B, 2, FALSE), "NÃO MAPEADO"))), IFERROR(VLOOKUP(H1493, De_Para!A:B, 2, FALSE), "NÃO MAPEADO"))</f>
        <v/>
      </c>
    </row>
    <row r="1494">
      <c r="A1494" s="2" t="inlineStr">
        <is>
          <t>68192</t>
        </is>
      </c>
      <c r="B1494" s="2" t="inlineStr">
        <is>
          <t>Sicredi SNI</t>
        </is>
      </c>
      <c r="C1494" s="2" t="inlineStr">
        <is>
          <t>09/06/2026</t>
        </is>
      </c>
      <c r="D1494" s="2" t="inlineStr">
        <is>
          <t>09/06/2026</t>
        </is>
      </c>
      <c r="E1494" s="2" t="inlineStr">
        <is>
          <t>PIX</t>
        </is>
      </c>
      <c r="F1494" s="2" t="inlineStr">
        <is>
          <t>Boleto "58038" do cliente "UNIÃO DELMORA ESPORTE CLUBE"</t>
        </is>
      </c>
      <c r="G1494" s="2" t="inlineStr">
        <is>
          <t>system</t>
        </is>
      </c>
      <c r="H1494" s="2" t="inlineStr">
        <is>
          <t>02.03.02.01 : Cobrança Bancaria</t>
        </is>
      </c>
      <c r="I1494" s="2" t="n"/>
      <c r="J1494" s="3" t="n">
        <v>-0.49</v>
      </c>
      <c r="K1494" s="2">
        <f>IF(H1494="02.09 : Outras Saídas", IF(OR(ISNUMBER(SEARCH("CHEQUE COMPE SICREDI", F1494)), ISNUMBER(SEARCH("aniversario", F1494)), ISNUMBER(SEARCH("churrasco", F1494)), ISNUMBER(SEARCH("bolo", F1494)), ISNUMBER(SEARCH("SUPERMERCADO", F1494))), "6.1 Despesas Administrativas (Pessoal)", IF(OR(ISNUMBER(SEARCH("DLKNET", F1494)), ISNUMBER(SEARCH("TESTE", F1494))), "6.1 Despesas Administrativas (Gerais)", IFERROR(VLOOKUP(H1494, De_Para!A:B, 2, FALSE), "NÃO MAPEADO"))), IFERROR(VLOOKUP(H1494, De_Para!A:B, 2, FALSE), "NÃO MAPEADO"))</f>
        <v/>
      </c>
    </row>
    <row r="1495">
      <c r="A1495" s="2" t="inlineStr">
        <is>
          <t>68191</t>
        </is>
      </c>
      <c r="B1495" s="2" t="inlineStr">
        <is>
          <t>Sicredi SNI</t>
        </is>
      </c>
      <c r="C1495" s="2" t="inlineStr">
        <is>
          <t>09/06/2026</t>
        </is>
      </c>
      <c r="D1495" s="2" t="inlineStr">
        <is>
          <t>09/06/2026</t>
        </is>
      </c>
      <c r="E1495" s="2" t="inlineStr">
        <is>
          <t>PIX</t>
        </is>
      </c>
      <c r="F1495" s="2" t="inlineStr">
        <is>
          <t>Boleto "58038" do cliente "UNIÃO DELMORA ESPORTE CLUBE"</t>
        </is>
      </c>
      <c r="G1495" s="2" t="inlineStr">
        <is>
          <t>system</t>
        </is>
      </c>
      <c r="H1495" s="2" t="inlineStr">
        <is>
          <t>01.01.01 : Mensalidade</t>
        </is>
      </c>
      <c r="I1495" s="3" t="n">
        <v>100</v>
      </c>
      <c r="J1495" s="2" t="n"/>
      <c r="K1495" s="2">
        <f>IF(H1495="02.09 : Outras Saídas", IF(OR(ISNUMBER(SEARCH("CHEQUE COMPE SICREDI", F1495)), ISNUMBER(SEARCH("aniversario", F1495)), ISNUMBER(SEARCH("churrasco", F1495)), ISNUMBER(SEARCH("bolo", F1495)), ISNUMBER(SEARCH("SUPERMERCADO", F1495))), "6.1 Despesas Administrativas (Pessoal)", IF(OR(ISNUMBER(SEARCH("DLKNET", F1495)), ISNUMBER(SEARCH("TESTE", F1495))), "6.1 Despesas Administrativas (Gerais)", IFERROR(VLOOKUP(H1495, De_Para!A:B, 2, FALSE), "NÃO MAPEADO"))), IFERROR(VLOOKUP(H1495, De_Para!A:B, 2, FALSE), "NÃO MAPEADO"))</f>
        <v/>
      </c>
    </row>
    <row r="1496">
      <c r="A1496" s="2" t="inlineStr">
        <is>
          <t>68190</t>
        </is>
      </c>
      <c r="B1496" s="2" t="inlineStr">
        <is>
          <t>Sicredi SNI</t>
        </is>
      </c>
      <c r="C1496" s="2" t="inlineStr">
        <is>
          <t>09/06/2026</t>
        </is>
      </c>
      <c r="D1496" s="2" t="inlineStr">
        <is>
          <t>09/06/2026</t>
        </is>
      </c>
      <c r="E1496" s="2" t="inlineStr">
        <is>
          <t>PIX</t>
        </is>
      </c>
      <c r="F1496" s="2" t="inlineStr">
        <is>
          <t>Boleto "64098" do cliente "JHONES TEMISTOCLE DUARTE"</t>
        </is>
      </c>
      <c r="G1496" s="2" t="inlineStr">
        <is>
          <t>system</t>
        </is>
      </c>
      <c r="H1496" s="2" t="inlineStr">
        <is>
          <t>02.03.02.01 : Cobrança Bancaria</t>
        </is>
      </c>
      <c r="I1496" s="2" t="n"/>
      <c r="J1496" s="3" t="n">
        <v>-0.49</v>
      </c>
      <c r="K1496" s="2">
        <f>IF(H1496="02.09 : Outras Saídas", IF(OR(ISNUMBER(SEARCH("CHEQUE COMPE SICREDI", F1496)), ISNUMBER(SEARCH("aniversario", F1496)), ISNUMBER(SEARCH("churrasco", F1496)), ISNUMBER(SEARCH("bolo", F1496)), ISNUMBER(SEARCH("SUPERMERCADO", F1496))), "6.1 Despesas Administrativas (Pessoal)", IF(OR(ISNUMBER(SEARCH("DLKNET", F1496)), ISNUMBER(SEARCH("TESTE", F1496))), "6.1 Despesas Administrativas (Gerais)", IFERROR(VLOOKUP(H1496, De_Para!A:B, 2, FALSE), "NÃO MAPEADO"))), IFERROR(VLOOKUP(H1496, De_Para!A:B, 2, FALSE), "NÃO MAPEADO"))</f>
        <v/>
      </c>
    </row>
    <row r="1497">
      <c r="A1497" s="2" t="inlineStr">
        <is>
          <t>68189</t>
        </is>
      </c>
      <c r="B1497" s="2" t="inlineStr">
        <is>
          <t>Sicredi SNI</t>
        </is>
      </c>
      <c r="C1497" s="2" t="inlineStr">
        <is>
          <t>09/06/2026</t>
        </is>
      </c>
      <c r="D1497" s="2" t="inlineStr">
        <is>
          <t>09/06/2026</t>
        </is>
      </c>
      <c r="E1497" s="2" t="inlineStr">
        <is>
          <t>PIX</t>
        </is>
      </c>
      <c r="F1497" s="2" t="inlineStr">
        <is>
          <t>Boleto "64098" do cliente "JHONES TEMISTOCLE DUARTE"</t>
        </is>
      </c>
      <c r="G1497" s="2" t="inlineStr">
        <is>
          <t>system</t>
        </is>
      </c>
      <c r="H1497" s="2" t="inlineStr">
        <is>
          <t>01.01.01 : Mensalidade</t>
        </is>
      </c>
      <c r="I1497" s="3" t="n">
        <v>107.24</v>
      </c>
      <c r="J1497" s="2" t="n"/>
      <c r="K1497" s="2">
        <f>IF(H1497="02.09 : Outras Saídas", IF(OR(ISNUMBER(SEARCH("CHEQUE COMPE SICREDI", F1497)), ISNUMBER(SEARCH("aniversario", F1497)), ISNUMBER(SEARCH("churrasco", F1497)), ISNUMBER(SEARCH("bolo", F1497)), ISNUMBER(SEARCH("SUPERMERCADO", F1497))), "6.1 Despesas Administrativas (Pessoal)", IF(OR(ISNUMBER(SEARCH("DLKNET", F1497)), ISNUMBER(SEARCH("TESTE", F1497))), "6.1 Despesas Administrativas (Gerais)", IFERROR(VLOOKUP(H1497, De_Para!A:B, 2, FALSE), "NÃO MAPEADO"))), IFERROR(VLOOKUP(H1497, De_Para!A:B, 2, FALSE), "NÃO MAPEADO"))</f>
        <v/>
      </c>
    </row>
    <row r="1498">
      <c r="A1498" s="2" t="inlineStr">
        <is>
          <t>68188</t>
        </is>
      </c>
      <c r="B1498" s="2" t="inlineStr">
        <is>
          <t>Sicredi SNI</t>
        </is>
      </c>
      <c r="C1498" s="2" t="inlineStr">
        <is>
          <t>09/06/2026</t>
        </is>
      </c>
      <c r="D1498" s="2" t="inlineStr">
        <is>
          <t>09/06/2026</t>
        </is>
      </c>
      <c r="E1498" s="2" t="inlineStr">
        <is>
          <t>PIX</t>
        </is>
      </c>
      <c r="F1498" s="2" t="inlineStr">
        <is>
          <t>Boleto "55848" do cliente "CARLOS MOREIRA DA SILVA JUNIOR"</t>
        </is>
      </c>
      <c r="G1498" s="2" t="inlineStr">
        <is>
          <t>system</t>
        </is>
      </c>
      <c r="H1498" s="2" t="inlineStr">
        <is>
          <t>02.03.02.01 : Cobrança Bancaria</t>
        </is>
      </c>
      <c r="I1498" s="2" t="n"/>
      <c r="J1498" s="3" t="n">
        <v>-0.49</v>
      </c>
      <c r="K1498" s="2">
        <f>IF(H1498="02.09 : Outras Saídas", IF(OR(ISNUMBER(SEARCH("CHEQUE COMPE SICREDI", F1498)), ISNUMBER(SEARCH("aniversario", F1498)), ISNUMBER(SEARCH("churrasco", F1498)), ISNUMBER(SEARCH("bolo", F1498)), ISNUMBER(SEARCH("SUPERMERCADO", F1498))), "6.1 Despesas Administrativas (Pessoal)", IF(OR(ISNUMBER(SEARCH("DLKNET", F1498)), ISNUMBER(SEARCH("TESTE", F1498))), "6.1 Despesas Administrativas (Gerais)", IFERROR(VLOOKUP(H1498, De_Para!A:B, 2, FALSE), "NÃO MAPEADO"))), IFERROR(VLOOKUP(H1498, De_Para!A:B, 2, FALSE), "NÃO MAPEADO"))</f>
        <v/>
      </c>
    </row>
    <row r="1499">
      <c r="A1499" s="2" t="inlineStr">
        <is>
          <t>68187</t>
        </is>
      </c>
      <c r="B1499" s="2" t="inlineStr">
        <is>
          <t>Sicredi SNI</t>
        </is>
      </c>
      <c r="C1499" s="2" t="inlineStr">
        <is>
          <t>09/06/2026</t>
        </is>
      </c>
      <c r="D1499" s="2" t="inlineStr">
        <is>
          <t>09/06/2026</t>
        </is>
      </c>
      <c r="E1499" s="2" t="inlineStr">
        <is>
          <t>PIX</t>
        </is>
      </c>
      <c r="F1499" s="2" t="inlineStr">
        <is>
          <t>Boleto "55848" do cliente "CARLOS MOREIRA DA SILVA JUNIOR"</t>
        </is>
      </c>
      <c r="G1499" s="2" t="inlineStr">
        <is>
          <t>system</t>
        </is>
      </c>
      <c r="H1499" s="2" t="inlineStr">
        <is>
          <t>01.01.01 : Mensalidade</t>
        </is>
      </c>
      <c r="I1499" s="3" t="n">
        <v>105</v>
      </c>
      <c r="J1499" s="2" t="n"/>
      <c r="K1499" s="2">
        <f>IF(H1499="02.09 : Outras Saídas", IF(OR(ISNUMBER(SEARCH("CHEQUE COMPE SICREDI", F1499)), ISNUMBER(SEARCH("aniversario", F1499)), ISNUMBER(SEARCH("churrasco", F1499)), ISNUMBER(SEARCH("bolo", F1499)), ISNUMBER(SEARCH("SUPERMERCADO", F1499))), "6.1 Despesas Administrativas (Pessoal)", IF(OR(ISNUMBER(SEARCH("DLKNET", F1499)), ISNUMBER(SEARCH("TESTE", F1499))), "6.1 Despesas Administrativas (Gerais)", IFERROR(VLOOKUP(H1499, De_Para!A:B, 2, FALSE), "NÃO MAPEADO"))), IFERROR(VLOOKUP(H1499, De_Para!A:B, 2, FALSE), "NÃO MAPEADO"))</f>
        <v/>
      </c>
    </row>
    <row r="1500">
      <c r="A1500" s="2" t="inlineStr">
        <is>
          <t>68186</t>
        </is>
      </c>
      <c r="B1500" s="2" t="inlineStr">
        <is>
          <t>Sicoob</t>
        </is>
      </c>
      <c r="C1500" s="2" t="inlineStr">
        <is>
          <t>09/06/2026</t>
        </is>
      </c>
      <c r="D1500" s="2" t="inlineStr">
        <is>
          <t>09/06/2026</t>
        </is>
      </c>
      <c r="E1500" s="2" t="inlineStr">
        <is>
          <t>Dinheiro</t>
        </is>
      </c>
      <c r="F1500" s="2" t="inlineStr">
        <is>
          <t>Boleto "66855" do cliente "IDELETE FERREIRA SABINO"</t>
        </is>
      </c>
      <c r="G1500" s="2" t="inlineStr">
        <is>
          <t>system</t>
        </is>
      </c>
      <c r="H1500" s="2" t="inlineStr">
        <is>
          <t>02.03.02.01 : Cobrança Bancaria</t>
        </is>
      </c>
      <c r="I1500" s="2" t="n"/>
      <c r="J1500" s="3" t="n">
        <v>-0.88</v>
      </c>
      <c r="K1500" s="2">
        <f>IF(H1500="02.09 : Outras Saídas", IF(OR(ISNUMBER(SEARCH("CHEQUE COMPE SICREDI", F1500)), ISNUMBER(SEARCH("aniversario", F1500)), ISNUMBER(SEARCH("churrasco", F1500)), ISNUMBER(SEARCH("bolo", F1500)), ISNUMBER(SEARCH("SUPERMERCADO", F1500))), "6.1 Despesas Administrativas (Pessoal)", IF(OR(ISNUMBER(SEARCH("DLKNET", F1500)), ISNUMBER(SEARCH("TESTE", F1500))), "6.1 Despesas Administrativas (Gerais)", IFERROR(VLOOKUP(H1500, De_Para!A:B, 2, FALSE), "NÃO MAPEADO"))), IFERROR(VLOOKUP(H1500, De_Para!A:B, 2, FALSE), "NÃO MAPEADO"))</f>
        <v/>
      </c>
    </row>
    <row r="1501">
      <c r="A1501" s="2" t="inlineStr">
        <is>
          <t>68185</t>
        </is>
      </c>
      <c r="B1501" s="2" t="inlineStr">
        <is>
          <t>Sicoob</t>
        </is>
      </c>
      <c r="C1501" s="2" t="inlineStr">
        <is>
          <t>09/06/2026</t>
        </is>
      </c>
      <c r="D1501" s="2" t="inlineStr">
        <is>
          <t>09/06/2026</t>
        </is>
      </c>
      <c r="E1501" s="2" t="inlineStr">
        <is>
          <t>Dinheiro</t>
        </is>
      </c>
      <c r="F1501" s="2" t="inlineStr">
        <is>
          <t>Boleto "66855" do cliente "IDELETE FERREIRA SABINO"</t>
        </is>
      </c>
      <c r="G1501" s="2" t="inlineStr">
        <is>
          <t>system</t>
        </is>
      </c>
      <c r="H1501" s="2" t="inlineStr">
        <is>
          <t>01.01.01 : Mensalidade</t>
        </is>
      </c>
      <c r="I1501" s="3" t="n">
        <v>112.23</v>
      </c>
      <c r="J1501" s="2" t="n"/>
      <c r="K1501" s="2">
        <f>IF(H1501="02.09 : Outras Saídas", IF(OR(ISNUMBER(SEARCH("CHEQUE COMPE SICREDI", F1501)), ISNUMBER(SEARCH("aniversario", F1501)), ISNUMBER(SEARCH("churrasco", F1501)), ISNUMBER(SEARCH("bolo", F1501)), ISNUMBER(SEARCH("SUPERMERCADO", F1501))), "6.1 Despesas Administrativas (Pessoal)", IF(OR(ISNUMBER(SEARCH("DLKNET", F1501)), ISNUMBER(SEARCH("TESTE", F1501))), "6.1 Despesas Administrativas (Gerais)", IFERROR(VLOOKUP(H1501, De_Para!A:B, 2, FALSE), "NÃO MAPEADO"))), IFERROR(VLOOKUP(H1501, De_Para!A:B, 2, FALSE), "NÃO MAPEADO"))</f>
        <v/>
      </c>
    </row>
    <row r="1502">
      <c r="A1502" s="2" t="inlineStr">
        <is>
          <t>68184</t>
        </is>
      </c>
      <c r="B1502" s="2" t="inlineStr">
        <is>
          <t>Sicoob</t>
        </is>
      </c>
      <c r="C1502" s="2" t="inlineStr">
        <is>
          <t>09/06/2026</t>
        </is>
      </c>
      <c r="D1502" s="2" t="inlineStr">
        <is>
          <t>09/06/2026</t>
        </is>
      </c>
      <c r="E1502" s="2" t="inlineStr">
        <is>
          <t>Dinheiro</t>
        </is>
      </c>
      <c r="F1502" s="2" t="inlineStr">
        <is>
          <t>Boleto "63782" do cliente "LINKON CHADAD SAI"</t>
        </is>
      </c>
      <c r="G1502" s="2" t="inlineStr">
        <is>
          <t>system</t>
        </is>
      </c>
      <c r="H1502" s="2" t="inlineStr">
        <is>
          <t>02.03.02.01 : Cobrança Bancaria</t>
        </is>
      </c>
      <c r="I1502" s="2" t="n"/>
      <c r="J1502" s="3" t="n">
        <v>-0.88</v>
      </c>
      <c r="K1502" s="2">
        <f>IF(H1502="02.09 : Outras Saídas", IF(OR(ISNUMBER(SEARCH("CHEQUE COMPE SICREDI", F1502)), ISNUMBER(SEARCH("aniversario", F1502)), ISNUMBER(SEARCH("churrasco", F1502)), ISNUMBER(SEARCH("bolo", F1502)), ISNUMBER(SEARCH("SUPERMERCADO", F1502))), "6.1 Despesas Administrativas (Pessoal)", IF(OR(ISNUMBER(SEARCH("DLKNET", F1502)), ISNUMBER(SEARCH("TESTE", F1502))), "6.1 Despesas Administrativas (Gerais)", IFERROR(VLOOKUP(H1502, De_Para!A:B, 2, FALSE), "NÃO MAPEADO"))), IFERROR(VLOOKUP(H1502, De_Para!A:B, 2, FALSE), "NÃO MAPEADO"))</f>
        <v/>
      </c>
    </row>
    <row r="1503">
      <c r="A1503" s="2" t="inlineStr">
        <is>
          <t>68183</t>
        </is>
      </c>
      <c r="B1503" s="2" t="inlineStr">
        <is>
          <t>Sicoob</t>
        </is>
      </c>
      <c r="C1503" s="2" t="inlineStr">
        <is>
          <t>09/06/2026</t>
        </is>
      </c>
      <c r="D1503" s="2" t="inlineStr">
        <is>
          <t>09/06/2026</t>
        </is>
      </c>
      <c r="E1503" s="2" t="inlineStr">
        <is>
          <t>Dinheiro</t>
        </is>
      </c>
      <c r="F1503" s="2" t="inlineStr">
        <is>
          <t>Boleto "63782" do cliente "LINKON CHADAD SAI"</t>
        </is>
      </c>
      <c r="G1503" s="2" t="inlineStr">
        <is>
          <t>system</t>
        </is>
      </c>
      <c r="H1503" s="2" t="inlineStr">
        <is>
          <t>01.01.01 : Mensalidade</t>
        </is>
      </c>
      <c r="I1503" s="3" t="n">
        <v>109.9</v>
      </c>
      <c r="J1503" s="2" t="n"/>
      <c r="K1503" s="2">
        <f>IF(H1503="02.09 : Outras Saídas", IF(OR(ISNUMBER(SEARCH("CHEQUE COMPE SICREDI", F1503)), ISNUMBER(SEARCH("aniversario", F1503)), ISNUMBER(SEARCH("churrasco", F1503)), ISNUMBER(SEARCH("bolo", F1503)), ISNUMBER(SEARCH("SUPERMERCADO", F1503))), "6.1 Despesas Administrativas (Pessoal)", IF(OR(ISNUMBER(SEARCH("DLKNET", F1503)), ISNUMBER(SEARCH("TESTE", F1503))), "6.1 Despesas Administrativas (Gerais)", IFERROR(VLOOKUP(H1503, De_Para!A:B, 2, FALSE), "NÃO MAPEADO"))), IFERROR(VLOOKUP(H1503, De_Para!A:B, 2, FALSE), "NÃO MAPEADO"))</f>
        <v/>
      </c>
    </row>
    <row r="1504">
      <c r="A1504" s="2" t="inlineStr">
        <is>
          <t>68182</t>
        </is>
      </c>
      <c r="B1504" s="2" t="inlineStr">
        <is>
          <t>Sicoob</t>
        </is>
      </c>
      <c r="C1504" s="2" t="inlineStr">
        <is>
          <t>09/06/2026</t>
        </is>
      </c>
      <c r="D1504" s="2" t="inlineStr">
        <is>
          <t>09/06/2026</t>
        </is>
      </c>
      <c r="E1504" s="2" t="inlineStr">
        <is>
          <t>Dinheiro</t>
        </is>
      </c>
      <c r="F1504" s="2" t="inlineStr">
        <is>
          <t>Boleto "60622" do cliente "JOÃO REIS DE AZEVEDO"</t>
        </is>
      </c>
      <c r="G1504" s="2" t="inlineStr">
        <is>
          <t>system</t>
        </is>
      </c>
      <c r="H1504" s="2" t="inlineStr">
        <is>
          <t>02.03.02.01 : Cobrança Bancaria</t>
        </is>
      </c>
      <c r="I1504" s="2" t="n"/>
      <c r="J1504" s="3" t="n">
        <v>-0.88</v>
      </c>
      <c r="K1504" s="2">
        <f>IF(H1504="02.09 : Outras Saídas", IF(OR(ISNUMBER(SEARCH("CHEQUE COMPE SICREDI", F1504)), ISNUMBER(SEARCH("aniversario", F1504)), ISNUMBER(SEARCH("churrasco", F1504)), ISNUMBER(SEARCH("bolo", F1504)), ISNUMBER(SEARCH("SUPERMERCADO", F1504))), "6.1 Despesas Administrativas (Pessoal)", IF(OR(ISNUMBER(SEARCH("DLKNET", F1504)), ISNUMBER(SEARCH("TESTE", F1504))), "6.1 Despesas Administrativas (Gerais)", IFERROR(VLOOKUP(H1504, De_Para!A:B, 2, FALSE), "NÃO MAPEADO"))), IFERROR(VLOOKUP(H1504, De_Para!A:B, 2, FALSE), "NÃO MAPEADO"))</f>
        <v/>
      </c>
    </row>
    <row r="1505">
      <c r="A1505" s="2" t="inlineStr">
        <is>
          <t>68181</t>
        </is>
      </c>
      <c r="B1505" s="2" t="inlineStr">
        <is>
          <t>Sicoob</t>
        </is>
      </c>
      <c r="C1505" s="2" t="inlineStr">
        <is>
          <t>09/06/2026</t>
        </is>
      </c>
      <c r="D1505" s="2" t="inlineStr">
        <is>
          <t>09/06/2026</t>
        </is>
      </c>
      <c r="E1505" s="2" t="inlineStr">
        <is>
          <t>Dinheiro</t>
        </is>
      </c>
      <c r="F1505" s="2" t="inlineStr">
        <is>
          <t>Boleto "60622" do cliente "JOÃO REIS DE AZEVEDO"</t>
        </is>
      </c>
      <c r="G1505" s="2" t="inlineStr">
        <is>
          <t>system</t>
        </is>
      </c>
      <c r="H1505" s="2" t="inlineStr">
        <is>
          <t>01.01.01 : Mensalidade</t>
        </is>
      </c>
      <c r="I1505" s="3" t="n">
        <v>105</v>
      </c>
      <c r="J1505" s="2" t="n"/>
      <c r="K1505" s="2">
        <f>IF(H1505="02.09 : Outras Saídas", IF(OR(ISNUMBER(SEARCH("CHEQUE COMPE SICREDI", F1505)), ISNUMBER(SEARCH("aniversario", F1505)), ISNUMBER(SEARCH("churrasco", F1505)), ISNUMBER(SEARCH("bolo", F1505)), ISNUMBER(SEARCH("SUPERMERCADO", F1505))), "6.1 Despesas Administrativas (Pessoal)", IF(OR(ISNUMBER(SEARCH("DLKNET", F1505)), ISNUMBER(SEARCH("TESTE", F1505))), "6.1 Despesas Administrativas (Gerais)", IFERROR(VLOOKUP(H1505, De_Para!A:B, 2, FALSE), "NÃO MAPEADO"))), IFERROR(VLOOKUP(H1505, De_Para!A:B, 2, FALSE), "NÃO MAPEADO"))</f>
        <v/>
      </c>
    </row>
    <row r="1506">
      <c r="A1506" s="2" t="inlineStr">
        <is>
          <t>68180</t>
        </is>
      </c>
      <c r="B1506" s="2" t="inlineStr">
        <is>
          <t>Sicoob</t>
        </is>
      </c>
      <c r="C1506" s="2" t="inlineStr">
        <is>
          <t>09/06/2026</t>
        </is>
      </c>
      <c r="D1506" s="2" t="inlineStr">
        <is>
          <t>09/06/2026</t>
        </is>
      </c>
      <c r="E1506" s="2" t="inlineStr">
        <is>
          <t>Dinheiro</t>
        </is>
      </c>
      <c r="F1506" s="2" t="inlineStr">
        <is>
          <t>Boleto "58090" do cliente "ROZENILDA DA SILVA SABINO"</t>
        </is>
      </c>
      <c r="G1506" s="2" t="inlineStr">
        <is>
          <t>system</t>
        </is>
      </c>
      <c r="H1506" s="2" t="inlineStr">
        <is>
          <t>02.03.02.01 : Cobrança Bancaria</t>
        </is>
      </c>
      <c r="I1506" s="2" t="n"/>
      <c r="J1506" s="3" t="n">
        <v>-0.88</v>
      </c>
      <c r="K1506" s="2">
        <f>IF(H1506="02.09 : Outras Saídas", IF(OR(ISNUMBER(SEARCH("CHEQUE COMPE SICREDI", F1506)), ISNUMBER(SEARCH("aniversario", F1506)), ISNUMBER(SEARCH("churrasco", F1506)), ISNUMBER(SEARCH("bolo", F1506)), ISNUMBER(SEARCH("SUPERMERCADO", F1506))), "6.1 Despesas Administrativas (Pessoal)", IF(OR(ISNUMBER(SEARCH("DLKNET", F1506)), ISNUMBER(SEARCH("TESTE", F1506))), "6.1 Despesas Administrativas (Gerais)", IFERROR(VLOOKUP(H1506, De_Para!A:B, 2, FALSE), "NÃO MAPEADO"))), IFERROR(VLOOKUP(H1506, De_Para!A:B, 2, FALSE), "NÃO MAPEADO"))</f>
        <v/>
      </c>
    </row>
    <row r="1507">
      <c r="A1507" s="2" t="inlineStr">
        <is>
          <t>68179</t>
        </is>
      </c>
      <c r="B1507" s="2" t="inlineStr">
        <is>
          <t>Sicoob</t>
        </is>
      </c>
      <c r="C1507" s="2" t="inlineStr">
        <is>
          <t>09/06/2026</t>
        </is>
      </c>
      <c r="D1507" s="2" t="inlineStr">
        <is>
          <t>09/06/2026</t>
        </is>
      </c>
      <c r="E1507" s="2" t="inlineStr">
        <is>
          <t>Dinheiro</t>
        </is>
      </c>
      <c r="F1507" s="2" t="inlineStr">
        <is>
          <t>Boleto "58090" do cliente "ROZENILDA DA SILVA SABINO"</t>
        </is>
      </c>
      <c r="G1507" s="2" t="inlineStr">
        <is>
          <t>system</t>
        </is>
      </c>
      <c r="H1507" s="2" t="inlineStr">
        <is>
          <t>01.01.01 : Mensalidade</t>
        </is>
      </c>
      <c r="I1507" s="3" t="n">
        <v>105</v>
      </c>
      <c r="J1507" s="2" t="n"/>
      <c r="K1507" s="2">
        <f>IF(H1507="02.09 : Outras Saídas", IF(OR(ISNUMBER(SEARCH("CHEQUE COMPE SICREDI", F1507)), ISNUMBER(SEARCH("aniversario", F1507)), ISNUMBER(SEARCH("churrasco", F1507)), ISNUMBER(SEARCH("bolo", F1507)), ISNUMBER(SEARCH("SUPERMERCADO", F1507))), "6.1 Despesas Administrativas (Pessoal)", IF(OR(ISNUMBER(SEARCH("DLKNET", F1507)), ISNUMBER(SEARCH("TESTE", F1507))), "6.1 Despesas Administrativas (Gerais)", IFERROR(VLOOKUP(H1507, De_Para!A:B, 2, FALSE), "NÃO MAPEADO"))), IFERROR(VLOOKUP(H1507, De_Para!A:B, 2, FALSE), "NÃO MAPEADO"))</f>
        <v/>
      </c>
    </row>
    <row r="1508">
      <c r="A1508" s="2" t="inlineStr">
        <is>
          <t>68178</t>
        </is>
      </c>
      <c r="B1508" s="2" t="inlineStr">
        <is>
          <t>Sicoob</t>
        </is>
      </c>
      <c r="C1508" s="2" t="inlineStr">
        <is>
          <t>09/06/2026</t>
        </is>
      </c>
      <c r="D1508" s="2" t="inlineStr">
        <is>
          <t>09/06/2026</t>
        </is>
      </c>
      <c r="E1508" s="2" t="inlineStr">
        <is>
          <t>Dinheiro</t>
        </is>
      </c>
      <c r="F1508" s="2" t="inlineStr">
        <is>
          <t>Boleto "57901" do cliente "GELSIMAR OJEDA PEREIRA"</t>
        </is>
      </c>
      <c r="G1508" s="2" t="inlineStr">
        <is>
          <t>system</t>
        </is>
      </c>
      <c r="H1508" s="2" t="inlineStr">
        <is>
          <t>02.03.02.01 : Cobrança Bancaria</t>
        </is>
      </c>
      <c r="I1508" s="2" t="n"/>
      <c r="J1508" s="3" t="n">
        <v>-0.88</v>
      </c>
      <c r="K1508" s="2">
        <f>IF(H1508="02.09 : Outras Saídas", IF(OR(ISNUMBER(SEARCH("CHEQUE COMPE SICREDI", F1508)), ISNUMBER(SEARCH("aniversario", F1508)), ISNUMBER(SEARCH("churrasco", F1508)), ISNUMBER(SEARCH("bolo", F1508)), ISNUMBER(SEARCH("SUPERMERCADO", F1508))), "6.1 Despesas Administrativas (Pessoal)", IF(OR(ISNUMBER(SEARCH("DLKNET", F1508)), ISNUMBER(SEARCH("TESTE", F1508))), "6.1 Despesas Administrativas (Gerais)", IFERROR(VLOOKUP(H1508, De_Para!A:B, 2, FALSE), "NÃO MAPEADO"))), IFERROR(VLOOKUP(H1508, De_Para!A:B, 2, FALSE), "NÃO MAPEADO"))</f>
        <v/>
      </c>
    </row>
    <row r="1509">
      <c r="A1509" s="2" t="inlineStr">
        <is>
          <t>68177</t>
        </is>
      </c>
      <c r="B1509" s="2" t="inlineStr">
        <is>
          <t>Sicoob</t>
        </is>
      </c>
      <c r="C1509" s="2" t="inlineStr">
        <is>
          <t>09/06/2026</t>
        </is>
      </c>
      <c r="D1509" s="2" t="inlineStr">
        <is>
          <t>09/06/2026</t>
        </is>
      </c>
      <c r="E1509" s="2" t="inlineStr">
        <is>
          <t>Dinheiro</t>
        </is>
      </c>
      <c r="F1509" s="2" t="inlineStr">
        <is>
          <t>Boleto "57901" do cliente "GELSIMAR OJEDA PEREIRA"</t>
        </is>
      </c>
      <c r="G1509" s="2" t="inlineStr">
        <is>
          <t>system</t>
        </is>
      </c>
      <c r="H1509" s="2" t="inlineStr">
        <is>
          <t>01.01.01 : Mensalidade</t>
        </is>
      </c>
      <c r="I1509" s="3" t="n">
        <v>105</v>
      </c>
      <c r="J1509" s="2" t="n"/>
      <c r="K1509" s="2">
        <f>IF(H1509="02.09 : Outras Saídas", IF(OR(ISNUMBER(SEARCH("CHEQUE COMPE SICREDI", F1509)), ISNUMBER(SEARCH("aniversario", F1509)), ISNUMBER(SEARCH("churrasco", F1509)), ISNUMBER(SEARCH("bolo", F1509)), ISNUMBER(SEARCH("SUPERMERCADO", F1509))), "6.1 Despesas Administrativas (Pessoal)", IF(OR(ISNUMBER(SEARCH("DLKNET", F1509)), ISNUMBER(SEARCH("TESTE", F1509))), "6.1 Despesas Administrativas (Gerais)", IFERROR(VLOOKUP(H1509, De_Para!A:B, 2, FALSE), "NÃO MAPEADO"))), IFERROR(VLOOKUP(H1509, De_Para!A:B, 2, FALSE), "NÃO MAPEADO"))</f>
        <v/>
      </c>
    </row>
    <row r="1510">
      <c r="A1510" s="2" t="inlineStr">
        <is>
          <t>68176</t>
        </is>
      </c>
      <c r="B1510" s="2" t="inlineStr">
        <is>
          <t>Sicoob</t>
        </is>
      </c>
      <c r="C1510" s="2" t="inlineStr">
        <is>
          <t>09/06/2026</t>
        </is>
      </c>
      <c r="D1510" s="2" t="inlineStr">
        <is>
          <t>09/06/2026</t>
        </is>
      </c>
      <c r="E1510" s="2" t="inlineStr">
        <is>
          <t>Dinheiro</t>
        </is>
      </c>
      <c r="F1510" s="2" t="inlineStr">
        <is>
          <t>Boleto "57669" do cliente "FERNANDA ESTELA GOMES CAZAROTO DA SILVA"</t>
        </is>
      </c>
      <c r="G1510" s="2" t="inlineStr">
        <is>
          <t>system</t>
        </is>
      </c>
      <c r="H1510" s="2" t="inlineStr">
        <is>
          <t>02.03.02.01 : Cobrança Bancaria</t>
        </is>
      </c>
      <c r="I1510" s="2" t="n"/>
      <c r="J1510" s="3" t="n">
        <v>-0.88</v>
      </c>
      <c r="K1510" s="2">
        <f>IF(H1510="02.09 : Outras Saídas", IF(OR(ISNUMBER(SEARCH("CHEQUE COMPE SICREDI", F1510)), ISNUMBER(SEARCH("aniversario", F1510)), ISNUMBER(SEARCH("churrasco", F1510)), ISNUMBER(SEARCH("bolo", F1510)), ISNUMBER(SEARCH("SUPERMERCADO", F1510))), "6.1 Despesas Administrativas (Pessoal)", IF(OR(ISNUMBER(SEARCH("DLKNET", F1510)), ISNUMBER(SEARCH("TESTE", F1510))), "6.1 Despesas Administrativas (Gerais)", IFERROR(VLOOKUP(H1510, De_Para!A:B, 2, FALSE), "NÃO MAPEADO"))), IFERROR(VLOOKUP(H1510, De_Para!A:B, 2, FALSE), "NÃO MAPEADO"))</f>
        <v/>
      </c>
    </row>
    <row r="1511">
      <c r="A1511" s="2" t="inlineStr">
        <is>
          <t>68175</t>
        </is>
      </c>
      <c r="B1511" s="2" t="inlineStr">
        <is>
          <t>Sicoob</t>
        </is>
      </c>
      <c r="C1511" s="2" t="inlineStr">
        <is>
          <t>09/06/2026</t>
        </is>
      </c>
      <c r="D1511" s="2" t="inlineStr">
        <is>
          <t>09/06/2026</t>
        </is>
      </c>
      <c r="E1511" s="2" t="inlineStr">
        <is>
          <t>Dinheiro</t>
        </is>
      </c>
      <c r="F1511" s="2" t="inlineStr">
        <is>
          <t>Boleto "57669" do cliente "FERNANDA ESTELA GOMES CAZAROTO DA SILVA"</t>
        </is>
      </c>
      <c r="G1511" s="2" t="inlineStr">
        <is>
          <t>system</t>
        </is>
      </c>
      <c r="H1511" s="2" t="inlineStr">
        <is>
          <t>01.01.01 : Mensalidade</t>
        </is>
      </c>
      <c r="I1511" s="3" t="n">
        <v>110</v>
      </c>
      <c r="J1511" s="2" t="n"/>
      <c r="K1511" s="2">
        <f>IF(H1511="02.09 : Outras Saídas", IF(OR(ISNUMBER(SEARCH("CHEQUE COMPE SICREDI", F1511)), ISNUMBER(SEARCH("aniversario", F1511)), ISNUMBER(SEARCH("churrasco", F1511)), ISNUMBER(SEARCH("bolo", F1511)), ISNUMBER(SEARCH("SUPERMERCADO", F1511))), "6.1 Despesas Administrativas (Pessoal)", IF(OR(ISNUMBER(SEARCH("DLKNET", F1511)), ISNUMBER(SEARCH("TESTE", F1511))), "6.1 Despesas Administrativas (Gerais)", IFERROR(VLOOKUP(H1511, De_Para!A:B, 2, FALSE), "NÃO MAPEADO"))), IFERROR(VLOOKUP(H1511, De_Para!A:B, 2, FALSE), "NÃO MAPEADO"))</f>
        <v/>
      </c>
    </row>
    <row r="1512">
      <c r="A1512" s="2" t="inlineStr">
        <is>
          <t>68174</t>
        </is>
      </c>
      <c r="B1512" s="2" t="inlineStr">
        <is>
          <t>Sicredi SNI</t>
        </is>
      </c>
      <c r="C1512" s="2" t="inlineStr">
        <is>
          <t>09/06/2026</t>
        </is>
      </c>
      <c r="D1512" s="2" t="inlineStr">
        <is>
          <t>09/06/2026</t>
        </is>
      </c>
      <c r="E1512" s="2" t="inlineStr">
        <is>
          <t>PIX</t>
        </is>
      </c>
      <c r="F1512" s="2" t="inlineStr">
        <is>
          <t>Boleto "55908" do cliente "TERREIRAO AGROPECUARIA LTDA"</t>
        </is>
      </c>
      <c r="G1512" s="2" t="inlineStr">
        <is>
          <t>system</t>
        </is>
      </c>
      <c r="H1512" s="2" t="inlineStr">
        <is>
          <t>02.03.02.01 : Cobrança Bancaria</t>
        </is>
      </c>
      <c r="I1512" s="2" t="n"/>
      <c r="J1512" s="3" t="n">
        <v>-0.49</v>
      </c>
      <c r="K1512" s="2">
        <f>IF(H1512="02.09 : Outras Saídas", IF(OR(ISNUMBER(SEARCH("CHEQUE COMPE SICREDI", F1512)), ISNUMBER(SEARCH("aniversario", F1512)), ISNUMBER(SEARCH("churrasco", F1512)), ISNUMBER(SEARCH("bolo", F1512)), ISNUMBER(SEARCH("SUPERMERCADO", F1512))), "6.1 Despesas Administrativas (Pessoal)", IF(OR(ISNUMBER(SEARCH("DLKNET", F1512)), ISNUMBER(SEARCH("TESTE", F1512))), "6.1 Despesas Administrativas (Gerais)", IFERROR(VLOOKUP(H1512, De_Para!A:B, 2, FALSE), "NÃO MAPEADO"))), IFERROR(VLOOKUP(H1512, De_Para!A:B, 2, FALSE), "NÃO MAPEADO"))</f>
        <v/>
      </c>
    </row>
    <row r="1513">
      <c r="A1513" s="2" t="inlineStr">
        <is>
          <t>68173</t>
        </is>
      </c>
      <c r="B1513" s="2" t="inlineStr">
        <is>
          <t>Sicredi SNI</t>
        </is>
      </c>
      <c r="C1513" s="2" t="inlineStr">
        <is>
          <t>09/06/2026</t>
        </is>
      </c>
      <c r="D1513" s="2" t="inlineStr">
        <is>
          <t>09/06/2026</t>
        </is>
      </c>
      <c r="E1513" s="2" t="inlineStr">
        <is>
          <t>PIX</t>
        </is>
      </c>
      <c r="F1513" s="2" t="inlineStr">
        <is>
          <t>Boleto "55908" do cliente "TERREIRAO AGROPECUARIA LTDA"</t>
        </is>
      </c>
      <c r="G1513" s="2" t="inlineStr">
        <is>
          <t>system</t>
        </is>
      </c>
      <c r="H1513" s="2" t="inlineStr">
        <is>
          <t>01.01.01 : Mensalidade</t>
        </is>
      </c>
      <c r="I1513" s="3" t="n">
        <v>105</v>
      </c>
      <c r="J1513" s="2" t="n"/>
      <c r="K1513" s="2">
        <f>IF(H1513="02.09 : Outras Saídas", IF(OR(ISNUMBER(SEARCH("CHEQUE COMPE SICREDI", F1513)), ISNUMBER(SEARCH("aniversario", F1513)), ISNUMBER(SEARCH("churrasco", F1513)), ISNUMBER(SEARCH("bolo", F1513)), ISNUMBER(SEARCH("SUPERMERCADO", F1513))), "6.1 Despesas Administrativas (Pessoal)", IF(OR(ISNUMBER(SEARCH("DLKNET", F1513)), ISNUMBER(SEARCH("TESTE", F1513))), "6.1 Despesas Administrativas (Gerais)", IFERROR(VLOOKUP(H1513, De_Para!A:B, 2, FALSE), "NÃO MAPEADO"))), IFERROR(VLOOKUP(H1513, De_Para!A:B, 2, FALSE), "NÃO MAPEADO"))</f>
        <v/>
      </c>
    </row>
    <row r="1514">
      <c r="A1514" s="2" t="inlineStr">
        <is>
          <t>68172</t>
        </is>
      </c>
      <c r="B1514" s="2" t="inlineStr">
        <is>
          <t>Sicredi SNI</t>
        </is>
      </c>
      <c r="C1514" s="2" t="inlineStr">
        <is>
          <t>09/06/2026</t>
        </is>
      </c>
      <c r="D1514" s="2" t="inlineStr">
        <is>
          <t>09/06/2026</t>
        </is>
      </c>
      <c r="E1514" s="2" t="inlineStr">
        <is>
          <t>PIX</t>
        </is>
      </c>
      <c r="F1514" s="2" t="inlineStr">
        <is>
          <t>Boleto "61818" do cliente "VALDINEI APARECIDO DE SOUSA"</t>
        </is>
      </c>
      <c r="G1514" s="2" t="inlineStr">
        <is>
          <t>system</t>
        </is>
      </c>
      <c r="H1514" s="2" t="inlineStr">
        <is>
          <t>02.03.02.01 : Cobrança Bancaria</t>
        </is>
      </c>
      <c r="I1514" s="2" t="n"/>
      <c r="J1514" s="3" t="n">
        <v>-0.49</v>
      </c>
      <c r="K1514" s="2">
        <f>IF(H1514="02.09 : Outras Saídas", IF(OR(ISNUMBER(SEARCH("CHEQUE COMPE SICREDI", F1514)), ISNUMBER(SEARCH("aniversario", F1514)), ISNUMBER(SEARCH("churrasco", F1514)), ISNUMBER(SEARCH("bolo", F1514)), ISNUMBER(SEARCH("SUPERMERCADO", F1514))), "6.1 Despesas Administrativas (Pessoal)", IF(OR(ISNUMBER(SEARCH("DLKNET", F1514)), ISNUMBER(SEARCH("TESTE", F1514))), "6.1 Despesas Administrativas (Gerais)", IFERROR(VLOOKUP(H1514, De_Para!A:B, 2, FALSE), "NÃO MAPEADO"))), IFERROR(VLOOKUP(H1514, De_Para!A:B, 2, FALSE), "NÃO MAPEADO"))</f>
        <v/>
      </c>
    </row>
    <row r="1515">
      <c r="A1515" s="2" t="inlineStr">
        <is>
          <t>68171</t>
        </is>
      </c>
      <c r="B1515" s="2" t="inlineStr">
        <is>
          <t>Sicredi SNI</t>
        </is>
      </c>
      <c r="C1515" s="2" t="inlineStr">
        <is>
          <t>09/06/2026</t>
        </is>
      </c>
      <c r="D1515" s="2" t="inlineStr">
        <is>
          <t>09/06/2026</t>
        </is>
      </c>
      <c r="E1515" s="2" t="inlineStr">
        <is>
          <t>PIX</t>
        </is>
      </c>
      <c r="F1515" s="2" t="inlineStr">
        <is>
          <t>Boleto "61818" do cliente "VALDINEI APARECIDO DE SOUSA"</t>
        </is>
      </c>
      <c r="G1515" s="2" t="inlineStr">
        <is>
          <t>system</t>
        </is>
      </c>
      <c r="H1515" s="2" t="inlineStr">
        <is>
          <t>01.01.01 : Mensalidade</t>
        </is>
      </c>
      <c r="I1515" s="3" t="n">
        <v>110</v>
      </c>
      <c r="J1515" s="2" t="n"/>
      <c r="K1515" s="2">
        <f>IF(H1515="02.09 : Outras Saídas", IF(OR(ISNUMBER(SEARCH("CHEQUE COMPE SICREDI", F1515)), ISNUMBER(SEARCH("aniversario", F1515)), ISNUMBER(SEARCH("churrasco", F1515)), ISNUMBER(SEARCH("bolo", F1515)), ISNUMBER(SEARCH("SUPERMERCADO", F1515))), "6.1 Despesas Administrativas (Pessoal)", IF(OR(ISNUMBER(SEARCH("DLKNET", F1515)), ISNUMBER(SEARCH("TESTE", F1515))), "6.1 Despesas Administrativas (Gerais)", IFERROR(VLOOKUP(H1515, De_Para!A:B, 2, FALSE), "NÃO MAPEADO"))), IFERROR(VLOOKUP(H1515, De_Para!A:B, 2, FALSE), "NÃO MAPEADO"))</f>
        <v/>
      </c>
    </row>
    <row r="1516">
      <c r="A1516" s="2" t="inlineStr">
        <is>
          <t>68170</t>
        </is>
      </c>
      <c r="B1516" s="2" t="inlineStr">
        <is>
          <t>Sicredi SNI</t>
        </is>
      </c>
      <c r="C1516" s="2" t="inlineStr">
        <is>
          <t>09/06/2026</t>
        </is>
      </c>
      <c r="D1516" s="2" t="inlineStr">
        <is>
          <t>09/06/2026</t>
        </is>
      </c>
      <c r="E1516" s="2" t="inlineStr">
        <is>
          <t>PIX</t>
        </is>
      </c>
      <c r="F1516" s="2" t="inlineStr">
        <is>
          <t>Boleto "64188" do cliente "FRANCIELI APARECIDA DA SILVA"</t>
        </is>
      </c>
      <c r="G1516" s="2" t="inlineStr">
        <is>
          <t>system</t>
        </is>
      </c>
      <c r="H1516" s="2" t="inlineStr">
        <is>
          <t>02.03.02.01 : Cobrança Bancaria</t>
        </is>
      </c>
      <c r="I1516" s="2" t="n"/>
      <c r="J1516" s="3" t="n">
        <v>-0.49</v>
      </c>
      <c r="K1516" s="2">
        <f>IF(H1516="02.09 : Outras Saídas", IF(OR(ISNUMBER(SEARCH("CHEQUE COMPE SICREDI", F1516)), ISNUMBER(SEARCH("aniversario", F1516)), ISNUMBER(SEARCH("churrasco", F1516)), ISNUMBER(SEARCH("bolo", F1516)), ISNUMBER(SEARCH("SUPERMERCADO", F1516))), "6.1 Despesas Administrativas (Pessoal)", IF(OR(ISNUMBER(SEARCH("DLKNET", F1516)), ISNUMBER(SEARCH("TESTE", F1516))), "6.1 Despesas Administrativas (Gerais)", IFERROR(VLOOKUP(H1516, De_Para!A:B, 2, FALSE), "NÃO MAPEADO"))), IFERROR(VLOOKUP(H1516, De_Para!A:B, 2, FALSE), "NÃO MAPEADO"))</f>
        <v/>
      </c>
    </row>
    <row r="1517">
      <c r="A1517" s="2" t="inlineStr">
        <is>
          <t>68169</t>
        </is>
      </c>
      <c r="B1517" s="2" t="inlineStr">
        <is>
          <t>Sicredi SNI</t>
        </is>
      </c>
      <c r="C1517" s="2" t="inlineStr">
        <is>
          <t>09/06/2026</t>
        </is>
      </c>
      <c r="D1517" s="2" t="inlineStr">
        <is>
          <t>09/06/2026</t>
        </is>
      </c>
      <c r="E1517" s="2" t="inlineStr">
        <is>
          <t>PIX</t>
        </is>
      </c>
      <c r="F1517" s="2" t="inlineStr">
        <is>
          <t>Boleto "64188" do cliente "FRANCIELI APARECIDA DA SILVA"</t>
        </is>
      </c>
      <c r="G1517" s="2" t="inlineStr">
        <is>
          <t>system</t>
        </is>
      </c>
      <c r="H1517" s="2" t="inlineStr">
        <is>
          <t>01.01.01 : Mensalidade</t>
        </is>
      </c>
      <c r="I1517" s="3" t="n">
        <v>99.90000000000001</v>
      </c>
      <c r="J1517" s="2" t="n"/>
      <c r="K1517" s="2">
        <f>IF(H1517="02.09 : Outras Saídas", IF(OR(ISNUMBER(SEARCH("CHEQUE COMPE SICREDI", F1517)), ISNUMBER(SEARCH("aniversario", F1517)), ISNUMBER(SEARCH("churrasco", F1517)), ISNUMBER(SEARCH("bolo", F1517)), ISNUMBER(SEARCH("SUPERMERCADO", F1517))), "6.1 Despesas Administrativas (Pessoal)", IF(OR(ISNUMBER(SEARCH("DLKNET", F1517)), ISNUMBER(SEARCH("TESTE", F1517))), "6.1 Despesas Administrativas (Gerais)", IFERROR(VLOOKUP(H1517, De_Para!A:B, 2, FALSE), "NÃO MAPEADO"))), IFERROR(VLOOKUP(H1517, De_Para!A:B, 2, FALSE), "NÃO MAPEADO"))</f>
        <v/>
      </c>
    </row>
    <row r="1518">
      <c r="A1518" s="2" t="inlineStr">
        <is>
          <t>68168</t>
        </is>
      </c>
      <c r="B1518" s="2" t="inlineStr">
        <is>
          <t>Sicredi SNI</t>
        </is>
      </c>
      <c r="C1518" s="2" t="inlineStr">
        <is>
          <t>09/06/2026</t>
        </is>
      </c>
      <c r="D1518" s="2" t="inlineStr">
        <is>
          <t>09/06/2026</t>
        </is>
      </c>
      <c r="E1518" s="2" t="inlineStr">
        <is>
          <t>PIX</t>
        </is>
      </c>
      <c r="F1518" s="2" t="inlineStr">
        <is>
          <t>Boleto "63074" do cliente "IVANIL MARIA DE MIRANDA GONÇALVES"</t>
        </is>
      </c>
      <c r="G1518" s="2" t="inlineStr">
        <is>
          <t>system</t>
        </is>
      </c>
      <c r="H1518" s="2" t="inlineStr">
        <is>
          <t>02.03.02.01 : Cobrança Bancaria</t>
        </is>
      </c>
      <c r="I1518" s="2" t="n"/>
      <c r="J1518" s="3" t="n">
        <v>-0.49</v>
      </c>
      <c r="K1518" s="2">
        <f>IF(H1518="02.09 : Outras Saídas", IF(OR(ISNUMBER(SEARCH("CHEQUE COMPE SICREDI", F1518)), ISNUMBER(SEARCH("aniversario", F1518)), ISNUMBER(SEARCH("churrasco", F1518)), ISNUMBER(SEARCH("bolo", F1518)), ISNUMBER(SEARCH("SUPERMERCADO", F1518))), "6.1 Despesas Administrativas (Pessoal)", IF(OR(ISNUMBER(SEARCH("DLKNET", F1518)), ISNUMBER(SEARCH("TESTE", F1518))), "6.1 Despesas Administrativas (Gerais)", IFERROR(VLOOKUP(H1518, De_Para!A:B, 2, FALSE), "NÃO MAPEADO"))), IFERROR(VLOOKUP(H1518, De_Para!A:B, 2, FALSE), "NÃO MAPEADO"))</f>
        <v/>
      </c>
    </row>
    <row r="1519">
      <c r="A1519" s="2" t="inlineStr">
        <is>
          <t>68167</t>
        </is>
      </c>
      <c r="B1519" s="2" t="inlineStr">
        <is>
          <t>Sicredi SNI</t>
        </is>
      </c>
      <c r="C1519" s="2" t="inlineStr">
        <is>
          <t>09/06/2026</t>
        </is>
      </c>
      <c r="D1519" s="2" t="inlineStr">
        <is>
          <t>09/06/2026</t>
        </is>
      </c>
      <c r="E1519" s="2" t="inlineStr">
        <is>
          <t>PIX</t>
        </is>
      </c>
      <c r="F1519" s="2" t="inlineStr">
        <is>
          <t>Boleto "63074" do cliente "IVANIL MARIA DE MIRANDA GONÇALVES"</t>
        </is>
      </c>
      <c r="G1519" s="2" t="inlineStr">
        <is>
          <t>system</t>
        </is>
      </c>
      <c r="H1519" s="2" t="inlineStr">
        <is>
          <t>01.01.01 : Mensalidade</t>
        </is>
      </c>
      <c r="I1519" s="3" t="n">
        <v>104.9</v>
      </c>
      <c r="J1519" s="2" t="n"/>
      <c r="K1519" s="2">
        <f>IF(H1519="02.09 : Outras Saídas", IF(OR(ISNUMBER(SEARCH("CHEQUE COMPE SICREDI", F1519)), ISNUMBER(SEARCH("aniversario", F1519)), ISNUMBER(SEARCH("churrasco", F1519)), ISNUMBER(SEARCH("bolo", F1519)), ISNUMBER(SEARCH("SUPERMERCADO", F1519))), "6.1 Despesas Administrativas (Pessoal)", IF(OR(ISNUMBER(SEARCH("DLKNET", F1519)), ISNUMBER(SEARCH("TESTE", F1519))), "6.1 Despesas Administrativas (Gerais)", IFERROR(VLOOKUP(H1519, De_Para!A:B, 2, FALSE), "NÃO MAPEADO"))), IFERROR(VLOOKUP(H1519, De_Para!A:B, 2, FALSE), "NÃO MAPEADO"))</f>
        <v/>
      </c>
    </row>
    <row r="1520">
      <c r="A1520" s="2" t="inlineStr">
        <is>
          <t>68166</t>
        </is>
      </c>
      <c r="B1520" s="2" t="inlineStr">
        <is>
          <t>Sicredi SNI</t>
        </is>
      </c>
      <c r="C1520" s="2" t="inlineStr">
        <is>
          <t>09/06/2026</t>
        </is>
      </c>
      <c r="D1520" s="2" t="inlineStr">
        <is>
          <t>09/06/2026</t>
        </is>
      </c>
      <c r="E1520" s="2" t="inlineStr">
        <is>
          <t>PIX</t>
        </is>
      </c>
      <c r="F1520" s="2" t="inlineStr">
        <is>
          <t>Boleto "62090" do cliente "GEAN MARLOS PEREIRA"</t>
        </is>
      </c>
      <c r="G1520" s="2" t="inlineStr">
        <is>
          <t>system</t>
        </is>
      </c>
      <c r="H1520" s="2" t="inlineStr">
        <is>
          <t>02.03.02.01 : Cobrança Bancaria</t>
        </is>
      </c>
      <c r="I1520" s="2" t="n"/>
      <c r="J1520" s="3" t="n">
        <v>-0.49</v>
      </c>
      <c r="K1520" s="2">
        <f>IF(H1520="02.09 : Outras Saídas", IF(OR(ISNUMBER(SEARCH("CHEQUE COMPE SICREDI", F1520)), ISNUMBER(SEARCH("aniversario", F1520)), ISNUMBER(SEARCH("churrasco", F1520)), ISNUMBER(SEARCH("bolo", F1520)), ISNUMBER(SEARCH("SUPERMERCADO", F1520))), "6.1 Despesas Administrativas (Pessoal)", IF(OR(ISNUMBER(SEARCH("DLKNET", F1520)), ISNUMBER(SEARCH("TESTE", F1520))), "6.1 Despesas Administrativas (Gerais)", IFERROR(VLOOKUP(H1520, De_Para!A:B, 2, FALSE), "NÃO MAPEADO"))), IFERROR(VLOOKUP(H1520, De_Para!A:B, 2, FALSE), "NÃO MAPEADO"))</f>
        <v/>
      </c>
    </row>
    <row r="1521">
      <c r="A1521" s="2" t="inlineStr">
        <is>
          <t>68165</t>
        </is>
      </c>
      <c r="B1521" s="2" t="inlineStr">
        <is>
          <t>Sicredi SNI</t>
        </is>
      </c>
      <c r="C1521" s="2" t="inlineStr">
        <is>
          <t>09/06/2026</t>
        </is>
      </c>
      <c r="D1521" s="2" t="inlineStr">
        <is>
          <t>09/06/2026</t>
        </is>
      </c>
      <c r="E1521" s="2" t="inlineStr">
        <is>
          <t>PIX</t>
        </is>
      </c>
      <c r="F1521" s="2" t="inlineStr">
        <is>
          <t>Boleto "62090" do cliente "GEAN MARLOS PEREIRA"</t>
        </is>
      </c>
      <c r="G1521" s="2" t="inlineStr">
        <is>
          <t>system</t>
        </is>
      </c>
      <c r="H1521" s="2" t="inlineStr">
        <is>
          <t>01.01.01 : Mensalidade</t>
        </is>
      </c>
      <c r="I1521" s="3" t="n">
        <v>110</v>
      </c>
      <c r="J1521" s="2" t="n"/>
      <c r="K1521" s="2">
        <f>IF(H1521="02.09 : Outras Saídas", IF(OR(ISNUMBER(SEARCH("CHEQUE COMPE SICREDI", F1521)), ISNUMBER(SEARCH("aniversario", F1521)), ISNUMBER(SEARCH("churrasco", F1521)), ISNUMBER(SEARCH("bolo", F1521)), ISNUMBER(SEARCH("SUPERMERCADO", F1521))), "6.1 Despesas Administrativas (Pessoal)", IF(OR(ISNUMBER(SEARCH("DLKNET", F1521)), ISNUMBER(SEARCH("TESTE", F1521))), "6.1 Despesas Administrativas (Gerais)", IFERROR(VLOOKUP(H1521, De_Para!A:B, 2, FALSE), "NÃO MAPEADO"))), IFERROR(VLOOKUP(H1521, De_Para!A:B, 2, FALSE), "NÃO MAPEADO"))</f>
        <v/>
      </c>
    </row>
    <row r="1522">
      <c r="A1522" s="2" t="inlineStr">
        <is>
          <t>68164</t>
        </is>
      </c>
      <c r="B1522" s="2" t="inlineStr">
        <is>
          <t>Sicredi SNI</t>
        </is>
      </c>
      <c r="C1522" s="2" t="inlineStr">
        <is>
          <t>09/06/2026</t>
        </is>
      </c>
      <c r="D1522" s="2" t="inlineStr">
        <is>
          <t>09/06/2026</t>
        </is>
      </c>
      <c r="E1522" s="2" t="inlineStr">
        <is>
          <t>PIX</t>
        </is>
      </c>
      <c r="F1522" s="2" t="inlineStr">
        <is>
          <t>Boleto "57702" do cliente "JAIME SCHELSEM"</t>
        </is>
      </c>
      <c r="G1522" s="2" t="inlineStr">
        <is>
          <t>system</t>
        </is>
      </c>
      <c r="H1522" s="2" t="inlineStr">
        <is>
          <t>02.03.02.01 : Cobrança Bancaria</t>
        </is>
      </c>
      <c r="I1522" s="2" t="n"/>
      <c r="J1522" s="3" t="n">
        <v>-0.49</v>
      </c>
      <c r="K1522" s="2">
        <f>IF(H1522="02.09 : Outras Saídas", IF(OR(ISNUMBER(SEARCH("CHEQUE COMPE SICREDI", F1522)), ISNUMBER(SEARCH("aniversario", F1522)), ISNUMBER(SEARCH("churrasco", F1522)), ISNUMBER(SEARCH("bolo", F1522)), ISNUMBER(SEARCH("SUPERMERCADO", F1522))), "6.1 Despesas Administrativas (Pessoal)", IF(OR(ISNUMBER(SEARCH("DLKNET", F1522)), ISNUMBER(SEARCH("TESTE", F1522))), "6.1 Despesas Administrativas (Gerais)", IFERROR(VLOOKUP(H1522, De_Para!A:B, 2, FALSE), "NÃO MAPEADO"))), IFERROR(VLOOKUP(H1522, De_Para!A:B, 2, FALSE), "NÃO MAPEADO"))</f>
        <v/>
      </c>
    </row>
    <row r="1523">
      <c r="A1523" s="2" t="inlineStr">
        <is>
          <t>68163</t>
        </is>
      </c>
      <c r="B1523" s="2" t="inlineStr">
        <is>
          <t>Sicredi SNI</t>
        </is>
      </c>
      <c r="C1523" s="2" t="inlineStr">
        <is>
          <t>09/06/2026</t>
        </is>
      </c>
      <c r="D1523" s="2" t="inlineStr">
        <is>
          <t>09/06/2026</t>
        </is>
      </c>
      <c r="E1523" s="2" t="inlineStr">
        <is>
          <t>PIX</t>
        </is>
      </c>
      <c r="F1523" s="2" t="inlineStr">
        <is>
          <t>Boleto "57702" do cliente "JAIME SCHELSEM"</t>
        </is>
      </c>
      <c r="G1523" s="2" t="inlineStr">
        <is>
          <t>system</t>
        </is>
      </c>
      <c r="H1523" s="2" t="inlineStr">
        <is>
          <t>01.01.01 : Mensalidade</t>
        </is>
      </c>
      <c r="I1523" s="3" t="n">
        <v>100</v>
      </c>
      <c r="J1523" s="2" t="n"/>
      <c r="K1523" s="2">
        <f>IF(H1523="02.09 : Outras Saídas", IF(OR(ISNUMBER(SEARCH("CHEQUE COMPE SICREDI", F1523)), ISNUMBER(SEARCH("aniversario", F1523)), ISNUMBER(SEARCH("churrasco", F1523)), ISNUMBER(SEARCH("bolo", F1523)), ISNUMBER(SEARCH("SUPERMERCADO", F1523))), "6.1 Despesas Administrativas (Pessoal)", IF(OR(ISNUMBER(SEARCH("DLKNET", F1523)), ISNUMBER(SEARCH("TESTE", F1523))), "6.1 Despesas Administrativas (Gerais)", IFERROR(VLOOKUP(H1523, De_Para!A:B, 2, FALSE), "NÃO MAPEADO"))), IFERROR(VLOOKUP(H1523, De_Para!A:B, 2, FALSE), "NÃO MAPEADO"))</f>
        <v/>
      </c>
    </row>
    <row r="1524">
      <c r="A1524" s="2" t="inlineStr">
        <is>
          <t>68162</t>
        </is>
      </c>
      <c r="B1524" s="2" t="inlineStr">
        <is>
          <t>Sicredi SNI</t>
        </is>
      </c>
      <c r="C1524" s="2" t="inlineStr">
        <is>
          <t>09/06/2026</t>
        </is>
      </c>
      <c r="D1524" s="2" t="inlineStr">
        <is>
          <t>09/06/2026</t>
        </is>
      </c>
      <c r="E1524" s="2" t="inlineStr">
        <is>
          <t>PIX</t>
        </is>
      </c>
      <c r="F1524" s="2" t="inlineStr">
        <is>
          <t>Boleto "58288" do cliente "ROZENILDA VALERIA DOS SANTOS"</t>
        </is>
      </c>
      <c r="G1524" s="2" t="inlineStr">
        <is>
          <t>system</t>
        </is>
      </c>
      <c r="H1524" s="2" t="inlineStr">
        <is>
          <t>02.03.02.01 : Cobrança Bancaria</t>
        </is>
      </c>
      <c r="I1524" s="2" t="n"/>
      <c r="J1524" s="3" t="n">
        <v>-0.49</v>
      </c>
      <c r="K1524" s="2">
        <f>IF(H1524="02.09 : Outras Saídas", IF(OR(ISNUMBER(SEARCH("CHEQUE COMPE SICREDI", F1524)), ISNUMBER(SEARCH("aniversario", F1524)), ISNUMBER(SEARCH("churrasco", F1524)), ISNUMBER(SEARCH("bolo", F1524)), ISNUMBER(SEARCH("SUPERMERCADO", F1524))), "6.1 Despesas Administrativas (Pessoal)", IF(OR(ISNUMBER(SEARCH("DLKNET", F1524)), ISNUMBER(SEARCH("TESTE", F1524))), "6.1 Despesas Administrativas (Gerais)", IFERROR(VLOOKUP(H1524, De_Para!A:B, 2, FALSE), "NÃO MAPEADO"))), IFERROR(VLOOKUP(H1524, De_Para!A:B, 2, FALSE), "NÃO MAPEADO"))</f>
        <v/>
      </c>
    </row>
    <row r="1525">
      <c r="A1525" s="2" t="inlineStr">
        <is>
          <t>68161</t>
        </is>
      </c>
      <c r="B1525" s="2" t="inlineStr">
        <is>
          <t>Sicredi SNI</t>
        </is>
      </c>
      <c r="C1525" s="2" t="inlineStr">
        <is>
          <t>09/06/2026</t>
        </is>
      </c>
      <c r="D1525" s="2" t="inlineStr">
        <is>
          <t>09/06/2026</t>
        </is>
      </c>
      <c r="E1525" s="2" t="inlineStr">
        <is>
          <t>PIX</t>
        </is>
      </c>
      <c r="F1525" s="2" t="inlineStr">
        <is>
          <t>Boleto "58288" do cliente "ROZENILDA VALERIA DOS SANTOS"</t>
        </is>
      </c>
      <c r="G1525" s="2" t="inlineStr">
        <is>
          <t>system</t>
        </is>
      </c>
      <c r="H1525" s="2" t="inlineStr">
        <is>
          <t>01.01.01 : Mensalidade</t>
        </is>
      </c>
      <c r="I1525" s="3" t="n">
        <v>100</v>
      </c>
      <c r="J1525" s="2" t="n"/>
      <c r="K1525" s="2">
        <f>IF(H1525="02.09 : Outras Saídas", IF(OR(ISNUMBER(SEARCH("CHEQUE COMPE SICREDI", F1525)), ISNUMBER(SEARCH("aniversario", F1525)), ISNUMBER(SEARCH("churrasco", F1525)), ISNUMBER(SEARCH("bolo", F1525)), ISNUMBER(SEARCH("SUPERMERCADO", F1525))), "6.1 Despesas Administrativas (Pessoal)", IF(OR(ISNUMBER(SEARCH("DLKNET", F1525)), ISNUMBER(SEARCH("TESTE", F1525))), "6.1 Despesas Administrativas (Gerais)", IFERROR(VLOOKUP(H1525, De_Para!A:B, 2, FALSE), "NÃO MAPEADO"))), IFERROR(VLOOKUP(H1525, De_Para!A:B, 2, FALSE), "NÃO MAPEADO"))</f>
        <v/>
      </c>
    </row>
    <row r="1526">
      <c r="A1526" s="2" t="inlineStr">
        <is>
          <t>68160</t>
        </is>
      </c>
      <c r="B1526" s="2" t="inlineStr">
        <is>
          <t>Sicredi SNI</t>
        </is>
      </c>
      <c r="C1526" s="2" t="inlineStr">
        <is>
          <t>09/06/2026</t>
        </is>
      </c>
      <c r="D1526" s="2" t="inlineStr">
        <is>
          <t>09/06/2026</t>
        </is>
      </c>
      <c r="E1526" s="2" t="inlineStr">
        <is>
          <t>PIX</t>
        </is>
      </c>
      <c r="F1526" s="2" t="inlineStr">
        <is>
          <t>Boleto "62263" do cliente "NADIA VALERIA DA SILVA"</t>
        </is>
      </c>
      <c r="G1526" s="2" t="inlineStr">
        <is>
          <t>system</t>
        </is>
      </c>
      <c r="H1526" s="2" t="inlineStr">
        <is>
          <t>02.03.02.01 : Cobrança Bancaria</t>
        </is>
      </c>
      <c r="I1526" s="2" t="n"/>
      <c r="J1526" s="3" t="n">
        <v>-0.49</v>
      </c>
      <c r="K1526" s="2">
        <f>IF(H1526="02.09 : Outras Saídas", IF(OR(ISNUMBER(SEARCH("CHEQUE COMPE SICREDI", F1526)), ISNUMBER(SEARCH("aniversario", F1526)), ISNUMBER(SEARCH("churrasco", F1526)), ISNUMBER(SEARCH("bolo", F1526)), ISNUMBER(SEARCH("SUPERMERCADO", F1526))), "6.1 Despesas Administrativas (Pessoal)", IF(OR(ISNUMBER(SEARCH("DLKNET", F1526)), ISNUMBER(SEARCH("TESTE", F1526))), "6.1 Despesas Administrativas (Gerais)", IFERROR(VLOOKUP(H1526, De_Para!A:B, 2, FALSE), "NÃO MAPEADO"))), IFERROR(VLOOKUP(H1526, De_Para!A:B, 2, FALSE), "NÃO MAPEADO"))</f>
        <v/>
      </c>
    </row>
    <row r="1527">
      <c r="A1527" s="2" t="inlineStr">
        <is>
          <t>68159</t>
        </is>
      </c>
      <c r="B1527" s="2" t="inlineStr">
        <is>
          <t>Sicredi SNI</t>
        </is>
      </c>
      <c r="C1527" s="2" t="inlineStr">
        <is>
          <t>09/06/2026</t>
        </is>
      </c>
      <c r="D1527" s="2" t="inlineStr">
        <is>
          <t>09/06/2026</t>
        </is>
      </c>
      <c r="E1527" s="2" t="inlineStr">
        <is>
          <t>PIX</t>
        </is>
      </c>
      <c r="F1527" s="2" t="inlineStr">
        <is>
          <t>Boleto "62263" do cliente "NADIA VALERIA DA SILVA"</t>
        </is>
      </c>
      <c r="G1527" s="2" t="inlineStr">
        <is>
          <t>system</t>
        </is>
      </c>
      <c r="H1527" s="2" t="inlineStr">
        <is>
          <t>01.01.01 : Mensalidade</t>
        </is>
      </c>
      <c r="I1527" s="3" t="n">
        <v>105</v>
      </c>
      <c r="J1527" s="2" t="n"/>
      <c r="K1527" s="2">
        <f>IF(H1527="02.09 : Outras Saídas", IF(OR(ISNUMBER(SEARCH("CHEQUE COMPE SICREDI", F1527)), ISNUMBER(SEARCH("aniversario", F1527)), ISNUMBER(SEARCH("churrasco", F1527)), ISNUMBER(SEARCH("bolo", F1527)), ISNUMBER(SEARCH("SUPERMERCADO", F1527))), "6.1 Despesas Administrativas (Pessoal)", IF(OR(ISNUMBER(SEARCH("DLKNET", F1527)), ISNUMBER(SEARCH("TESTE", F1527))), "6.1 Despesas Administrativas (Gerais)", IFERROR(VLOOKUP(H1527, De_Para!A:B, 2, FALSE), "NÃO MAPEADO"))), IFERROR(VLOOKUP(H1527, De_Para!A:B, 2, FALSE), "NÃO MAPEADO"))</f>
        <v/>
      </c>
    </row>
    <row r="1528">
      <c r="A1528" s="2" t="inlineStr">
        <is>
          <t>68158</t>
        </is>
      </c>
      <c r="B1528" s="2" t="inlineStr">
        <is>
          <t>Sicoob</t>
        </is>
      </c>
      <c r="C1528" s="2" t="inlineStr">
        <is>
          <t>09/06/2026</t>
        </is>
      </c>
      <c r="D1528" s="2" t="inlineStr">
        <is>
          <t>08/06/2026</t>
        </is>
      </c>
      <c r="E1528" s="2" t="inlineStr">
        <is>
          <t>Dinheiro</t>
        </is>
      </c>
      <c r="F1528" s="2" t="inlineStr">
        <is>
          <t>Boleto "55222" do cliente "ANA CLAUDIA FERREIRA DA SILVA"</t>
        </is>
      </c>
      <c r="G1528" s="2" t="inlineStr">
        <is>
          <t>system</t>
        </is>
      </c>
      <c r="H1528" s="2" t="inlineStr">
        <is>
          <t>02.03.02.01 : Cobrança Bancaria</t>
        </is>
      </c>
      <c r="I1528" s="2" t="n"/>
      <c r="J1528" s="3" t="n">
        <v>-0.3</v>
      </c>
      <c r="K1528" s="2">
        <f>IF(H1528="02.09 : Outras Saídas", IF(OR(ISNUMBER(SEARCH("CHEQUE COMPE SICREDI", F1528)), ISNUMBER(SEARCH("aniversario", F1528)), ISNUMBER(SEARCH("churrasco", F1528)), ISNUMBER(SEARCH("bolo", F1528)), ISNUMBER(SEARCH("SUPERMERCADO", F1528))), "6.1 Despesas Administrativas (Pessoal)", IF(OR(ISNUMBER(SEARCH("DLKNET", F1528)), ISNUMBER(SEARCH("TESTE", F1528))), "6.1 Despesas Administrativas (Gerais)", IFERROR(VLOOKUP(H1528, De_Para!A:B, 2, FALSE), "NÃO MAPEADO"))), IFERROR(VLOOKUP(H1528, De_Para!A:B, 2, FALSE), "NÃO MAPEADO"))</f>
        <v/>
      </c>
    </row>
    <row r="1529">
      <c r="A1529" s="2" t="inlineStr">
        <is>
          <t>68157</t>
        </is>
      </c>
      <c r="B1529" s="2" t="inlineStr">
        <is>
          <t>Sicoob</t>
        </is>
      </c>
      <c r="C1529" s="2" t="inlineStr">
        <is>
          <t>09/06/2026</t>
        </is>
      </c>
      <c r="D1529" s="2" t="inlineStr">
        <is>
          <t>08/06/2026</t>
        </is>
      </c>
      <c r="E1529" s="2" t="inlineStr">
        <is>
          <t>Dinheiro</t>
        </is>
      </c>
      <c r="F1529" s="2" t="inlineStr">
        <is>
          <t>Boleto "55222" do cliente "ANA CLAUDIA FERREIRA DA SILVA"</t>
        </is>
      </c>
      <c r="G1529" s="2" t="inlineStr">
        <is>
          <t>system</t>
        </is>
      </c>
      <c r="H1529" s="2" t="inlineStr">
        <is>
          <t>01.01.01 : Mensalidade</t>
        </is>
      </c>
      <c r="I1529" s="3" t="n">
        <v>105</v>
      </c>
      <c r="J1529" s="2" t="n"/>
      <c r="K1529" s="2">
        <f>IF(H1529="02.09 : Outras Saídas", IF(OR(ISNUMBER(SEARCH("CHEQUE COMPE SICREDI", F1529)), ISNUMBER(SEARCH("aniversario", F1529)), ISNUMBER(SEARCH("churrasco", F1529)), ISNUMBER(SEARCH("bolo", F1529)), ISNUMBER(SEARCH("SUPERMERCADO", F1529))), "6.1 Despesas Administrativas (Pessoal)", IF(OR(ISNUMBER(SEARCH("DLKNET", F1529)), ISNUMBER(SEARCH("TESTE", F1529))), "6.1 Despesas Administrativas (Gerais)", IFERROR(VLOOKUP(H1529, De_Para!A:B, 2, FALSE), "NÃO MAPEADO"))), IFERROR(VLOOKUP(H1529, De_Para!A:B, 2, FALSE), "NÃO MAPEADO"))</f>
        <v/>
      </c>
    </row>
    <row r="1530">
      <c r="A1530" s="2" t="inlineStr">
        <is>
          <t>68156</t>
        </is>
      </c>
      <c r="B1530" s="2" t="inlineStr">
        <is>
          <t>Sicoob</t>
        </is>
      </c>
      <c r="C1530" s="2" t="inlineStr">
        <is>
          <t>09/06/2026</t>
        </is>
      </c>
      <c r="D1530" s="2" t="inlineStr">
        <is>
          <t>08/06/2026</t>
        </is>
      </c>
      <c r="E1530" s="2" t="inlineStr">
        <is>
          <t>Dinheiro</t>
        </is>
      </c>
      <c r="F1530" s="2" t="inlineStr">
        <is>
          <t>Boleto "69004" do cliente "NEUSA GONÇALVES REBELO"</t>
        </is>
      </c>
      <c r="G1530" s="2" t="inlineStr">
        <is>
          <t>system</t>
        </is>
      </c>
      <c r="H1530" s="2" t="inlineStr">
        <is>
          <t>02.03.02.01 : Cobrança Bancaria</t>
        </is>
      </c>
      <c r="I1530" s="2" t="n"/>
      <c r="J1530" s="3" t="n">
        <v>-0.3</v>
      </c>
      <c r="K1530" s="2">
        <f>IF(H1530="02.09 : Outras Saídas", IF(OR(ISNUMBER(SEARCH("CHEQUE COMPE SICREDI", F1530)), ISNUMBER(SEARCH("aniversario", F1530)), ISNUMBER(SEARCH("churrasco", F1530)), ISNUMBER(SEARCH("bolo", F1530)), ISNUMBER(SEARCH("SUPERMERCADO", F1530))), "6.1 Despesas Administrativas (Pessoal)", IF(OR(ISNUMBER(SEARCH("DLKNET", F1530)), ISNUMBER(SEARCH("TESTE", F1530))), "6.1 Despesas Administrativas (Gerais)", IFERROR(VLOOKUP(H1530, De_Para!A:B, 2, FALSE), "NÃO MAPEADO"))), IFERROR(VLOOKUP(H1530, De_Para!A:B, 2, FALSE), "NÃO MAPEADO"))</f>
        <v/>
      </c>
    </row>
    <row r="1531">
      <c r="A1531" s="2" t="inlineStr">
        <is>
          <t>68155</t>
        </is>
      </c>
      <c r="B1531" s="2" t="inlineStr">
        <is>
          <t>Sicoob</t>
        </is>
      </c>
      <c r="C1531" s="2" t="inlineStr">
        <is>
          <t>09/06/2026</t>
        </is>
      </c>
      <c r="D1531" s="2" t="inlineStr">
        <is>
          <t>08/06/2026</t>
        </is>
      </c>
      <c r="E1531" s="2" t="inlineStr">
        <is>
          <t>Dinheiro</t>
        </is>
      </c>
      <c r="F1531" s="2" t="inlineStr">
        <is>
          <t>Boleto "69004" do cliente "NEUSA GONÇALVES REBELO"</t>
        </is>
      </c>
      <c r="G1531" s="2" t="inlineStr">
        <is>
          <t>system</t>
        </is>
      </c>
      <c r="H1531" s="2" t="inlineStr">
        <is>
          <t>01.01.01 : Mensalidade</t>
        </is>
      </c>
      <c r="I1531" s="3" t="n">
        <v>93.33</v>
      </c>
      <c r="J1531" s="2" t="n"/>
      <c r="K1531" s="2">
        <f>IF(H1531="02.09 : Outras Saídas", IF(OR(ISNUMBER(SEARCH("CHEQUE COMPE SICREDI", F1531)), ISNUMBER(SEARCH("aniversario", F1531)), ISNUMBER(SEARCH("churrasco", F1531)), ISNUMBER(SEARCH("bolo", F1531)), ISNUMBER(SEARCH("SUPERMERCADO", F1531))), "6.1 Despesas Administrativas (Pessoal)", IF(OR(ISNUMBER(SEARCH("DLKNET", F1531)), ISNUMBER(SEARCH("TESTE", F1531))), "6.1 Despesas Administrativas (Gerais)", IFERROR(VLOOKUP(H1531, De_Para!A:B, 2, FALSE), "NÃO MAPEADO"))), IFERROR(VLOOKUP(H1531, De_Para!A:B, 2, FALSE), "NÃO MAPEADO"))</f>
        <v/>
      </c>
    </row>
    <row r="1532">
      <c r="A1532" s="2" t="inlineStr">
        <is>
          <t>68154</t>
        </is>
      </c>
      <c r="B1532" s="2" t="inlineStr">
        <is>
          <t>Sicredi SNI</t>
        </is>
      </c>
      <c r="C1532" s="2" t="inlineStr">
        <is>
          <t>09/06/2026</t>
        </is>
      </c>
      <c r="D1532" s="2" t="inlineStr">
        <is>
          <t>09/06/2026</t>
        </is>
      </c>
      <c r="E1532" s="2" t="inlineStr">
        <is>
          <t>PIX</t>
        </is>
      </c>
      <c r="F1532" s="2" t="inlineStr">
        <is>
          <t>Boleto "62872" do cliente "KARINA APARECIDA DOS SANTOS"</t>
        </is>
      </c>
      <c r="G1532" s="2" t="inlineStr">
        <is>
          <t>system</t>
        </is>
      </c>
      <c r="H1532" s="2" t="inlineStr">
        <is>
          <t>02.03.02.01 : Cobrança Bancaria</t>
        </is>
      </c>
      <c r="I1532" s="2" t="n"/>
      <c r="J1532" s="3" t="n">
        <v>-0.49</v>
      </c>
      <c r="K1532" s="2">
        <f>IF(H1532="02.09 : Outras Saídas", IF(OR(ISNUMBER(SEARCH("CHEQUE COMPE SICREDI", F1532)), ISNUMBER(SEARCH("aniversario", F1532)), ISNUMBER(SEARCH("churrasco", F1532)), ISNUMBER(SEARCH("bolo", F1532)), ISNUMBER(SEARCH("SUPERMERCADO", F1532))), "6.1 Despesas Administrativas (Pessoal)", IF(OR(ISNUMBER(SEARCH("DLKNET", F1532)), ISNUMBER(SEARCH("TESTE", F1532))), "6.1 Despesas Administrativas (Gerais)", IFERROR(VLOOKUP(H1532, De_Para!A:B, 2, FALSE), "NÃO MAPEADO"))), IFERROR(VLOOKUP(H1532, De_Para!A:B, 2, FALSE), "NÃO MAPEADO"))</f>
        <v/>
      </c>
    </row>
    <row r="1533">
      <c r="A1533" s="2" t="inlineStr">
        <is>
          <t>68153</t>
        </is>
      </c>
      <c r="B1533" s="2" t="inlineStr">
        <is>
          <t>Sicredi SNI</t>
        </is>
      </c>
      <c r="C1533" s="2" t="inlineStr">
        <is>
          <t>09/06/2026</t>
        </is>
      </c>
      <c r="D1533" s="2" t="inlineStr">
        <is>
          <t>09/06/2026</t>
        </is>
      </c>
      <c r="E1533" s="2" t="inlineStr">
        <is>
          <t>PIX</t>
        </is>
      </c>
      <c r="F1533" s="2" t="inlineStr">
        <is>
          <t>Boleto "62872" do cliente "KARINA APARECIDA DOS SANTOS"</t>
        </is>
      </c>
      <c r="G1533" s="2" t="inlineStr">
        <is>
          <t>system</t>
        </is>
      </c>
      <c r="H1533" s="2" t="inlineStr">
        <is>
          <t>01.01.01 : Mensalidade</t>
        </is>
      </c>
      <c r="I1533" s="3" t="n">
        <v>104.9</v>
      </c>
      <c r="J1533" s="2" t="n"/>
      <c r="K1533" s="2">
        <f>IF(H1533="02.09 : Outras Saídas", IF(OR(ISNUMBER(SEARCH("CHEQUE COMPE SICREDI", F1533)), ISNUMBER(SEARCH("aniversario", F1533)), ISNUMBER(SEARCH("churrasco", F1533)), ISNUMBER(SEARCH("bolo", F1533)), ISNUMBER(SEARCH("SUPERMERCADO", F1533))), "6.1 Despesas Administrativas (Pessoal)", IF(OR(ISNUMBER(SEARCH("DLKNET", F1533)), ISNUMBER(SEARCH("TESTE", F1533))), "6.1 Despesas Administrativas (Gerais)", IFERROR(VLOOKUP(H1533, De_Para!A:B, 2, FALSE), "NÃO MAPEADO"))), IFERROR(VLOOKUP(H1533, De_Para!A:B, 2, FALSE), "NÃO MAPEADO"))</f>
        <v/>
      </c>
    </row>
    <row r="1534">
      <c r="A1534" s="2" t="inlineStr">
        <is>
          <t>68152</t>
        </is>
      </c>
      <c r="B1534" s="2" t="inlineStr">
        <is>
          <t>Sicredi SNI</t>
        </is>
      </c>
      <c r="C1534" s="2" t="inlineStr">
        <is>
          <t>08/06/2026</t>
        </is>
      </c>
      <c r="D1534" s="2" t="inlineStr">
        <is>
          <t>08/06/2026</t>
        </is>
      </c>
      <c r="E1534" s="2" t="inlineStr">
        <is>
          <t>PIX</t>
        </is>
      </c>
      <c r="F1534" s="2" t="inlineStr">
        <is>
          <t>Boleto "60642" do cliente "GENI RIBEIRO BORGES"</t>
        </is>
      </c>
      <c r="G1534" s="2" t="inlineStr">
        <is>
          <t>system</t>
        </is>
      </c>
      <c r="H1534" s="2" t="inlineStr">
        <is>
          <t>02.03.02.01 : Cobrança Bancaria</t>
        </is>
      </c>
      <c r="I1534" s="2" t="n"/>
      <c r="J1534" s="3" t="n">
        <v>-0.49</v>
      </c>
      <c r="K1534" s="2">
        <f>IF(H1534="02.09 : Outras Saídas", IF(OR(ISNUMBER(SEARCH("CHEQUE COMPE SICREDI", F1534)), ISNUMBER(SEARCH("aniversario", F1534)), ISNUMBER(SEARCH("churrasco", F1534)), ISNUMBER(SEARCH("bolo", F1534)), ISNUMBER(SEARCH("SUPERMERCADO", F1534))), "6.1 Despesas Administrativas (Pessoal)", IF(OR(ISNUMBER(SEARCH("DLKNET", F1534)), ISNUMBER(SEARCH("TESTE", F1534))), "6.1 Despesas Administrativas (Gerais)", IFERROR(VLOOKUP(H1534, De_Para!A:B, 2, FALSE), "NÃO MAPEADO"))), IFERROR(VLOOKUP(H1534, De_Para!A:B, 2, FALSE), "NÃO MAPEADO"))</f>
        <v/>
      </c>
    </row>
    <row r="1535">
      <c r="A1535" s="2" t="inlineStr">
        <is>
          <t>68151</t>
        </is>
      </c>
      <c r="B1535" s="2" t="inlineStr">
        <is>
          <t>Sicredi SNI</t>
        </is>
      </c>
      <c r="C1535" s="2" t="inlineStr">
        <is>
          <t>08/06/2026</t>
        </is>
      </c>
      <c r="D1535" s="2" t="inlineStr">
        <is>
          <t>08/06/2026</t>
        </is>
      </c>
      <c r="E1535" s="2" t="inlineStr">
        <is>
          <t>PIX</t>
        </is>
      </c>
      <c r="F1535" s="2" t="inlineStr">
        <is>
          <t>Boleto "60642" do cliente "GENI RIBEIRO BORGES"</t>
        </is>
      </c>
      <c r="G1535" s="2" t="inlineStr">
        <is>
          <t>system</t>
        </is>
      </c>
      <c r="H1535" s="2" t="inlineStr">
        <is>
          <t>01.03.01 : Mensalidade</t>
        </is>
      </c>
      <c r="I1535" s="3" t="n">
        <v>105</v>
      </c>
      <c r="J1535" s="2" t="n"/>
      <c r="K1535" s="2">
        <f>IF(H1535="02.09 : Outras Saídas", IF(OR(ISNUMBER(SEARCH("CHEQUE COMPE SICREDI", F1535)), ISNUMBER(SEARCH("aniversario", F1535)), ISNUMBER(SEARCH("churrasco", F1535)), ISNUMBER(SEARCH("bolo", F1535)), ISNUMBER(SEARCH("SUPERMERCADO", F1535))), "6.1 Despesas Administrativas (Pessoal)", IF(OR(ISNUMBER(SEARCH("DLKNET", F1535)), ISNUMBER(SEARCH("TESTE", F1535))), "6.1 Despesas Administrativas (Gerais)", IFERROR(VLOOKUP(H1535, De_Para!A:B, 2, FALSE), "NÃO MAPEADO"))), IFERROR(VLOOKUP(H1535, De_Para!A:B, 2, FALSE), "NÃO MAPEADO"))</f>
        <v/>
      </c>
    </row>
    <row r="1536">
      <c r="A1536" s="2" t="inlineStr">
        <is>
          <t>68150</t>
        </is>
      </c>
      <c r="B1536" s="2" t="inlineStr">
        <is>
          <t>Sicredi SNI</t>
        </is>
      </c>
      <c r="C1536" s="2" t="inlineStr">
        <is>
          <t>08/06/2026</t>
        </is>
      </c>
      <c r="D1536" s="2" t="inlineStr">
        <is>
          <t>08/06/2026</t>
        </is>
      </c>
      <c r="E1536" s="2" t="inlineStr">
        <is>
          <t>Dinheiro</t>
        </is>
      </c>
      <c r="F1536" s="2" t="inlineStr">
        <is>
          <t>Boleto "56854" do cliente "ANTONIO CARLOS DA SILVA"</t>
        </is>
      </c>
      <c r="G1536" s="2" t="inlineStr">
        <is>
          <t>system</t>
        </is>
      </c>
      <c r="H1536" s="2" t="inlineStr">
        <is>
          <t>02.03.02.01 : Cobrança Bancaria</t>
        </is>
      </c>
      <c r="I1536" s="2" t="n"/>
      <c r="J1536" s="3" t="n">
        <v>-1.08</v>
      </c>
      <c r="K1536" s="2">
        <f>IF(H1536="02.09 : Outras Saídas", IF(OR(ISNUMBER(SEARCH("CHEQUE COMPE SICREDI", F1536)), ISNUMBER(SEARCH("aniversario", F1536)), ISNUMBER(SEARCH("churrasco", F1536)), ISNUMBER(SEARCH("bolo", F1536)), ISNUMBER(SEARCH("SUPERMERCADO", F1536))), "6.1 Despesas Administrativas (Pessoal)", IF(OR(ISNUMBER(SEARCH("DLKNET", F1536)), ISNUMBER(SEARCH("TESTE", F1536))), "6.1 Despesas Administrativas (Gerais)", IFERROR(VLOOKUP(H1536, De_Para!A:B, 2, FALSE), "NÃO MAPEADO"))), IFERROR(VLOOKUP(H1536, De_Para!A:B, 2, FALSE), "NÃO MAPEADO"))</f>
        <v/>
      </c>
    </row>
    <row r="1537">
      <c r="A1537" s="2" t="inlineStr">
        <is>
          <t>68149</t>
        </is>
      </c>
      <c r="B1537" s="2" t="inlineStr">
        <is>
          <t>Sicredi SNI</t>
        </is>
      </c>
      <c r="C1537" s="2" t="inlineStr">
        <is>
          <t>08/06/2026</t>
        </is>
      </c>
      <c r="D1537" s="2" t="inlineStr">
        <is>
          <t>08/06/2026</t>
        </is>
      </c>
      <c r="E1537" s="2" t="inlineStr">
        <is>
          <t>Dinheiro</t>
        </is>
      </c>
      <c r="F1537" s="2" t="inlineStr">
        <is>
          <t>Boleto "56854" do cliente "ANTONIO CARLOS DA SILVA"</t>
        </is>
      </c>
      <c r="G1537" s="2" t="inlineStr">
        <is>
          <t>system</t>
        </is>
      </c>
      <c r="H1537" s="2" t="inlineStr">
        <is>
          <t>01.01.01 : Mensalidade</t>
        </is>
      </c>
      <c r="I1537" s="3" t="n">
        <v>100</v>
      </c>
      <c r="J1537" s="2" t="n"/>
      <c r="K1537" s="2">
        <f>IF(H1537="02.09 : Outras Saídas", IF(OR(ISNUMBER(SEARCH("CHEQUE COMPE SICREDI", F1537)), ISNUMBER(SEARCH("aniversario", F1537)), ISNUMBER(SEARCH("churrasco", F1537)), ISNUMBER(SEARCH("bolo", F1537)), ISNUMBER(SEARCH("SUPERMERCADO", F1537))), "6.1 Despesas Administrativas (Pessoal)", IF(OR(ISNUMBER(SEARCH("DLKNET", F1537)), ISNUMBER(SEARCH("TESTE", F1537))), "6.1 Despesas Administrativas (Gerais)", IFERROR(VLOOKUP(H1537, De_Para!A:B, 2, FALSE), "NÃO MAPEADO"))), IFERROR(VLOOKUP(H1537, De_Para!A:B, 2, FALSE), "NÃO MAPEADO"))</f>
        <v/>
      </c>
    </row>
    <row r="1538">
      <c r="A1538" s="2" t="inlineStr">
        <is>
          <t>68148</t>
        </is>
      </c>
      <c r="B1538" s="2" t="inlineStr">
        <is>
          <t>Sicredi SNI</t>
        </is>
      </c>
      <c r="C1538" s="2" t="inlineStr">
        <is>
          <t>08/06/2026</t>
        </is>
      </c>
      <c r="D1538" s="2" t="inlineStr">
        <is>
          <t>08/06/2026</t>
        </is>
      </c>
      <c r="E1538" s="2" t="inlineStr">
        <is>
          <t>Dinheiro</t>
        </is>
      </c>
      <c r="F1538" s="2" t="inlineStr">
        <is>
          <t>Boleto "55858" do cliente "MAYARA DOS SANTOS MIRANDA GONSALVES"</t>
        </is>
      </c>
      <c r="G1538" s="2" t="inlineStr">
        <is>
          <t>system</t>
        </is>
      </c>
      <c r="H1538" s="2" t="inlineStr">
        <is>
          <t>02.03.02.01 : Cobrança Bancaria</t>
        </is>
      </c>
      <c r="I1538" s="2" t="n"/>
      <c r="J1538" s="3" t="n">
        <v>-1.08</v>
      </c>
      <c r="K1538" s="2">
        <f>IF(H1538="02.09 : Outras Saídas", IF(OR(ISNUMBER(SEARCH("CHEQUE COMPE SICREDI", F1538)), ISNUMBER(SEARCH("aniversario", F1538)), ISNUMBER(SEARCH("churrasco", F1538)), ISNUMBER(SEARCH("bolo", F1538)), ISNUMBER(SEARCH("SUPERMERCADO", F1538))), "6.1 Despesas Administrativas (Pessoal)", IF(OR(ISNUMBER(SEARCH("DLKNET", F1538)), ISNUMBER(SEARCH("TESTE", F1538))), "6.1 Despesas Administrativas (Gerais)", IFERROR(VLOOKUP(H1538, De_Para!A:B, 2, FALSE), "NÃO MAPEADO"))), IFERROR(VLOOKUP(H1538, De_Para!A:B, 2, FALSE), "NÃO MAPEADO"))</f>
        <v/>
      </c>
    </row>
    <row r="1539">
      <c r="A1539" s="2" t="inlineStr">
        <is>
          <t>68147</t>
        </is>
      </c>
      <c r="B1539" s="2" t="inlineStr">
        <is>
          <t>Sicredi SNI</t>
        </is>
      </c>
      <c r="C1539" s="2" t="inlineStr">
        <is>
          <t>08/06/2026</t>
        </is>
      </c>
      <c r="D1539" s="2" t="inlineStr">
        <is>
          <t>08/06/2026</t>
        </is>
      </c>
      <c r="E1539" s="2" t="inlineStr">
        <is>
          <t>Dinheiro</t>
        </is>
      </c>
      <c r="F1539" s="2" t="inlineStr">
        <is>
          <t>Boleto "55858" do cliente "MAYARA DOS SANTOS MIRANDA GONSALVES"</t>
        </is>
      </c>
      <c r="G1539" s="2" t="inlineStr">
        <is>
          <t>system</t>
        </is>
      </c>
      <c r="H1539" s="2" t="inlineStr">
        <is>
          <t>01.01.01 : Mensalidade</t>
        </is>
      </c>
      <c r="I1539" s="3" t="n">
        <v>100</v>
      </c>
      <c r="J1539" s="2" t="n"/>
      <c r="K1539" s="2">
        <f>IF(H1539="02.09 : Outras Saídas", IF(OR(ISNUMBER(SEARCH("CHEQUE COMPE SICREDI", F1539)), ISNUMBER(SEARCH("aniversario", F1539)), ISNUMBER(SEARCH("churrasco", F1539)), ISNUMBER(SEARCH("bolo", F1539)), ISNUMBER(SEARCH("SUPERMERCADO", F1539))), "6.1 Despesas Administrativas (Pessoal)", IF(OR(ISNUMBER(SEARCH("DLKNET", F1539)), ISNUMBER(SEARCH("TESTE", F1539))), "6.1 Despesas Administrativas (Gerais)", IFERROR(VLOOKUP(H1539, De_Para!A:B, 2, FALSE), "NÃO MAPEADO"))), IFERROR(VLOOKUP(H1539, De_Para!A:B, 2, FALSE), "NÃO MAPEADO"))</f>
        <v/>
      </c>
    </row>
    <row r="1540">
      <c r="A1540" s="2" t="inlineStr">
        <is>
          <t>68146</t>
        </is>
      </c>
      <c r="B1540" s="2" t="inlineStr">
        <is>
          <t>Sicoob</t>
        </is>
      </c>
      <c r="C1540" s="2" t="inlineStr">
        <is>
          <t>08/06/2026</t>
        </is>
      </c>
      <c r="D1540" s="2" t="inlineStr">
        <is>
          <t>08/06/2026</t>
        </is>
      </c>
      <c r="E1540" s="2" t="inlineStr">
        <is>
          <t>Dinheiro</t>
        </is>
      </c>
      <c r="F1540" s="2" t="inlineStr">
        <is>
          <t>Boleto "66757" do cliente "KASSIA ZANARDINI MARTINS DA SILVA ROSSA"</t>
        </is>
      </c>
      <c r="G1540" s="2" t="inlineStr">
        <is>
          <t>system</t>
        </is>
      </c>
      <c r="H1540" s="2" t="inlineStr">
        <is>
          <t>02.03.02.01 : Cobrança Bancaria</t>
        </is>
      </c>
      <c r="I1540" s="2" t="n"/>
      <c r="J1540" s="3" t="n">
        <v>-0.88</v>
      </c>
      <c r="K1540" s="2">
        <f>IF(H1540="02.09 : Outras Saídas", IF(OR(ISNUMBER(SEARCH("CHEQUE COMPE SICREDI", F1540)), ISNUMBER(SEARCH("aniversario", F1540)), ISNUMBER(SEARCH("churrasco", F1540)), ISNUMBER(SEARCH("bolo", F1540)), ISNUMBER(SEARCH("SUPERMERCADO", F1540))), "6.1 Despesas Administrativas (Pessoal)", IF(OR(ISNUMBER(SEARCH("DLKNET", F1540)), ISNUMBER(SEARCH("TESTE", F1540))), "6.1 Despesas Administrativas (Gerais)", IFERROR(VLOOKUP(H1540, De_Para!A:B, 2, FALSE), "NÃO MAPEADO"))), IFERROR(VLOOKUP(H1540, De_Para!A:B, 2, FALSE), "NÃO MAPEADO"))</f>
        <v/>
      </c>
    </row>
    <row r="1541">
      <c r="A1541" s="2" t="inlineStr">
        <is>
          <t>68145</t>
        </is>
      </c>
      <c r="B1541" s="2" t="inlineStr">
        <is>
          <t>Sicoob</t>
        </is>
      </c>
      <c r="C1541" s="2" t="inlineStr">
        <is>
          <t>08/06/2026</t>
        </is>
      </c>
      <c r="D1541" s="2" t="inlineStr">
        <is>
          <t>08/06/2026</t>
        </is>
      </c>
      <c r="E1541" s="2" t="inlineStr">
        <is>
          <t>Dinheiro</t>
        </is>
      </c>
      <c r="F1541" s="2" t="inlineStr">
        <is>
          <t>Boleto "66757" do cliente "KASSIA ZANARDINI MARTINS DA SILVA ROSSA"</t>
        </is>
      </c>
      <c r="G1541" s="2" t="inlineStr">
        <is>
          <t>system</t>
        </is>
      </c>
      <c r="H1541" s="2" t="inlineStr">
        <is>
          <t>01.01.01 : Mensalidade</t>
        </is>
      </c>
      <c r="I1541" s="3" t="n">
        <v>109.9</v>
      </c>
      <c r="J1541" s="2" t="n"/>
      <c r="K1541" s="2">
        <f>IF(H1541="02.09 : Outras Saídas", IF(OR(ISNUMBER(SEARCH("CHEQUE COMPE SICREDI", F1541)), ISNUMBER(SEARCH("aniversario", F1541)), ISNUMBER(SEARCH("churrasco", F1541)), ISNUMBER(SEARCH("bolo", F1541)), ISNUMBER(SEARCH("SUPERMERCADO", F1541))), "6.1 Despesas Administrativas (Pessoal)", IF(OR(ISNUMBER(SEARCH("DLKNET", F1541)), ISNUMBER(SEARCH("TESTE", F1541))), "6.1 Despesas Administrativas (Gerais)", IFERROR(VLOOKUP(H1541, De_Para!A:B, 2, FALSE), "NÃO MAPEADO"))), IFERROR(VLOOKUP(H1541, De_Para!A:B, 2, FALSE), "NÃO MAPEADO"))</f>
        <v/>
      </c>
    </row>
    <row r="1542">
      <c r="A1542" s="2" t="inlineStr">
        <is>
          <t>68144</t>
        </is>
      </c>
      <c r="B1542" s="2" t="inlineStr">
        <is>
          <t>Sicoob</t>
        </is>
      </c>
      <c r="C1542" s="2" t="inlineStr">
        <is>
          <t>08/06/2026</t>
        </is>
      </c>
      <c r="D1542" s="2" t="inlineStr">
        <is>
          <t>08/06/2026</t>
        </is>
      </c>
      <c r="E1542" s="2" t="inlineStr">
        <is>
          <t>Dinheiro</t>
        </is>
      </c>
      <c r="F1542" s="2" t="inlineStr">
        <is>
          <t>Boleto "66583" do cliente "GILSON JOSE DA SILVA"</t>
        </is>
      </c>
      <c r="G1542" s="2" t="inlineStr">
        <is>
          <t>system</t>
        </is>
      </c>
      <c r="H1542" s="2" t="inlineStr">
        <is>
          <t>02.03.02.01 : Cobrança Bancaria</t>
        </is>
      </c>
      <c r="I1542" s="2" t="n"/>
      <c r="J1542" s="3" t="n">
        <v>-0.88</v>
      </c>
      <c r="K1542" s="2">
        <f>IF(H1542="02.09 : Outras Saídas", IF(OR(ISNUMBER(SEARCH("CHEQUE COMPE SICREDI", F1542)), ISNUMBER(SEARCH("aniversario", F1542)), ISNUMBER(SEARCH("churrasco", F1542)), ISNUMBER(SEARCH("bolo", F1542)), ISNUMBER(SEARCH("SUPERMERCADO", F1542))), "6.1 Despesas Administrativas (Pessoal)", IF(OR(ISNUMBER(SEARCH("DLKNET", F1542)), ISNUMBER(SEARCH("TESTE", F1542))), "6.1 Despesas Administrativas (Gerais)", IFERROR(VLOOKUP(H1542, De_Para!A:B, 2, FALSE), "NÃO MAPEADO"))), IFERROR(VLOOKUP(H1542, De_Para!A:B, 2, FALSE), "NÃO MAPEADO"))</f>
        <v/>
      </c>
    </row>
    <row r="1543">
      <c r="A1543" s="2" t="inlineStr">
        <is>
          <t>68143</t>
        </is>
      </c>
      <c r="B1543" s="2" t="inlineStr">
        <is>
          <t>Sicoob</t>
        </is>
      </c>
      <c r="C1543" s="2" t="inlineStr">
        <is>
          <t>08/06/2026</t>
        </is>
      </c>
      <c r="D1543" s="2" t="inlineStr">
        <is>
          <t>08/06/2026</t>
        </is>
      </c>
      <c r="E1543" s="2" t="inlineStr">
        <is>
          <t>Dinheiro</t>
        </is>
      </c>
      <c r="F1543" s="2" t="inlineStr">
        <is>
          <t>Boleto "66583" do cliente "GILSON JOSE DA SILVA"</t>
        </is>
      </c>
      <c r="G1543" s="2" t="inlineStr">
        <is>
          <t>system</t>
        </is>
      </c>
      <c r="H1543" s="2" t="inlineStr">
        <is>
          <t>01.01.01 : Mensalidade</t>
        </is>
      </c>
      <c r="I1543" s="3" t="n">
        <v>109.9</v>
      </c>
      <c r="J1543" s="2" t="n"/>
      <c r="K1543" s="2">
        <f>IF(H1543="02.09 : Outras Saídas", IF(OR(ISNUMBER(SEARCH("CHEQUE COMPE SICREDI", F1543)), ISNUMBER(SEARCH("aniversario", F1543)), ISNUMBER(SEARCH("churrasco", F1543)), ISNUMBER(SEARCH("bolo", F1543)), ISNUMBER(SEARCH("SUPERMERCADO", F1543))), "6.1 Despesas Administrativas (Pessoal)", IF(OR(ISNUMBER(SEARCH("DLKNET", F1543)), ISNUMBER(SEARCH("TESTE", F1543))), "6.1 Despesas Administrativas (Gerais)", IFERROR(VLOOKUP(H1543, De_Para!A:B, 2, FALSE), "NÃO MAPEADO"))), IFERROR(VLOOKUP(H1543, De_Para!A:B, 2, FALSE), "NÃO MAPEADO"))</f>
        <v/>
      </c>
    </row>
    <row r="1544">
      <c r="A1544" s="2" t="inlineStr">
        <is>
          <t>68142</t>
        </is>
      </c>
      <c r="B1544" s="2" t="inlineStr">
        <is>
          <t>Sicoob</t>
        </is>
      </c>
      <c r="C1544" s="2" t="inlineStr">
        <is>
          <t>08/06/2026</t>
        </is>
      </c>
      <c r="D1544" s="2" t="inlineStr">
        <is>
          <t>08/06/2026</t>
        </is>
      </c>
      <c r="E1544" s="2" t="inlineStr">
        <is>
          <t>Dinheiro</t>
        </is>
      </c>
      <c r="F1544" s="2" t="inlineStr">
        <is>
          <t>Boleto "65920" do cliente "ANDERSON DE ALMEIDA"</t>
        </is>
      </c>
      <c r="G1544" s="2" t="inlineStr">
        <is>
          <t>system</t>
        </is>
      </c>
      <c r="H1544" s="2" t="inlineStr">
        <is>
          <t>02.03.02.01 : Cobrança Bancaria</t>
        </is>
      </c>
      <c r="I1544" s="2" t="n"/>
      <c r="J1544" s="3" t="n">
        <v>-0.88</v>
      </c>
      <c r="K1544" s="2">
        <f>IF(H1544="02.09 : Outras Saídas", IF(OR(ISNUMBER(SEARCH("CHEQUE COMPE SICREDI", F1544)), ISNUMBER(SEARCH("aniversario", F1544)), ISNUMBER(SEARCH("churrasco", F1544)), ISNUMBER(SEARCH("bolo", F1544)), ISNUMBER(SEARCH("SUPERMERCADO", F1544))), "6.1 Despesas Administrativas (Pessoal)", IF(OR(ISNUMBER(SEARCH("DLKNET", F1544)), ISNUMBER(SEARCH("TESTE", F1544))), "6.1 Despesas Administrativas (Gerais)", IFERROR(VLOOKUP(H1544, De_Para!A:B, 2, FALSE), "NÃO MAPEADO"))), IFERROR(VLOOKUP(H1544, De_Para!A:B, 2, FALSE), "NÃO MAPEADO"))</f>
        <v/>
      </c>
    </row>
    <row r="1545">
      <c r="A1545" s="2" t="inlineStr">
        <is>
          <t>68141</t>
        </is>
      </c>
      <c r="B1545" s="2" t="inlineStr">
        <is>
          <t>Sicoob</t>
        </is>
      </c>
      <c r="C1545" s="2" t="inlineStr">
        <is>
          <t>08/06/2026</t>
        </is>
      </c>
      <c r="D1545" s="2" t="inlineStr">
        <is>
          <t>08/06/2026</t>
        </is>
      </c>
      <c r="E1545" s="2" t="inlineStr">
        <is>
          <t>Dinheiro</t>
        </is>
      </c>
      <c r="F1545" s="2" t="inlineStr">
        <is>
          <t>Boleto "65920" do cliente "ANDERSON DE ALMEIDA"</t>
        </is>
      </c>
      <c r="G1545" s="2" t="inlineStr">
        <is>
          <t>system</t>
        </is>
      </c>
      <c r="H1545" s="2" t="inlineStr">
        <is>
          <t>01.01.01 : Mensalidade</t>
        </is>
      </c>
      <c r="I1545" s="3" t="n">
        <v>107.47</v>
      </c>
      <c r="J1545" s="2" t="n"/>
      <c r="K1545" s="2">
        <f>IF(H1545="02.09 : Outras Saídas", IF(OR(ISNUMBER(SEARCH("CHEQUE COMPE SICREDI", F1545)), ISNUMBER(SEARCH("aniversario", F1545)), ISNUMBER(SEARCH("churrasco", F1545)), ISNUMBER(SEARCH("bolo", F1545)), ISNUMBER(SEARCH("SUPERMERCADO", F1545))), "6.1 Despesas Administrativas (Pessoal)", IF(OR(ISNUMBER(SEARCH("DLKNET", F1545)), ISNUMBER(SEARCH("TESTE", F1545))), "6.1 Despesas Administrativas (Gerais)", IFERROR(VLOOKUP(H1545, De_Para!A:B, 2, FALSE), "NÃO MAPEADO"))), IFERROR(VLOOKUP(H1545, De_Para!A:B, 2, FALSE), "NÃO MAPEADO"))</f>
        <v/>
      </c>
    </row>
    <row r="1546">
      <c r="A1546" s="2" t="inlineStr">
        <is>
          <t>68140</t>
        </is>
      </c>
      <c r="B1546" s="2" t="inlineStr">
        <is>
          <t>Sicoob</t>
        </is>
      </c>
      <c r="C1546" s="2" t="inlineStr">
        <is>
          <t>08/06/2026</t>
        </is>
      </c>
      <c r="D1546" s="2" t="inlineStr">
        <is>
          <t>08/06/2026</t>
        </is>
      </c>
      <c r="E1546" s="2" t="inlineStr">
        <is>
          <t>Dinheiro</t>
        </is>
      </c>
      <c r="F1546" s="2" t="inlineStr">
        <is>
          <t>Boleto "65655" do cliente "RIAN CESAR FILGUEIRAS"</t>
        </is>
      </c>
      <c r="G1546" s="2" t="inlineStr">
        <is>
          <t>system</t>
        </is>
      </c>
      <c r="H1546" s="2" t="inlineStr">
        <is>
          <t>02.03.02.01 : Cobrança Bancaria</t>
        </is>
      </c>
      <c r="I1546" s="2" t="n"/>
      <c r="J1546" s="3" t="n">
        <v>-0.88</v>
      </c>
      <c r="K1546" s="2">
        <f>IF(H1546="02.09 : Outras Saídas", IF(OR(ISNUMBER(SEARCH("CHEQUE COMPE SICREDI", F1546)), ISNUMBER(SEARCH("aniversario", F1546)), ISNUMBER(SEARCH("churrasco", F1546)), ISNUMBER(SEARCH("bolo", F1546)), ISNUMBER(SEARCH("SUPERMERCADO", F1546))), "6.1 Despesas Administrativas (Pessoal)", IF(OR(ISNUMBER(SEARCH("DLKNET", F1546)), ISNUMBER(SEARCH("TESTE", F1546))), "6.1 Despesas Administrativas (Gerais)", IFERROR(VLOOKUP(H1546, De_Para!A:B, 2, FALSE), "NÃO MAPEADO"))), IFERROR(VLOOKUP(H1546, De_Para!A:B, 2, FALSE), "NÃO MAPEADO"))</f>
        <v/>
      </c>
    </row>
    <row r="1547">
      <c r="A1547" s="2" t="inlineStr">
        <is>
          <t>68139</t>
        </is>
      </c>
      <c r="B1547" s="2" t="inlineStr">
        <is>
          <t>Sicoob</t>
        </is>
      </c>
      <c r="C1547" s="2" t="inlineStr">
        <is>
          <t>08/06/2026</t>
        </is>
      </c>
      <c r="D1547" s="2" t="inlineStr">
        <is>
          <t>08/06/2026</t>
        </is>
      </c>
      <c r="E1547" s="2" t="inlineStr">
        <is>
          <t>Dinheiro</t>
        </is>
      </c>
      <c r="F1547" s="2" t="inlineStr">
        <is>
          <t>Boleto "65655" do cliente "RIAN CESAR FILGUEIRAS"</t>
        </is>
      </c>
      <c r="G1547" s="2" t="inlineStr">
        <is>
          <t>system</t>
        </is>
      </c>
      <c r="H1547" s="2" t="inlineStr">
        <is>
          <t>01.01.01 : Mensalidade</t>
        </is>
      </c>
      <c r="I1547" s="3" t="n">
        <v>100</v>
      </c>
      <c r="J1547" s="2" t="n"/>
      <c r="K1547" s="2">
        <f>IF(H1547="02.09 : Outras Saídas", IF(OR(ISNUMBER(SEARCH("CHEQUE COMPE SICREDI", F1547)), ISNUMBER(SEARCH("aniversario", F1547)), ISNUMBER(SEARCH("churrasco", F1547)), ISNUMBER(SEARCH("bolo", F1547)), ISNUMBER(SEARCH("SUPERMERCADO", F1547))), "6.1 Despesas Administrativas (Pessoal)", IF(OR(ISNUMBER(SEARCH("DLKNET", F1547)), ISNUMBER(SEARCH("TESTE", F1547))), "6.1 Despesas Administrativas (Gerais)", IFERROR(VLOOKUP(H1547, De_Para!A:B, 2, FALSE), "NÃO MAPEADO"))), IFERROR(VLOOKUP(H1547, De_Para!A:B, 2, FALSE), "NÃO MAPEADO"))</f>
        <v/>
      </c>
    </row>
    <row r="1548">
      <c r="A1548" s="2" t="inlineStr">
        <is>
          <t>68138</t>
        </is>
      </c>
      <c r="B1548" s="2" t="inlineStr">
        <is>
          <t>Sicoob</t>
        </is>
      </c>
      <c r="C1548" s="2" t="inlineStr">
        <is>
          <t>08/06/2026</t>
        </is>
      </c>
      <c r="D1548" s="2" t="inlineStr">
        <is>
          <t>08/06/2026</t>
        </is>
      </c>
      <c r="E1548" s="2" t="inlineStr">
        <is>
          <t>Dinheiro</t>
        </is>
      </c>
      <c r="F1548" s="2" t="inlineStr">
        <is>
          <t>Boleto "62307" do cliente "PAULO SERGIO RODRIGUES"</t>
        </is>
      </c>
      <c r="G1548" s="2" t="inlineStr">
        <is>
          <t>system</t>
        </is>
      </c>
      <c r="H1548" s="2" t="inlineStr">
        <is>
          <t>02.03.02.01 : Cobrança Bancaria</t>
        </is>
      </c>
      <c r="I1548" s="2" t="n"/>
      <c r="J1548" s="3" t="n">
        <v>-0.88</v>
      </c>
      <c r="K1548" s="2">
        <f>IF(H1548="02.09 : Outras Saídas", IF(OR(ISNUMBER(SEARCH("CHEQUE COMPE SICREDI", F1548)), ISNUMBER(SEARCH("aniversario", F1548)), ISNUMBER(SEARCH("churrasco", F1548)), ISNUMBER(SEARCH("bolo", F1548)), ISNUMBER(SEARCH("SUPERMERCADO", F1548))), "6.1 Despesas Administrativas (Pessoal)", IF(OR(ISNUMBER(SEARCH("DLKNET", F1548)), ISNUMBER(SEARCH("TESTE", F1548))), "6.1 Despesas Administrativas (Gerais)", IFERROR(VLOOKUP(H1548, De_Para!A:B, 2, FALSE), "NÃO MAPEADO"))), IFERROR(VLOOKUP(H1548, De_Para!A:B, 2, FALSE), "NÃO MAPEADO"))</f>
        <v/>
      </c>
    </row>
    <row r="1549">
      <c r="A1549" s="2" t="inlineStr">
        <is>
          <t>68137</t>
        </is>
      </c>
      <c r="B1549" s="2" t="inlineStr">
        <is>
          <t>Sicoob</t>
        </is>
      </c>
      <c r="C1549" s="2" t="inlineStr">
        <is>
          <t>08/06/2026</t>
        </is>
      </c>
      <c r="D1549" s="2" t="inlineStr">
        <is>
          <t>08/06/2026</t>
        </is>
      </c>
      <c r="E1549" s="2" t="inlineStr">
        <is>
          <t>Dinheiro</t>
        </is>
      </c>
      <c r="F1549" s="2" t="inlineStr">
        <is>
          <t>Boleto "62307" do cliente "PAULO SERGIO RODRIGUES"</t>
        </is>
      </c>
      <c r="G1549" s="2" t="inlineStr">
        <is>
          <t>system</t>
        </is>
      </c>
      <c r="H1549" s="2" t="inlineStr">
        <is>
          <t>01.01.01 : Mensalidade</t>
        </is>
      </c>
      <c r="I1549" s="3" t="n">
        <v>110</v>
      </c>
      <c r="J1549" s="2" t="n"/>
      <c r="K1549" s="2">
        <f>IF(H1549="02.09 : Outras Saídas", IF(OR(ISNUMBER(SEARCH("CHEQUE COMPE SICREDI", F1549)), ISNUMBER(SEARCH("aniversario", F1549)), ISNUMBER(SEARCH("churrasco", F1549)), ISNUMBER(SEARCH("bolo", F1549)), ISNUMBER(SEARCH("SUPERMERCADO", F1549))), "6.1 Despesas Administrativas (Pessoal)", IF(OR(ISNUMBER(SEARCH("DLKNET", F1549)), ISNUMBER(SEARCH("TESTE", F1549))), "6.1 Despesas Administrativas (Gerais)", IFERROR(VLOOKUP(H1549, De_Para!A:B, 2, FALSE), "NÃO MAPEADO"))), IFERROR(VLOOKUP(H1549, De_Para!A:B, 2, FALSE), "NÃO MAPEADO"))</f>
        <v/>
      </c>
    </row>
    <row r="1550">
      <c r="A1550" s="2" t="inlineStr">
        <is>
          <t>68136</t>
        </is>
      </c>
      <c r="B1550" s="2" t="inlineStr">
        <is>
          <t>Sicoob</t>
        </is>
      </c>
      <c r="C1550" s="2" t="inlineStr">
        <is>
          <t>08/06/2026</t>
        </is>
      </c>
      <c r="D1550" s="2" t="inlineStr">
        <is>
          <t>08/06/2026</t>
        </is>
      </c>
      <c r="E1550" s="2" t="inlineStr">
        <is>
          <t>Dinheiro</t>
        </is>
      </c>
      <c r="F1550" s="2" t="inlineStr">
        <is>
          <t>Boleto "61990" do cliente "CACILDA APARECIDA DA SILVA"</t>
        </is>
      </c>
      <c r="G1550" s="2" t="inlineStr">
        <is>
          <t>system</t>
        </is>
      </c>
      <c r="H1550" s="2" t="inlineStr">
        <is>
          <t>02.03.02.01 : Cobrança Bancaria</t>
        </is>
      </c>
      <c r="I1550" s="2" t="n"/>
      <c r="J1550" s="3" t="n">
        <v>-0.88</v>
      </c>
      <c r="K1550" s="2">
        <f>IF(H1550="02.09 : Outras Saídas", IF(OR(ISNUMBER(SEARCH("CHEQUE COMPE SICREDI", F1550)), ISNUMBER(SEARCH("aniversario", F1550)), ISNUMBER(SEARCH("churrasco", F1550)), ISNUMBER(SEARCH("bolo", F1550)), ISNUMBER(SEARCH("SUPERMERCADO", F1550))), "6.1 Despesas Administrativas (Pessoal)", IF(OR(ISNUMBER(SEARCH("DLKNET", F1550)), ISNUMBER(SEARCH("TESTE", F1550))), "6.1 Despesas Administrativas (Gerais)", IFERROR(VLOOKUP(H1550, De_Para!A:B, 2, FALSE), "NÃO MAPEADO"))), IFERROR(VLOOKUP(H1550, De_Para!A:B, 2, FALSE), "NÃO MAPEADO"))</f>
        <v/>
      </c>
    </row>
    <row r="1551">
      <c r="A1551" s="2" t="inlineStr">
        <is>
          <t>68135</t>
        </is>
      </c>
      <c r="B1551" s="2" t="inlineStr">
        <is>
          <t>Sicoob</t>
        </is>
      </c>
      <c r="C1551" s="2" t="inlineStr">
        <is>
          <t>08/06/2026</t>
        </is>
      </c>
      <c r="D1551" s="2" t="inlineStr">
        <is>
          <t>08/06/2026</t>
        </is>
      </c>
      <c r="E1551" s="2" t="inlineStr">
        <is>
          <t>Dinheiro</t>
        </is>
      </c>
      <c r="F1551" s="2" t="inlineStr">
        <is>
          <t>Boleto "61990" do cliente "CACILDA APARECIDA DA SILVA"</t>
        </is>
      </c>
      <c r="G1551" s="2" t="inlineStr">
        <is>
          <t>system</t>
        </is>
      </c>
      <c r="H1551" s="2" t="inlineStr">
        <is>
          <t>01.03.01 : Mensalidade</t>
        </is>
      </c>
      <c r="I1551" s="3" t="n">
        <v>105</v>
      </c>
      <c r="J1551" s="2" t="n"/>
      <c r="K1551" s="2">
        <f>IF(H1551="02.09 : Outras Saídas", IF(OR(ISNUMBER(SEARCH("CHEQUE COMPE SICREDI", F1551)), ISNUMBER(SEARCH("aniversario", F1551)), ISNUMBER(SEARCH("churrasco", F1551)), ISNUMBER(SEARCH("bolo", F1551)), ISNUMBER(SEARCH("SUPERMERCADO", F1551))), "6.1 Despesas Administrativas (Pessoal)", IF(OR(ISNUMBER(SEARCH("DLKNET", F1551)), ISNUMBER(SEARCH("TESTE", F1551))), "6.1 Despesas Administrativas (Gerais)", IFERROR(VLOOKUP(H1551, De_Para!A:B, 2, FALSE), "NÃO MAPEADO"))), IFERROR(VLOOKUP(H1551, De_Para!A:B, 2, FALSE), "NÃO MAPEADO"))</f>
        <v/>
      </c>
    </row>
    <row r="1552">
      <c r="A1552" s="2" t="inlineStr">
        <is>
          <t>68134</t>
        </is>
      </c>
      <c r="B1552" s="2" t="inlineStr">
        <is>
          <t>Sicoob</t>
        </is>
      </c>
      <c r="C1552" s="2" t="inlineStr">
        <is>
          <t>08/06/2026</t>
        </is>
      </c>
      <c r="D1552" s="2" t="inlineStr">
        <is>
          <t>08/06/2026</t>
        </is>
      </c>
      <c r="E1552" s="2" t="inlineStr">
        <is>
          <t>Dinheiro</t>
        </is>
      </c>
      <c r="F1552" s="2" t="inlineStr">
        <is>
          <t>Boleto "61669" do cliente "VALDECIR APARECIDO DA SILVA"</t>
        </is>
      </c>
      <c r="G1552" s="2" t="inlineStr">
        <is>
          <t>system</t>
        </is>
      </c>
      <c r="H1552" s="2" t="inlineStr">
        <is>
          <t>02.03.02.01 : Cobrança Bancaria</t>
        </is>
      </c>
      <c r="I1552" s="2" t="n"/>
      <c r="J1552" s="3" t="n">
        <v>-0.88</v>
      </c>
      <c r="K1552" s="2">
        <f>IF(H1552="02.09 : Outras Saídas", IF(OR(ISNUMBER(SEARCH("CHEQUE COMPE SICREDI", F1552)), ISNUMBER(SEARCH("aniversario", F1552)), ISNUMBER(SEARCH("churrasco", F1552)), ISNUMBER(SEARCH("bolo", F1552)), ISNUMBER(SEARCH("SUPERMERCADO", F1552))), "6.1 Despesas Administrativas (Pessoal)", IF(OR(ISNUMBER(SEARCH("DLKNET", F1552)), ISNUMBER(SEARCH("TESTE", F1552))), "6.1 Despesas Administrativas (Gerais)", IFERROR(VLOOKUP(H1552, De_Para!A:B, 2, FALSE), "NÃO MAPEADO"))), IFERROR(VLOOKUP(H1552, De_Para!A:B, 2, FALSE), "NÃO MAPEADO"))</f>
        <v/>
      </c>
    </row>
    <row r="1553">
      <c r="A1553" s="2" t="inlineStr">
        <is>
          <t>68133</t>
        </is>
      </c>
      <c r="B1553" s="2" t="inlineStr">
        <is>
          <t>Sicoob</t>
        </is>
      </c>
      <c r="C1553" s="2" t="inlineStr">
        <is>
          <t>08/06/2026</t>
        </is>
      </c>
      <c r="D1553" s="2" t="inlineStr">
        <is>
          <t>08/06/2026</t>
        </is>
      </c>
      <c r="E1553" s="2" t="inlineStr">
        <is>
          <t>Dinheiro</t>
        </is>
      </c>
      <c r="F1553" s="2" t="inlineStr">
        <is>
          <t>Boleto "61669" do cliente "VALDECIR APARECIDO DA SILVA"</t>
        </is>
      </c>
      <c r="G1553" s="2" t="inlineStr">
        <is>
          <t>system</t>
        </is>
      </c>
      <c r="H1553" s="2" t="inlineStr">
        <is>
          <t>01.01.01 : Mensalidade</t>
        </is>
      </c>
      <c r="I1553" s="3" t="n">
        <v>110</v>
      </c>
      <c r="J1553" s="2" t="n"/>
      <c r="K1553" s="2">
        <f>IF(H1553="02.09 : Outras Saídas", IF(OR(ISNUMBER(SEARCH("CHEQUE COMPE SICREDI", F1553)), ISNUMBER(SEARCH("aniversario", F1553)), ISNUMBER(SEARCH("churrasco", F1553)), ISNUMBER(SEARCH("bolo", F1553)), ISNUMBER(SEARCH("SUPERMERCADO", F1553))), "6.1 Despesas Administrativas (Pessoal)", IF(OR(ISNUMBER(SEARCH("DLKNET", F1553)), ISNUMBER(SEARCH("TESTE", F1553))), "6.1 Despesas Administrativas (Gerais)", IFERROR(VLOOKUP(H1553, De_Para!A:B, 2, FALSE), "NÃO MAPEADO"))), IFERROR(VLOOKUP(H1553, De_Para!A:B, 2, FALSE), "NÃO MAPEADO"))</f>
        <v/>
      </c>
    </row>
    <row r="1554">
      <c r="A1554" s="2" t="inlineStr">
        <is>
          <t>68132</t>
        </is>
      </c>
      <c r="B1554" s="2" t="inlineStr">
        <is>
          <t>Sicoob</t>
        </is>
      </c>
      <c r="C1554" s="2" t="inlineStr">
        <is>
          <t>08/06/2026</t>
        </is>
      </c>
      <c r="D1554" s="2" t="inlineStr">
        <is>
          <t>08/06/2026</t>
        </is>
      </c>
      <c r="E1554" s="2" t="inlineStr">
        <is>
          <t>Dinheiro</t>
        </is>
      </c>
      <c r="F1554" s="2" t="inlineStr">
        <is>
          <t>Boleto "60023" do cliente "ANTONIO JOAO DE PAULA"</t>
        </is>
      </c>
      <c r="G1554" s="2" t="inlineStr">
        <is>
          <t>system</t>
        </is>
      </c>
      <c r="H1554" s="2" t="inlineStr">
        <is>
          <t>02.03.02.01 : Cobrança Bancaria</t>
        </is>
      </c>
      <c r="I1554" s="2" t="n"/>
      <c r="J1554" s="3" t="n">
        <v>-0.88</v>
      </c>
      <c r="K1554" s="2">
        <f>IF(H1554="02.09 : Outras Saídas", IF(OR(ISNUMBER(SEARCH("CHEQUE COMPE SICREDI", F1554)), ISNUMBER(SEARCH("aniversario", F1554)), ISNUMBER(SEARCH("churrasco", F1554)), ISNUMBER(SEARCH("bolo", F1554)), ISNUMBER(SEARCH("SUPERMERCADO", F1554))), "6.1 Despesas Administrativas (Pessoal)", IF(OR(ISNUMBER(SEARCH("DLKNET", F1554)), ISNUMBER(SEARCH("TESTE", F1554))), "6.1 Despesas Administrativas (Gerais)", IFERROR(VLOOKUP(H1554, De_Para!A:B, 2, FALSE), "NÃO MAPEADO"))), IFERROR(VLOOKUP(H1554, De_Para!A:B, 2, FALSE), "NÃO MAPEADO"))</f>
        <v/>
      </c>
    </row>
    <row r="1555">
      <c r="A1555" s="2" t="inlineStr">
        <is>
          <t>68131</t>
        </is>
      </c>
      <c r="B1555" s="2" t="inlineStr">
        <is>
          <t>Sicoob</t>
        </is>
      </c>
      <c r="C1555" s="2" t="inlineStr">
        <is>
          <t>08/06/2026</t>
        </is>
      </c>
      <c r="D1555" s="2" t="inlineStr">
        <is>
          <t>08/06/2026</t>
        </is>
      </c>
      <c r="E1555" s="2" t="inlineStr">
        <is>
          <t>Dinheiro</t>
        </is>
      </c>
      <c r="F1555" s="2" t="inlineStr">
        <is>
          <t>Boleto "60023" do cliente "ANTONIO JOAO DE PAULA"</t>
        </is>
      </c>
      <c r="G1555" s="2" t="inlineStr">
        <is>
          <t>system</t>
        </is>
      </c>
      <c r="H1555" s="2" t="inlineStr">
        <is>
          <t>01.01.01 : Mensalidade</t>
        </is>
      </c>
      <c r="I1555" s="3" t="n">
        <v>105</v>
      </c>
      <c r="J1555" s="2" t="n"/>
      <c r="K1555" s="2">
        <f>IF(H1555="02.09 : Outras Saídas", IF(OR(ISNUMBER(SEARCH("CHEQUE COMPE SICREDI", F1555)), ISNUMBER(SEARCH("aniversario", F1555)), ISNUMBER(SEARCH("churrasco", F1555)), ISNUMBER(SEARCH("bolo", F1555)), ISNUMBER(SEARCH("SUPERMERCADO", F1555))), "6.1 Despesas Administrativas (Pessoal)", IF(OR(ISNUMBER(SEARCH("DLKNET", F1555)), ISNUMBER(SEARCH("TESTE", F1555))), "6.1 Despesas Administrativas (Gerais)", IFERROR(VLOOKUP(H1555, De_Para!A:B, 2, FALSE), "NÃO MAPEADO"))), IFERROR(VLOOKUP(H1555, De_Para!A:B, 2, FALSE), "NÃO MAPEADO"))</f>
        <v/>
      </c>
    </row>
    <row r="1556">
      <c r="A1556" s="2" t="inlineStr">
        <is>
          <t>68130</t>
        </is>
      </c>
      <c r="B1556" s="2" t="inlineStr">
        <is>
          <t>Sicoob</t>
        </is>
      </c>
      <c r="C1556" s="2" t="inlineStr">
        <is>
          <t>08/06/2026</t>
        </is>
      </c>
      <c r="D1556" s="2" t="inlineStr">
        <is>
          <t>08/06/2026</t>
        </is>
      </c>
      <c r="E1556" s="2" t="inlineStr">
        <is>
          <t>Dinheiro</t>
        </is>
      </c>
      <c r="F1556" s="2" t="inlineStr">
        <is>
          <t>Boleto "59818" do cliente "OSVALDO MESSIAS DE MATTOS"</t>
        </is>
      </c>
      <c r="G1556" s="2" t="inlineStr">
        <is>
          <t>system</t>
        </is>
      </c>
      <c r="H1556" s="2" t="inlineStr">
        <is>
          <t>02.03.02.01 : Cobrança Bancaria</t>
        </is>
      </c>
      <c r="I1556" s="2" t="n"/>
      <c r="J1556" s="3" t="n">
        <v>-0.88</v>
      </c>
      <c r="K1556" s="2">
        <f>IF(H1556="02.09 : Outras Saídas", IF(OR(ISNUMBER(SEARCH("CHEQUE COMPE SICREDI", F1556)), ISNUMBER(SEARCH("aniversario", F1556)), ISNUMBER(SEARCH("churrasco", F1556)), ISNUMBER(SEARCH("bolo", F1556)), ISNUMBER(SEARCH("SUPERMERCADO", F1556))), "6.1 Despesas Administrativas (Pessoal)", IF(OR(ISNUMBER(SEARCH("DLKNET", F1556)), ISNUMBER(SEARCH("TESTE", F1556))), "6.1 Despesas Administrativas (Gerais)", IFERROR(VLOOKUP(H1556, De_Para!A:B, 2, FALSE), "NÃO MAPEADO"))), IFERROR(VLOOKUP(H1556, De_Para!A:B, 2, FALSE), "NÃO MAPEADO"))</f>
        <v/>
      </c>
    </row>
    <row r="1557">
      <c r="A1557" s="2" t="inlineStr">
        <is>
          <t>68129</t>
        </is>
      </c>
      <c r="B1557" s="2" t="inlineStr">
        <is>
          <t>Sicoob</t>
        </is>
      </c>
      <c r="C1557" s="2" t="inlineStr">
        <is>
          <t>08/06/2026</t>
        </is>
      </c>
      <c r="D1557" s="2" t="inlineStr">
        <is>
          <t>08/06/2026</t>
        </is>
      </c>
      <c r="E1557" s="2" t="inlineStr">
        <is>
          <t>Dinheiro</t>
        </is>
      </c>
      <c r="F1557" s="2" t="inlineStr">
        <is>
          <t>Boleto "59818" do cliente "OSVALDO MESSIAS DE MATTOS"</t>
        </is>
      </c>
      <c r="G1557" s="2" t="inlineStr">
        <is>
          <t>system</t>
        </is>
      </c>
      <c r="H1557" s="2" t="inlineStr">
        <is>
          <t>01.01.01 : Mensalidade</t>
        </is>
      </c>
      <c r="I1557" s="3" t="n">
        <v>102.1</v>
      </c>
      <c r="J1557" s="2" t="n"/>
      <c r="K1557" s="2">
        <f>IF(H1557="02.09 : Outras Saídas", IF(OR(ISNUMBER(SEARCH("CHEQUE COMPE SICREDI", F1557)), ISNUMBER(SEARCH("aniversario", F1557)), ISNUMBER(SEARCH("churrasco", F1557)), ISNUMBER(SEARCH("bolo", F1557)), ISNUMBER(SEARCH("SUPERMERCADO", F1557))), "6.1 Despesas Administrativas (Pessoal)", IF(OR(ISNUMBER(SEARCH("DLKNET", F1557)), ISNUMBER(SEARCH("TESTE", F1557))), "6.1 Despesas Administrativas (Gerais)", IFERROR(VLOOKUP(H1557, De_Para!A:B, 2, FALSE), "NÃO MAPEADO"))), IFERROR(VLOOKUP(H1557, De_Para!A:B, 2, FALSE), "NÃO MAPEADO"))</f>
        <v/>
      </c>
    </row>
    <row r="1558">
      <c r="A1558" s="2" t="inlineStr">
        <is>
          <t>68128</t>
        </is>
      </c>
      <c r="B1558" s="2" t="inlineStr">
        <is>
          <t>Sicoob</t>
        </is>
      </c>
      <c r="C1558" s="2" t="inlineStr">
        <is>
          <t>08/06/2026</t>
        </is>
      </c>
      <c r="D1558" s="2" t="inlineStr">
        <is>
          <t>08/06/2026</t>
        </is>
      </c>
      <c r="E1558" s="2" t="inlineStr">
        <is>
          <t>Dinheiro</t>
        </is>
      </c>
      <c r="F1558" s="2" t="inlineStr">
        <is>
          <t>Boleto "56395" do cliente "ADRIANA DE FATIMA BALESTRA"</t>
        </is>
      </c>
      <c r="G1558" s="2" t="inlineStr">
        <is>
          <t>system</t>
        </is>
      </c>
      <c r="H1558" s="2" t="inlineStr">
        <is>
          <t>02.03.02.01 : Cobrança Bancaria</t>
        </is>
      </c>
      <c r="I1558" s="2" t="n"/>
      <c r="J1558" s="3" t="n">
        <v>-0.88</v>
      </c>
      <c r="K1558" s="2">
        <f>IF(H1558="02.09 : Outras Saídas", IF(OR(ISNUMBER(SEARCH("CHEQUE COMPE SICREDI", F1558)), ISNUMBER(SEARCH("aniversario", F1558)), ISNUMBER(SEARCH("churrasco", F1558)), ISNUMBER(SEARCH("bolo", F1558)), ISNUMBER(SEARCH("SUPERMERCADO", F1558))), "6.1 Despesas Administrativas (Pessoal)", IF(OR(ISNUMBER(SEARCH("DLKNET", F1558)), ISNUMBER(SEARCH("TESTE", F1558))), "6.1 Despesas Administrativas (Gerais)", IFERROR(VLOOKUP(H1558, De_Para!A:B, 2, FALSE), "NÃO MAPEADO"))), IFERROR(VLOOKUP(H1558, De_Para!A:B, 2, FALSE), "NÃO MAPEADO"))</f>
        <v/>
      </c>
    </row>
    <row r="1559">
      <c r="A1559" s="2" t="inlineStr">
        <is>
          <t>68127</t>
        </is>
      </c>
      <c r="B1559" s="2" t="inlineStr">
        <is>
          <t>Sicoob</t>
        </is>
      </c>
      <c r="C1559" s="2" t="inlineStr">
        <is>
          <t>08/06/2026</t>
        </is>
      </c>
      <c r="D1559" s="2" t="inlineStr">
        <is>
          <t>08/06/2026</t>
        </is>
      </c>
      <c r="E1559" s="2" t="inlineStr">
        <is>
          <t>Dinheiro</t>
        </is>
      </c>
      <c r="F1559" s="2" t="inlineStr">
        <is>
          <t>Boleto "56395" do cliente "ADRIANA DE FATIMA BALESTRA"</t>
        </is>
      </c>
      <c r="G1559" s="2" t="inlineStr">
        <is>
          <t>system</t>
        </is>
      </c>
      <c r="H1559" s="2" t="inlineStr">
        <is>
          <t>01.01.01 : Mensalidade</t>
        </is>
      </c>
      <c r="I1559" s="3" t="n">
        <v>105</v>
      </c>
      <c r="J1559" s="2" t="n"/>
      <c r="K1559" s="2">
        <f>IF(H1559="02.09 : Outras Saídas", IF(OR(ISNUMBER(SEARCH("CHEQUE COMPE SICREDI", F1559)), ISNUMBER(SEARCH("aniversario", F1559)), ISNUMBER(SEARCH("churrasco", F1559)), ISNUMBER(SEARCH("bolo", F1559)), ISNUMBER(SEARCH("SUPERMERCADO", F1559))), "6.1 Despesas Administrativas (Pessoal)", IF(OR(ISNUMBER(SEARCH("DLKNET", F1559)), ISNUMBER(SEARCH("TESTE", F1559))), "6.1 Despesas Administrativas (Gerais)", IFERROR(VLOOKUP(H1559, De_Para!A:B, 2, FALSE), "NÃO MAPEADO"))), IFERROR(VLOOKUP(H1559, De_Para!A:B, 2, FALSE), "NÃO MAPEADO"))</f>
        <v/>
      </c>
    </row>
    <row r="1560">
      <c r="A1560" s="2" t="inlineStr">
        <is>
          <t>68126</t>
        </is>
      </c>
      <c r="B1560" s="2" t="inlineStr">
        <is>
          <t>Sicredi SNI</t>
        </is>
      </c>
      <c r="C1560" s="2" t="inlineStr">
        <is>
          <t>08/06/2026</t>
        </is>
      </c>
      <c r="D1560" s="2" t="inlineStr">
        <is>
          <t>08/06/2026</t>
        </is>
      </c>
      <c r="E1560" s="2" t="inlineStr">
        <is>
          <t>Dinheiro</t>
        </is>
      </c>
      <c r="F1560" s="2" t="inlineStr">
        <is>
          <t>Boleto "62674" do cliente "ROSANGELA DE PAIVA"</t>
        </is>
      </c>
      <c r="G1560" s="2" t="inlineStr">
        <is>
          <t>system</t>
        </is>
      </c>
      <c r="H1560" s="2" t="inlineStr">
        <is>
          <t>02.03.02.01 : Cobrança Bancaria</t>
        </is>
      </c>
      <c r="I1560" s="2" t="n"/>
      <c r="J1560" s="3" t="n">
        <v>-1.08</v>
      </c>
      <c r="K1560" s="2">
        <f>IF(H1560="02.09 : Outras Saídas", IF(OR(ISNUMBER(SEARCH("CHEQUE COMPE SICREDI", F1560)), ISNUMBER(SEARCH("aniversario", F1560)), ISNUMBER(SEARCH("churrasco", F1560)), ISNUMBER(SEARCH("bolo", F1560)), ISNUMBER(SEARCH("SUPERMERCADO", F1560))), "6.1 Despesas Administrativas (Pessoal)", IF(OR(ISNUMBER(SEARCH("DLKNET", F1560)), ISNUMBER(SEARCH("TESTE", F1560))), "6.1 Despesas Administrativas (Gerais)", IFERROR(VLOOKUP(H1560, De_Para!A:B, 2, FALSE), "NÃO MAPEADO"))), IFERROR(VLOOKUP(H1560, De_Para!A:B, 2, FALSE), "NÃO MAPEADO"))</f>
        <v/>
      </c>
    </row>
    <row r="1561">
      <c r="A1561" s="2" t="inlineStr">
        <is>
          <t>68125</t>
        </is>
      </c>
      <c r="B1561" s="2" t="inlineStr">
        <is>
          <t>Sicredi SNI</t>
        </is>
      </c>
      <c r="C1561" s="2" t="inlineStr">
        <is>
          <t>08/06/2026</t>
        </is>
      </c>
      <c r="D1561" s="2" t="inlineStr">
        <is>
          <t>08/06/2026</t>
        </is>
      </c>
      <c r="E1561" s="2" t="inlineStr">
        <is>
          <t>Dinheiro</t>
        </is>
      </c>
      <c r="F1561" s="2" t="inlineStr">
        <is>
          <t>Boleto "62674" do cliente "ROSANGELA DE PAIVA"</t>
        </is>
      </c>
      <c r="G1561" s="2" t="inlineStr">
        <is>
          <t>system</t>
        </is>
      </c>
      <c r="H1561" s="2" t="inlineStr">
        <is>
          <t>01.01.01 : Mensalidade</t>
        </is>
      </c>
      <c r="I1561" s="3" t="n">
        <v>104.9</v>
      </c>
      <c r="J1561" s="2" t="n"/>
      <c r="K1561" s="2">
        <f>IF(H1561="02.09 : Outras Saídas", IF(OR(ISNUMBER(SEARCH("CHEQUE COMPE SICREDI", F1561)), ISNUMBER(SEARCH("aniversario", F1561)), ISNUMBER(SEARCH("churrasco", F1561)), ISNUMBER(SEARCH("bolo", F1561)), ISNUMBER(SEARCH("SUPERMERCADO", F1561))), "6.1 Despesas Administrativas (Pessoal)", IF(OR(ISNUMBER(SEARCH("DLKNET", F1561)), ISNUMBER(SEARCH("TESTE", F1561))), "6.1 Despesas Administrativas (Gerais)", IFERROR(VLOOKUP(H1561, De_Para!A:B, 2, FALSE), "NÃO MAPEADO"))), IFERROR(VLOOKUP(H1561, De_Para!A:B, 2, FALSE), "NÃO MAPEADO"))</f>
        <v/>
      </c>
    </row>
    <row r="1562">
      <c r="A1562" s="2" t="inlineStr">
        <is>
          <t>68124</t>
        </is>
      </c>
      <c r="B1562" s="2" t="inlineStr">
        <is>
          <t>Sicredi SNI</t>
        </is>
      </c>
      <c r="C1562" s="2" t="inlineStr">
        <is>
          <t>08/06/2026</t>
        </is>
      </c>
      <c r="D1562" s="2" t="inlineStr">
        <is>
          <t>08/06/2026</t>
        </is>
      </c>
      <c r="E1562" s="2" t="inlineStr">
        <is>
          <t>Dinheiro</t>
        </is>
      </c>
      <c r="F1562" s="2" t="inlineStr">
        <is>
          <t>Boleto "56964" do cliente "MARTA APARECIDA DOS SANTOS OLIVEIRA"</t>
        </is>
      </c>
      <c r="G1562" s="2" t="inlineStr">
        <is>
          <t>system</t>
        </is>
      </c>
      <c r="H1562" s="2" t="inlineStr">
        <is>
          <t>02.03.02.01 : Cobrança Bancaria</t>
        </is>
      </c>
      <c r="I1562" s="2" t="n"/>
      <c r="J1562" s="3" t="n">
        <v>-1.08</v>
      </c>
      <c r="K1562" s="2">
        <f>IF(H1562="02.09 : Outras Saídas", IF(OR(ISNUMBER(SEARCH("CHEQUE COMPE SICREDI", F1562)), ISNUMBER(SEARCH("aniversario", F1562)), ISNUMBER(SEARCH("churrasco", F1562)), ISNUMBER(SEARCH("bolo", F1562)), ISNUMBER(SEARCH("SUPERMERCADO", F1562))), "6.1 Despesas Administrativas (Pessoal)", IF(OR(ISNUMBER(SEARCH("DLKNET", F1562)), ISNUMBER(SEARCH("TESTE", F1562))), "6.1 Despesas Administrativas (Gerais)", IFERROR(VLOOKUP(H1562, De_Para!A:B, 2, FALSE), "NÃO MAPEADO"))), IFERROR(VLOOKUP(H1562, De_Para!A:B, 2, FALSE), "NÃO MAPEADO"))</f>
        <v/>
      </c>
    </row>
    <row r="1563">
      <c r="A1563" s="2" t="inlineStr">
        <is>
          <t>68123</t>
        </is>
      </c>
      <c r="B1563" s="2" t="inlineStr">
        <is>
          <t>Sicredi SNI</t>
        </is>
      </c>
      <c r="C1563" s="2" t="inlineStr">
        <is>
          <t>08/06/2026</t>
        </is>
      </c>
      <c r="D1563" s="2" t="inlineStr">
        <is>
          <t>08/06/2026</t>
        </is>
      </c>
      <c r="E1563" s="2" t="inlineStr">
        <is>
          <t>Dinheiro</t>
        </is>
      </c>
      <c r="F1563" s="2" t="inlineStr">
        <is>
          <t>Boleto "56964" do cliente "MARTA APARECIDA DOS SANTOS OLIVEIRA"</t>
        </is>
      </c>
      <c r="G1563" s="2" t="inlineStr">
        <is>
          <t>system</t>
        </is>
      </c>
      <c r="H1563" s="2" t="inlineStr">
        <is>
          <t>01.01.01 : Mensalidade</t>
        </is>
      </c>
      <c r="I1563" s="3" t="n">
        <v>80</v>
      </c>
      <c r="J1563" s="2" t="n"/>
      <c r="K1563" s="2">
        <f>IF(H1563="02.09 : Outras Saídas", IF(OR(ISNUMBER(SEARCH("CHEQUE COMPE SICREDI", F1563)), ISNUMBER(SEARCH("aniversario", F1563)), ISNUMBER(SEARCH("churrasco", F1563)), ISNUMBER(SEARCH("bolo", F1563)), ISNUMBER(SEARCH("SUPERMERCADO", F1563))), "6.1 Despesas Administrativas (Pessoal)", IF(OR(ISNUMBER(SEARCH("DLKNET", F1563)), ISNUMBER(SEARCH("TESTE", F1563))), "6.1 Despesas Administrativas (Gerais)", IFERROR(VLOOKUP(H1563, De_Para!A:B, 2, FALSE), "NÃO MAPEADO"))), IFERROR(VLOOKUP(H1563, De_Para!A:B, 2, FALSE), "NÃO MAPEADO"))</f>
        <v/>
      </c>
    </row>
    <row r="1564">
      <c r="A1564" s="2" t="inlineStr">
        <is>
          <t>68122</t>
        </is>
      </c>
      <c r="B1564" s="2" t="inlineStr">
        <is>
          <t>Sicoob</t>
        </is>
      </c>
      <c r="C1564" s="2" t="inlineStr">
        <is>
          <t>08/06/2026</t>
        </is>
      </c>
      <c r="D1564" s="2" t="inlineStr">
        <is>
          <t>08/06/2026</t>
        </is>
      </c>
      <c r="E1564" s="2" t="inlineStr">
        <is>
          <t>Dinheiro</t>
        </is>
      </c>
      <c r="F1564" s="2" t="inlineStr">
        <is>
          <t>Boleto "57205" do cliente "SEBASTIÃO SILVERIO"</t>
        </is>
      </c>
      <c r="G1564" s="2" t="inlineStr">
        <is>
          <t>system</t>
        </is>
      </c>
      <c r="H1564" s="2" t="inlineStr">
        <is>
          <t>02.03.02.01 : Cobrança Bancaria</t>
        </is>
      </c>
      <c r="I1564" s="2" t="n"/>
      <c r="J1564" s="3" t="n">
        <v>-0.88</v>
      </c>
      <c r="K1564" s="2">
        <f>IF(H1564="02.09 : Outras Saídas", IF(OR(ISNUMBER(SEARCH("CHEQUE COMPE SICREDI", F1564)), ISNUMBER(SEARCH("aniversario", F1564)), ISNUMBER(SEARCH("churrasco", F1564)), ISNUMBER(SEARCH("bolo", F1564)), ISNUMBER(SEARCH("SUPERMERCADO", F1564))), "6.1 Despesas Administrativas (Pessoal)", IF(OR(ISNUMBER(SEARCH("DLKNET", F1564)), ISNUMBER(SEARCH("TESTE", F1564))), "6.1 Despesas Administrativas (Gerais)", IFERROR(VLOOKUP(H1564, De_Para!A:B, 2, FALSE), "NÃO MAPEADO"))), IFERROR(VLOOKUP(H1564, De_Para!A:B, 2, FALSE), "NÃO MAPEADO"))</f>
        <v/>
      </c>
    </row>
    <row r="1565">
      <c r="A1565" s="2" t="inlineStr">
        <is>
          <t>68121</t>
        </is>
      </c>
      <c r="B1565" s="2" t="inlineStr">
        <is>
          <t>Sicoob</t>
        </is>
      </c>
      <c r="C1565" s="2" t="inlineStr">
        <is>
          <t>08/06/2026</t>
        </is>
      </c>
      <c r="D1565" s="2" t="inlineStr">
        <is>
          <t>08/06/2026</t>
        </is>
      </c>
      <c r="E1565" s="2" t="inlineStr">
        <is>
          <t>Dinheiro</t>
        </is>
      </c>
      <c r="F1565" s="2" t="inlineStr">
        <is>
          <t>Boleto "57205" do cliente "SEBASTIÃO SILVERIO"</t>
        </is>
      </c>
      <c r="G1565" s="2" t="inlineStr">
        <is>
          <t>system</t>
        </is>
      </c>
      <c r="H1565" s="2" t="inlineStr">
        <is>
          <t>01.01.01 : Mensalidade</t>
        </is>
      </c>
      <c r="I1565" s="3" t="n">
        <v>105</v>
      </c>
      <c r="J1565" s="2" t="n"/>
      <c r="K1565" s="2">
        <f>IF(H1565="02.09 : Outras Saídas", IF(OR(ISNUMBER(SEARCH("CHEQUE COMPE SICREDI", F1565)), ISNUMBER(SEARCH("aniversario", F1565)), ISNUMBER(SEARCH("churrasco", F1565)), ISNUMBER(SEARCH("bolo", F1565)), ISNUMBER(SEARCH("SUPERMERCADO", F1565))), "6.1 Despesas Administrativas (Pessoal)", IF(OR(ISNUMBER(SEARCH("DLKNET", F1565)), ISNUMBER(SEARCH("TESTE", F1565))), "6.1 Despesas Administrativas (Gerais)", IFERROR(VLOOKUP(H1565, De_Para!A:B, 2, FALSE), "NÃO MAPEADO"))), IFERROR(VLOOKUP(H1565, De_Para!A:B, 2, FALSE), "NÃO MAPEADO"))</f>
        <v/>
      </c>
    </row>
    <row r="1566">
      <c r="A1566" s="2" t="inlineStr">
        <is>
          <t>68120</t>
        </is>
      </c>
      <c r="B1566" s="2" t="inlineStr">
        <is>
          <t>Sicoob</t>
        </is>
      </c>
      <c r="C1566" s="2" t="inlineStr">
        <is>
          <t>08/06/2026</t>
        </is>
      </c>
      <c r="D1566" s="2" t="inlineStr">
        <is>
          <t>08/06/2026</t>
        </is>
      </c>
      <c r="E1566" s="2" t="inlineStr">
        <is>
          <t>Dinheiro</t>
        </is>
      </c>
      <c r="F1566" s="2" t="inlineStr">
        <is>
          <t>Boleto "56405" do cliente "JOSUE CLARO DA SILVA"</t>
        </is>
      </c>
      <c r="G1566" s="2" t="inlineStr">
        <is>
          <t>system</t>
        </is>
      </c>
      <c r="H1566" s="2" t="inlineStr">
        <is>
          <t>02.03.02.01 : Cobrança Bancaria</t>
        </is>
      </c>
      <c r="I1566" s="2" t="n"/>
      <c r="J1566" s="3" t="n">
        <v>-0.88</v>
      </c>
      <c r="K1566" s="2">
        <f>IF(H1566="02.09 : Outras Saídas", IF(OR(ISNUMBER(SEARCH("CHEQUE COMPE SICREDI", F1566)), ISNUMBER(SEARCH("aniversario", F1566)), ISNUMBER(SEARCH("churrasco", F1566)), ISNUMBER(SEARCH("bolo", F1566)), ISNUMBER(SEARCH("SUPERMERCADO", F1566))), "6.1 Despesas Administrativas (Pessoal)", IF(OR(ISNUMBER(SEARCH("DLKNET", F1566)), ISNUMBER(SEARCH("TESTE", F1566))), "6.1 Despesas Administrativas (Gerais)", IFERROR(VLOOKUP(H1566, De_Para!A:B, 2, FALSE), "NÃO MAPEADO"))), IFERROR(VLOOKUP(H1566, De_Para!A:B, 2, FALSE), "NÃO MAPEADO"))</f>
        <v/>
      </c>
    </row>
    <row r="1567">
      <c r="A1567" s="2" t="inlineStr">
        <is>
          <t>68119</t>
        </is>
      </c>
      <c r="B1567" s="2" t="inlineStr">
        <is>
          <t>Sicoob</t>
        </is>
      </c>
      <c r="C1567" s="2" t="inlineStr">
        <is>
          <t>08/06/2026</t>
        </is>
      </c>
      <c r="D1567" s="2" t="inlineStr">
        <is>
          <t>08/06/2026</t>
        </is>
      </c>
      <c r="E1567" s="2" t="inlineStr">
        <is>
          <t>Dinheiro</t>
        </is>
      </c>
      <c r="F1567" s="2" t="inlineStr">
        <is>
          <t>Boleto "56405" do cliente "JOSUE CLARO DA SILVA"</t>
        </is>
      </c>
      <c r="G1567" s="2" t="inlineStr">
        <is>
          <t>system</t>
        </is>
      </c>
      <c r="H1567" s="2" t="inlineStr">
        <is>
          <t>01.01.01 : Mensalidade</t>
        </is>
      </c>
      <c r="I1567" s="3" t="n">
        <v>105</v>
      </c>
      <c r="J1567" s="2" t="n"/>
      <c r="K1567" s="2">
        <f>IF(H1567="02.09 : Outras Saídas", IF(OR(ISNUMBER(SEARCH("CHEQUE COMPE SICREDI", F1567)), ISNUMBER(SEARCH("aniversario", F1567)), ISNUMBER(SEARCH("churrasco", F1567)), ISNUMBER(SEARCH("bolo", F1567)), ISNUMBER(SEARCH("SUPERMERCADO", F1567))), "6.1 Despesas Administrativas (Pessoal)", IF(OR(ISNUMBER(SEARCH("DLKNET", F1567)), ISNUMBER(SEARCH("TESTE", F1567))), "6.1 Despesas Administrativas (Gerais)", IFERROR(VLOOKUP(H1567, De_Para!A:B, 2, FALSE), "NÃO MAPEADO"))), IFERROR(VLOOKUP(H1567, De_Para!A:B, 2, FALSE), "NÃO MAPEADO"))</f>
        <v/>
      </c>
    </row>
    <row r="1568">
      <c r="A1568" s="2" t="inlineStr">
        <is>
          <t>68118</t>
        </is>
      </c>
      <c r="B1568" s="2" t="inlineStr">
        <is>
          <t>Sicoob</t>
        </is>
      </c>
      <c r="C1568" s="2" t="inlineStr">
        <is>
          <t>08/06/2026</t>
        </is>
      </c>
      <c r="D1568" s="2" t="inlineStr">
        <is>
          <t>08/06/2026</t>
        </is>
      </c>
      <c r="E1568" s="2" t="inlineStr">
        <is>
          <t>Dinheiro</t>
        </is>
      </c>
      <c r="F1568" s="2" t="inlineStr">
        <is>
          <t>Boleto "56345" do cliente "GUSTAVO DIAS"</t>
        </is>
      </c>
      <c r="G1568" s="2" t="inlineStr">
        <is>
          <t>system</t>
        </is>
      </c>
      <c r="H1568" s="2" t="inlineStr">
        <is>
          <t>02.03.02.01 : Cobrança Bancaria</t>
        </is>
      </c>
      <c r="I1568" s="2" t="n"/>
      <c r="J1568" s="3" t="n">
        <v>-0.88</v>
      </c>
      <c r="K1568" s="2">
        <f>IF(H1568="02.09 : Outras Saídas", IF(OR(ISNUMBER(SEARCH("CHEQUE COMPE SICREDI", F1568)), ISNUMBER(SEARCH("aniversario", F1568)), ISNUMBER(SEARCH("churrasco", F1568)), ISNUMBER(SEARCH("bolo", F1568)), ISNUMBER(SEARCH("SUPERMERCADO", F1568))), "6.1 Despesas Administrativas (Pessoal)", IF(OR(ISNUMBER(SEARCH("DLKNET", F1568)), ISNUMBER(SEARCH("TESTE", F1568))), "6.1 Despesas Administrativas (Gerais)", IFERROR(VLOOKUP(H1568, De_Para!A:B, 2, FALSE), "NÃO MAPEADO"))), IFERROR(VLOOKUP(H1568, De_Para!A:B, 2, FALSE), "NÃO MAPEADO"))</f>
        <v/>
      </c>
    </row>
    <row r="1569">
      <c r="A1569" s="2" t="inlineStr">
        <is>
          <t>68117</t>
        </is>
      </c>
      <c r="B1569" s="2" t="inlineStr">
        <is>
          <t>Sicoob</t>
        </is>
      </c>
      <c r="C1569" s="2" t="inlineStr">
        <is>
          <t>08/06/2026</t>
        </is>
      </c>
      <c r="D1569" s="2" t="inlineStr">
        <is>
          <t>08/06/2026</t>
        </is>
      </c>
      <c r="E1569" s="2" t="inlineStr">
        <is>
          <t>Dinheiro</t>
        </is>
      </c>
      <c r="F1569" s="2" t="inlineStr">
        <is>
          <t>Boleto "56345" do cliente "GUSTAVO DIAS"</t>
        </is>
      </c>
      <c r="G1569" s="2" t="inlineStr">
        <is>
          <t>system</t>
        </is>
      </c>
      <c r="H1569" s="2" t="inlineStr">
        <is>
          <t>01.01.01 : Mensalidade</t>
        </is>
      </c>
      <c r="I1569" s="3" t="n">
        <v>105</v>
      </c>
      <c r="J1569" s="2" t="n"/>
      <c r="K1569" s="2">
        <f>IF(H1569="02.09 : Outras Saídas", IF(OR(ISNUMBER(SEARCH("CHEQUE COMPE SICREDI", F1569)), ISNUMBER(SEARCH("aniversario", F1569)), ISNUMBER(SEARCH("churrasco", F1569)), ISNUMBER(SEARCH("bolo", F1569)), ISNUMBER(SEARCH("SUPERMERCADO", F1569))), "6.1 Despesas Administrativas (Pessoal)", IF(OR(ISNUMBER(SEARCH("DLKNET", F1569)), ISNUMBER(SEARCH("TESTE", F1569))), "6.1 Despesas Administrativas (Gerais)", IFERROR(VLOOKUP(H1569, De_Para!A:B, 2, FALSE), "NÃO MAPEADO"))), IFERROR(VLOOKUP(H1569, De_Para!A:B, 2, FALSE), "NÃO MAPEADO"))</f>
        <v/>
      </c>
    </row>
    <row r="1570">
      <c r="A1570" s="2" t="inlineStr">
        <is>
          <t>68116</t>
        </is>
      </c>
      <c r="B1570" s="2" t="inlineStr">
        <is>
          <t>Sicoob</t>
        </is>
      </c>
      <c r="C1570" s="2" t="inlineStr">
        <is>
          <t>08/06/2026</t>
        </is>
      </c>
      <c r="D1570" s="2" t="inlineStr">
        <is>
          <t>08/06/2026</t>
        </is>
      </c>
      <c r="E1570" s="2" t="inlineStr">
        <is>
          <t>Dinheiro</t>
        </is>
      </c>
      <c r="F1570" s="2" t="inlineStr">
        <is>
          <t>Boleto "56335" do cliente "BRAZ ANTONIO DIAS"</t>
        </is>
      </c>
      <c r="G1570" s="2" t="inlineStr">
        <is>
          <t>system</t>
        </is>
      </c>
      <c r="H1570" s="2" t="inlineStr">
        <is>
          <t>02.03.02.01 : Cobrança Bancaria</t>
        </is>
      </c>
      <c r="I1570" s="2" t="n"/>
      <c r="J1570" s="3" t="n">
        <v>-0.88</v>
      </c>
      <c r="K1570" s="2">
        <f>IF(H1570="02.09 : Outras Saídas", IF(OR(ISNUMBER(SEARCH("CHEQUE COMPE SICREDI", F1570)), ISNUMBER(SEARCH("aniversario", F1570)), ISNUMBER(SEARCH("churrasco", F1570)), ISNUMBER(SEARCH("bolo", F1570)), ISNUMBER(SEARCH("SUPERMERCADO", F1570))), "6.1 Despesas Administrativas (Pessoal)", IF(OR(ISNUMBER(SEARCH("DLKNET", F1570)), ISNUMBER(SEARCH("TESTE", F1570))), "6.1 Despesas Administrativas (Gerais)", IFERROR(VLOOKUP(H1570, De_Para!A:B, 2, FALSE), "NÃO MAPEADO"))), IFERROR(VLOOKUP(H1570, De_Para!A:B, 2, FALSE), "NÃO MAPEADO"))</f>
        <v/>
      </c>
    </row>
    <row r="1571">
      <c r="A1571" s="2" t="inlineStr">
        <is>
          <t>68115</t>
        </is>
      </c>
      <c r="B1571" s="2" t="inlineStr">
        <is>
          <t>Sicoob</t>
        </is>
      </c>
      <c r="C1571" s="2" t="inlineStr">
        <is>
          <t>08/06/2026</t>
        </is>
      </c>
      <c r="D1571" s="2" t="inlineStr">
        <is>
          <t>08/06/2026</t>
        </is>
      </c>
      <c r="E1571" s="2" t="inlineStr">
        <is>
          <t>Dinheiro</t>
        </is>
      </c>
      <c r="F1571" s="2" t="inlineStr">
        <is>
          <t>Boleto "56335" do cliente "BRAZ ANTONIO DIAS"</t>
        </is>
      </c>
      <c r="G1571" s="2" t="inlineStr">
        <is>
          <t>system</t>
        </is>
      </c>
      <c r="H1571" s="2" t="inlineStr">
        <is>
          <t>01.01.01 : Mensalidade</t>
        </is>
      </c>
      <c r="I1571" s="3" t="n">
        <v>105</v>
      </c>
      <c r="J1571" s="2" t="n"/>
      <c r="K1571" s="2">
        <f>IF(H1571="02.09 : Outras Saídas", IF(OR(ISNUMBER(SEARCH("CHEQUE COMPE SICREDI", F1571)), ISNUMBER(SEARCH("aniversario", F1571)), ISNUMBER(SEARCH("churrasco", F1571)), ISNUMBER(SEARCH("bolo", F1571)), ISNUMBER(SEARCH("SUPERMERCADO", F1571))), "6.1 Despesas Administrativas (Pessoal)", IF(OR(ISNUMBER(SEARCH("DLKNET", F1571)), ISNUMBER(SEARCH("TESTE", F1571))), "6.1 Despesas Administrativas (Gerais)", IFERROR(VLOOKUP(H1571, De_Para!A:B, 2, FALSE), "NÃO MAPEADO"))), IFERROR(VLOOKUP(H1571, De_Para!A:B, 2, FALSE), "NÃO MAPEADO"))</f>
        <v/>
      </c>
    </row>
    <row r="1572">
      <c r="A1572" s="2" t="inlineStr">
        <is>
          <t>68114</t>
        </is>
      </c>
      <c r="B1572" s="2" t="inlineStr">
        <is>
          <t>Sicoob</t>
        </is>
      </c>
      <c r="C1572" s="2" t="inlineStr">
        <is>
          <t>08/06/2026</t>
        </is>
      </c>
      <c r="D1572" s="2" t="inlineStr">
        <is>
          <t>02/06/2026</t>
        </is>
      </c>
      <c r="E1572" s="2" t="inlineStr">
        <is>
          <t>Débito em Conta</t>
        </is>
      </c>
      <c r="F1572" s="2" t="inlineStr">
        <is>
          <t>TARIFA COBRANÇA</t>
        </is>
      </c>
      <c r="G1572" s="2" t="inlineStr">
        <is>
          <t>clau</t>
        </is>
      </c>
      <c r="H1572" s="2" t="inlineStr">
        <is>
          <t>02.03.03.01 : Tarifas Bancarias</t>
        </is>
      </c>
      <c r="I1572" s="2" t="n"/>
      <c r="J1572" s="3" t="n">
        <v>-11.38</v>
      </c>
      <c r="K1572" s="2">
        <f>IF(H1572="02.09 : Outras Saídas", IF(OR(ISNUMBER(SEARCH("CHEQUE COMPE SICREDI", F1572)), ISNUMBER(SEARCH("aniversario", F1572)), ISNUMBER(SEARCH("churrasco", F1572)), ISNUMBER(SEARCH("bolo", F1572)), ISNUMBER(SEARCH("SUPERMERCADO", F1572))), "6.1 Despesas Administrativas (Pessoal)", IF(OR(ISNUMBER(SEARCH("DLKNET", F1572)), ISNUMBER(SEARCH("TESTE", F1572))), "6.1 Despesas Administrativas (Gerais)", IFERROR(VLOOKUP(H1572, De_Para!A:B, 2, FALSE), "NÃO MAPEADO"))), IFERROR(VLOOKUP(H1572, De_Para!A:B, 2, FALSE), "NÃO MAPEADO"))</f>
        <v/>
      </c>
    </row>
    <row r="1573">
      <c r="A1573" s="2" t="inlineStr">
        <is>
          <t>68113</t>
        </is>
      </c>
      <c r="B1573" s="2" t="inlineStr">
        <is>
          <t>Sicoob</t>
        </is>
      </c>
      <c r="C1573" s="2" t="inlineStr">
        <is>
          <t>08/06/2026</t>
        </is>
      </c>
      <c r="D1573" s="2" t="inlineStr">
        <is>
          <t>02/06/2026</t>
        </is>
      </c>
      <c r="E1573" s="2" t="inlineStr">
        <is>
          <t>Débito em Conta</t>
        </is>
      </c>
      <c r="F1573" s="2" t="inlineStr">
        <is>
          <t>JUROS CONTA GARANTIDA</t>
        </is>
      </c>
      <c r="G1573" s="2" t="inlineStr">
        <is>
          <t>clau</t>
        </is>
      </c>
      <c r="H1573" s="2" t="inlineStr">
        <is>
          <t>02.03.03.11 : JUROS CONTA GARANTIDA</t>
        </is>
      </c>
      <c r="I1573" s="2" t="n"/>
      <c r="J1573" s="3" t="n">
        <v>-133.12</v>
      </c>
      <c r="K1573" s="2">
        <f>IF(H1573="02.09 : Outras Saídas", IF(OR(ISNUMBER(SEARCH("CHEQUE COMPE SICREDI", F1573)), ISNUMBER(SEARCH("aniversario", F1573)), ISNUMBER(SEARCH("churrasco", F1573)), ISNUMBER(SEARCH("bolo", F1573)), ISNUMBER(SEARCH("SUPERMERCADO", F1573))), "6.1 Despesas Administrativas (Pessoal)", IF(OR(ISNUMBER(SEARCH("DLKNET", F1573)), ISNUMBER(SEARCH("TESTE", F1573))), "6.1 Despesas Administrativas (Gerais)", IFERROR(VLOOKUP(H1573, De_Para!A:B, 2, FALSE), "NÃO MAPEADO"))), IFERROR(VLOOKUP(H1573, De_Para!A:B, 2, FALSE), "NÃO MAPEADO"))</f>
        <v/>
      </c>
    </row>
    <row r="1574">
      <c r="A1574" s="2" t="inlineStr">
        <is>
          <t>68112</t>
        </is>
      </c>
      <c r="B1574" s="2" t="inlineStr">
        <is>
          <t>Sicoob</t>
        </is>
      </c>
      <c r="C1574" s="2" t="inlineStr">
        <is>
          <t>08/06/2026</t>
        </is>
      </c>
      <c r="D1574" s="2" t="inlineStr">
        <is>
          <t>03/06/2026</t>
        </is>
      </c>
      <c r="E1574" s="2" t="inlineStr">
        <is>
          <t>PIX</t>
        </is>
      </c>
      <c r="F1574" s="2" t="inlineStr">
        <is>
          <t>PIX EMITIDO OUTRA IF - MESMA TIT._x000D_
Pagamento Pix_x000D_
10.145.409 0001-50_x000D_
Tranferencia entre contas</t>
        </is>
      </c>
      <c r="G1574" s="2" t="inlineStr">
        <is>
          <t>clau</t>
        </is>
      </c>
      <c r="H1574" s="2" t="inlineStr">
        <is>
          <t>03.02 : TRANSFERENCIA ENTRE CONTAS</t>
        </is>
      </c>
      <c r="I1574" s="2" t="n"/>
      <c r="J1574" s="3" t="n">
        <v>-1600</v>
      </c>
      <c r="K1574" s="2">
        <f>IF(H1574="02.09 : Outras Saídas", IF(OR(ISNUMBER(SEARCH("CHEQUE COMPE SICREDI", F1574)), ISNUMBER(SEARCH("aniversario", F1574)), ISNUMBER(SEARCH("churrasco", F1574)), ISNUMBER(SEARCH("bolo", F1574)), ISNUMBER(SEARCH("SUPERMERCADO", F1574))), "6.1 Despesas Administrativas (Pessoal)", IF(OR(ISNUMBER(SEARCH("DLKNET", F1574)), ISNUMBER(SEARCH("TESTE", F1574))), "6.1 Despesas Administrativas (Gerais)", IFERROR(VLOOKUP(H1574, De_Para!A:B, 2, FALSE), "NÃO MAPEADO"))), IFERROR(VLOOKUP(H1574, De_Para!A:B, 2, FALSE), "NÃO MAPEADO"))</f>
        <v/>
      </c>
    </row>
    <row r="1575">
      <c r="A1575" s="2" t="inlineStr">
        <is>
          <t>68111</t>
        </is>
      </c>
      <c r="B1575" s="2" t="inlineStr">
        <is>
          <t>Sicoob</t>
        </is>
      </c>
      <c r="C1575" s="2" t="inlineStr">
        <is>
          <t>08/06/2026</t>
        </is>
      </c>
      <c r="D1575" s="2" t="inlineStr">
        <is>
          <t>05/06/2026</t>
        </is>
      </c>
      <c r="E1575" s="2" t="inlineStr">
        <is>
          <t>Débito em Conta</t>
        </is>
      </c>
      <c r="F1575" s="2" t="inlineStr">
        <is>
          <t>TARIFA COBRANÇA</t>
        </is>
      </c>
      <c r="G1575" s="2" t="inlineStr">
        <is>
          <t>clau</t>
        </is>
      </c>
      <c r="H1575" s="2" t="inlineStr">
        <is>
          <t>02.03.03.01 : Tarifas Bancarias</t>
        </is>
      </c>
      <c r="I1575" s="2" t="n"/>
      <c r="J1575" s="3" t="n">
        <v>-21.38</v>
      </c>
      <c r="K1575" s="2">
        <f>IF(H1575="02.09 : Outras Saídas", IF(OR(ISNUMBER(SEARCH("CHEQUE COMPE SICREDI", F1575)), ISNUMBER(SEARCH("aniversario", F1575)), ISNUMBER(SEARCH("churrasco", F1575)), ISNUMBER(SEARCH("bolo", F1575)), ISNUMBER(SEARCH("SUPERMERCADO", F1575))), "6.1 Despesas Administrativas (Pessoal)", IF(OR(ISNUMBER(SEARCH("DLKNET", F1575)), ISNUMBER(SEARCH("TESTE", F1575))), "6.1 Despesas Administrativas (Gerais)", IFERROR(VLOOKUP(H1575, De_Para!A:B, 2, FALSE), "NÃO MAPEADO"))), IFERROR(VLOOKUP(H1575, De_Para!A:B, 2, FALSE), "NÃO MAPEADO"))</f>
        <v/>
      </c>
    </row>
    <row r="1576">
      <c r="A1576" s="2" t="inlineStr">
        <is>
          <t>68110</t>
        </is>
      </c>
      <c r="B1576" s="2" t="inlineStr">
        <is>
          <t>Sicoob</t>
        </is>
      </c>
      <c r="C1576" s="2" t="inlineStr">
        <is>
          <t>08/06/2026</t>
        </is>
      </c>
      <c r="D1576" s="2" t="inlineStr">
        <is>
          <t>05/06/2026</t>
        </is>
      </c>
      <c r="E1576" s="2" t="inlineStr">
        <is>
          <t>PIX</t>
        </is>
      </c>
      <c r="F1576" s="2" t="inlineStr">
        <is>
          <t>PIX EMITIDO OUTRA IF_x000D_
Pagamento Pix_x000D_
38.372.267 0001-82</t>
        </is>
      </c>
      <c r="G1576" s="2" t="inlineStr">
        <is>
          <t>clau</t>
        </is>
      </c>
      <c r="H1576" s="2" t="inlineStr">
        <is>
          <t>02.03.02.07 : Pro-Labore</t>
        </is>
      </c>
      <c r="I1576" s="2" t="n"/>
      <c r="J1576" s="3" t="n">
        <v>-19.8</v>
      </c>
      <c r="K1576" s="2">
        <f>IF(H1576="02.09 : Outras Saídas", IF(OR(ISNUMBER(SEARCH("CHEQUE COMPE SICREDI", F1576)), ISNUMBER(SEARCH("aniversario", F1576)), ISNUMBER(SEARCH("churrasco", F1576)), ISNUMBER(SEARCH("bolo", F1576)), ISNUMBER(SEARCH("SUPERMERCADO", F1576))), "6.1 Despesas Administrativas (Pessoal)", IF(OR(ISNUMBER(SEARCH("DLKNET", F1576)), ISNUMBER(SEARCH("TESTE", F1576))), "6.1 Despesas Administrativas (Gerais)", IFERROR(VLOOKUP(H1576, De_Para!A:B, 2, FALSE), "NÃO MAPEADO"))), IFERROR(VLOOKUP(H1576, De_Para!A:B, 2, FALSE), "NÃO MAPEADO"))</f>
        <v/>
      </c>
    </row>
    <row r="1577">
      <c r="A1577" s="2" t="inlineStr">
        <is>
          <t>68109</t>
        </is>
      </c>
      <c r="B1577" s="2" t="inlineStr">
        <is>
          <t>Sicredi SNI</t>
        </is>
      </c>
      <c r="C1577" s="2" t="inlineStr">
        <is>
          <t>08/06/2026</t>
        </is>
      </c>
      <c r="D1577" s="2" t="inlineStr">
        <is>
          <t>05/06/2026</t>
        </is>
      </c>
      <c r="E1577" s="2" t="inlineStr">
        <is>
          <t>Débito em Conta</t>
        </is>
      </c>
      <c r="F1577" s="2" t="inlineStr">
        <is>
          <t>TARIFA COBRANÇA</t>
        </is>
      </c>
      <c r="G1577" s="2" t="inlineStr">
        <is>
          <t>clau</t>
        </is>
      </c>
      <c r="H1577" s="2" t="inlineStr">
        <is>
          <t>02.03.03.09 : TARIFA COM R LIQUIDACAO</t>
        </is>
      </c>
      <c r="I1577" s="2" t="n"/>
      <c r="J1577" s="3" t="n">
        <v>-23.54</v>
      </c>
      <c r="K1577" s="2">
        <f>IF(H1577="02.09 : Outras Saídas", IF(OR(ISNUMBER(SEARCH("CHEQUE COMPE SICREDI", F1577)), ISNUMBER(SEARCH("aniversario", F1577)), ISNUMBER(SEARCH("churrasco", F1577)), ISNUMBER(SEARCH("bolo", F1577)), ISNUMBER(SEARCH("SUPERMERCADO", F1577))), "6.1 Despesas Administrativas (Pessoal)", IF(OR(ISNUMBER(SEARCH("DLKNET", F1577)), ISNUMBER(SEARCH("TESTE", F1577))), "6.1 Despesas Administrativas (Gerais)", IFERROR(VLOOKUP(H1577, De_Para!A:B, 2, FALSE), "NÃO MAPEADO"))), IFERROR(VLOOKUP(H1577, De_Para!A:B, 2, FALSE), "NÃO MAPEADO"))</f>
        <v/>
      </c>
    </row>
    <row r="1578">
      <c r="A1578" s="2" t="inlineStr">
        <is>
          <t>68108</t>
        </is>
      </c>
      <c r="B1578" s="2" t="inlineStr">
        <is>
          <t>Sicredi SNI</t>
        </is>
      </c>
      <c r="C1578" s="2" t="inlineStr">
        <is>
          <t>08/06/2026</t>
        </is>
      </c>
      <c r="D1578" s="2" t="inlineStr">
        <is>
          <t>01/06/2026</t>
        </is>
      </c>
      <c r="E1578" s="2" t="inlineStr">
        <is>
          <t>Débito em Conta</t>
        </is>
      </c>
      <c r="F1578" s="2" t="inlineStr">
        <is>
          <t>TARIFA COM R LIQUIDACAO</t>
        </is>
      </c>
      <c r="G1578" s="2" t="inlineStr">
        <is>
          <t>clau</t>
        </is>
      </c>
      <c r="H1578" s="2" t="inlineStr">
        <is>
          <t>02.03.03.09 : TARIFA COM R LIQUIDACAO</t>
        </is>
      </c>
      <c r="I1578" s="2" t="n"/>
      <c r="J1578" s="3" t="n">
        <v>-1.7</v>
      </c>
      <c r="K1578" s="2">
        <f>IF(H1578="02.09 : Outras Saídas", IF(OR(ISNUMBER(SEARCH("CHEQUE COMPE SICREDI", F1578)), ISNUMBER(SEARCH("aniversario", F1578)), ISNUMBER(SEARCH("churrasco", F1578)), ISNUMBER(SEARCH("bolo", F1578)), ISNUMBER(SEARCH("SUPERMERCADO", F1578))), "6.1 Despesas Administrativas (Pessoal)", IF(OR(ISNUMBER(SEARCH("DLKNET", F1578)), ISNUMBER(SEARCH("TESTE", F1578))), "6.1 Despesas Administrativas (Gerais)", IFERROR(VLOOKUP(H1578, De_Para!A:B, 2, FALSE), "NÃO MAPEADO"))), IFERROR(VLOOKUP(H1578, De_Para!A:B, 2, FALSE), "NÃO MAPEADO"))</f>
        <v/>
      </c>
    </row>
    <row r="1579">
      <c r="A1579" s="2" t="inlineStr">
        <is>
          <t>68107</t>
        </is>
      </c>
      <c r="B1579" s="2" t="inlineStr">
        <is>
          <t>Sicredi SNI</t>
        </is>
      </c>
      <c r="C1579" s="2" t="inlineStr">
        <is>
          <t>08/06/2026</t>
        </is>
      </c>
      <c r="D1579" s="2" t="inlineStr">
        <is>
          <t>01/06/2026</t>
        </is>
      </c>
      <c r="E1579" s="2" t="inlineStr">
        <is>
          <t>Débito em Conta</t>
        </is>
      </c>
      <c r="F1579" s="2" t="inlineStr">
        <is>
          <t>TARIFA COM R LIQUIDACAO</t>
        </is>
      </c>
      <c r="G1579" s="2" t="inlineStr">
        <is>
          <t>clau</t>
        </is>
      </c>
      <c r="H1579" s="2" t="inlineStr">
        <is>
          <t>02.03.03.09 : TARIFA COM R LIQUIDACAO</t>
        </is>
      </c>
      <c r="I1579" s="2" t="n"/>
      <c r="J1579" s="3" t="n">
        <v>-3.4</v>
      </c>
      <c r="K1579" s="2">
        <f>IF(H1579="02.09 : Outras Saídas", IF(OR(ISNUMBER(SEARCH("CHEQUE COMPE SICREDI", F1579)), ISNUMBER(SEARCH("aniversario", F1579)), ISNUMBER(SEARCH("churrasco", F1579)), ISNUMBER(SEARCH("bolo", F1579)), ISNUMBER(SEARCH("SUPERMERCADO", F1579))), "6.1 Despesas Administrativas (Pessoal)", IF(OR(ISNUMBER(SEARCH("DLKNET", F1579)), ISNUMBER(SEARCH("TESTE", F1579))), "6.1 Despesas Administrativas (Gerais)", IFERROR(VLOOKUP(H1579, De_Para!A:B, 2, FALSE), "NÃO MAPEADO"))), IFERROR(VLOOKUP(H1579, De_Para!A:B, 2, FALSE), "NÃO MAPEADO"))</f>
        <v/>
      </c>
    </row>
    <row r="1580">
      <c r="A1580" s="2" t="inlineStr">
        <is>
          <t>68106</t>
        </is>
      </c>
      <c r="B1580" s="2" t="inlineStr">
        <is>
          <t>Sicredi SNI</t>
        </is>
      </c>
      <c r="C1580" s="2" t="inlineStr">
        <is>
          <t>08/06/2026</t>
        </is>
      </c>
      <c r="D1580" s="2" t="inlineStr">
        <is>
          <t>01/06/2026</t>
        </is>
      </c>
      <c r="E1580" s="2" t="inlineStr">
        <is>
          <t>Débito em Conta</t>
        </is>
      </c>
      <c r="F1580" s="2" t="inlineStr">
        <is>
          <t>IOF BASICO CH PJ</t>
        </is>
      </c>
      <c r="G1580" s="2" t="inlineStr">
        <is>
          <t>clau</t>
        </is>
      </c>
      <c r="H1580" s="2" t="inlineStr">
        <is>
          <t>02.03.03.07 : IOF BASICO CH PJ</t>
        </is>
      </c>
      <c r="I1580" s="2" t="n"/>
      <c r="J1580" s="3" t="n">
        <v>-45.2</v>
      </c>
      <c r="K1580" s="2">
        <f>IF(H1580="02.09 : Outras Saídas", IF(OR(ISNUMBER(SEARCH("CHEQUE COMPE SICREDI", F1580)), ISNUMBER(SEARCH("aniversario", F1580)), ISNUMBER(SEARCH("churrasco", F1580)), ISNUMBER(SEARCH("bolo", F1580)), ISNUMBER(SEARCH("SUPERMERCADO", F1580))), "6.1 Despesas Administrativas (Pessoal)", IF(OR(ISNUMBER(SEARCH("DLKNET", F1580)), ISNUMBER(SEARCH("TESTE", F1580))), "6.1 Despesas Administrativas (Gerais)", IFERROR(VLOOKUP(H1580, De_Para!A:B, 2, FALSE), "NÃO MAPEADO"))), IFERROR(VLOOKUP(H1580, De_Para!A:B, 2, FALSE), "NÃO MAPEADO"))</f>
        <v/>
      </c>
    </row>
    <row r="1581">
      <c r="A1581" s="2" t="inlineStr">
        <is>
          <t>68105</t>
        </is>
      </c>
      <c r="B1581" s="2" t="inlineStr">
        <is>
          <t>Sicredi SNI</t>
        </is>
      </c>
      <c r="C1581" s="2" t="inlineStr">
        <is>
          <t>08/06/2026</t>
        </is>
      </c>
      <c r="D1581" s="2" t="inlineStr">
        <is>
          <t>01/06/2026</t>
        </is>
      </c>
      <c r="E1581" s="2" t="inlineStr">
        <is>
          <t>Débito em Conta</t>
        </is>
      </c>
      <c r="F1581" s="2" t="inlineStr">
        <is>
          <t>IOF ADICIONAL PJ-CH. ESPE</t>
        </is>
      </c>
      <c r="G1581" s="2" t="inlineStr">
        <is>
          <t>clau</t>
        </is>
      </c>
      <c r="H1581" s="2" t="inlineStr">
        <is>
          <t>02.03.03.08 : IOF ADICIONAL PJ-CH. ESPE</t>
        </is>
      </c>
      <c r="I1581" s="2" t="n"/>
      <c r="J1581" s="3" t="n">
        <v>-57.97</v>
      </c>
      <c r="K1581" s="2">
        <f>IF(H1581="02.09 : Outras Saídas", IF(OR(ISNUMBER(SEARCH("CHEQUE COMPE SICREDI", F1581)), ISNUMBER(SEARCH("aniversario", F1581)), ISNUMBER(SEARCH("churrasco", F1581)), ISNUMBER(SEARCH("bolo", F1581)), ISNUMBER(SEARCH("SUPERMERCADO", F1581))), "6.1 Despesas Administrativas (Pessoal)", IF(OR(ISNUMBER(SEARCH("DLKNET", F1581)), ISNUMBER(SEARCH("TESTE", F1581))), "6.1 Despesas Administrativas (Gerais)", IFERROR(VLOOKUP(H1581, De_Para!A:B, 2, FALSE), "NÃO MAPEADO"))), IFERROR(VLOOKUP(H1581, De_Para!A:B, 2, FALSE), "NÃO MAPEADO"))</f>
        <v/>
      </c>
    </row>
    <row r="1582">
      <c r="A1582" s="2" t="inlineStr">
        <is>
          <t>68104</t>
        </is>
      </c>
      <c r="B1582" s="2" t="inlineStr">
        <is>
          <t>Sicredi SNI</t>
        </is>
      </c>
      <c r="C1582" s="2" t="inlineStr">
        <is>
          <t>08/06/2026</t>
        </is>
      </c>
      <c r="D1582" s="2" t="inlineStr">
        <is>
          <t>03/06/2026</t>
        </is>
      </c>
      <c r="E1582" s="2" t="inlineStr">
        <is>
          <t>Débito em Conta</t>
        </is>
      </c>
      <c r="F1582" s="2" t="inlineStr">
        <is>
          <t>TARIFA COM R LIQUIDACAO</t>
        </is>
      </c>
      <c r="G1582" s="2" t="inlineStr">
        <is>
          <t>clau</t>
        </is>
      </c>
      <c r="H1582" s="2" t="inlineStr">
        <is>
          <t>02.03.03.09 : TARIFA COM R LIQUIDACAO</t>
        </is>
      </c>
      <c r="I1582" s="2" t="n"/>
      <c r="J1582" s="3" t="n">
        <v>-1.7</v>
      </c>
      <c r="K1582" s="2">
        <f>IF(H1582="02.09 : Outras Saídas", IF(OR(ISNUMBER(SEARCH("CHEQUE COMPE SICREDI", F1582)), ISNUMBER(SEARCH("aniversario", F1582)), ISNUMBER(SEARCH("churrasco", F1582)), ISNUMBER(SEARCH("bolo", F1582)), ISNUMBER(SEARCH("SUPERMERCADO", F1582))), "6.1 Despesas Administrativas (Pessoal)", IF(OR(ISNUMBER(SEARCH("DLKNET", F1582)), ISNUMBER(SEARCH("TESTE", F1582))), "6.1 Despesas Administrativas (Gerais)", IFERROR(VLOOKUP(H1582, De_Para!A:B, 2, FALSE), "NÃO MAPEADO"))), IFERROR(VLOOKUP(H1582, De_Para!A:B, 2, FALSE), "NÃO MAPEADO"))</f>
        <v/>
      </c>
    </row>
    <row r="1583">
      <c r="A1583" s="2" t="inlineStr">
        <is>
          <t>68103</t>
        </is>
      </c>
      <c r="B1583" s="2" t="inlineStr">
        <is>
          <t>Sicredi SNI</t>
        </is>
      </c>
      <c r="C1583" s="2" t="inlineStr">
        <is>
          <t>08/06/2026</t>
        </is>
      </c>
      <c r="D1583" s="2" t="inlineStr">
        <is>
          <t>03/06/2026</t>
        </is>
      </c>
      <c r="E1583" s="2" t="inlineStr">
        <is>
          <t>Cartão de Débito</t>
        </is>
      </c>
      <c r="F1583" s="2" t="inlineStr">
        <is>
          <t>COMPRAS NACIONAIS JIM COM SOLUCAO NET INFOJOAQUI TESTE</t>
        </is>
      </c>
      <c r="G1583" s="2" t="inlineStr">
        <is>
          <t>clau</t>
        </is>
      </c>
      <c r="H1583" s="2" t="inlineStr">
        <is>
          <t>02.09 : Outras Saídas</t>
        </is>
      </c>
      <c r="I1583" s="2" t="n"/>
      <c r="J1583" s="3" t="n">
        <v>-1</v>
      </c>
      <c r="K1583" s="2">
        <f>IF(H1583="02.09 : Outras Saídas", IF(OR(ISNUMBER(SEARCH("CHEQUE COMPE SICREDI", F1583)), ISNUMBER(SEARCH("aniversario", F1583)), ISNUMBER(SEARCH("churrasco", F1583)), ISNUMBER(SEARCH("bolo", F1583)), ISNUMBER(SEARCH("SUPERMERCADO", F1583))), "6.1 Despesas Administrativas (Pessoal)", IF(OR(ISNUMBER(SEARCH("DLKNET", F1583)), ISNUMBER(SEARCH("TESTE", F1583))), "6.1 Despesas Administrativas (Gerais)", IFERROR(VLOOKUP(H1583, De_Para!A:B, 2, FALSE), "NÃO MAPEADO"))), IFERROR(VLOOKUP(H1583, De_Para!A:B, 2, FALSE), "NÃO MAPEADO"))</f>
        <v/>
      </c>
    </row>
    <row r="1584">
      <c r="A1584" s="2" t="inlineStr">
        <is>
          <t>68102</t>
        </is>
      </c>
      <c r="B1584" s="2" t="inlineStr">
        <is>
          <t>Sicredi SNI</t>
        </is>
      </c>
      <c r="C1584" s="2" t="inlineStr">
        <is>
          <t>08/06/2026</t>
        </is>
      </c>
      <c r="D1584" s="2" t="inlineStr">
        <is>
          <t>03/06/2026</t>
        </is>
      </c>
      <c r="E1584" s="2" t="inlineStr">
        <is>
          <t>Débito em Conta</t>
        </is>
      </c>
      <c r="F1584" s="2" t="inlineStr">
        <is>
          <t>DEB. FOLHA PAGTO</t>
        </is>
      </c>
      <c r="G1584" s="2" t="inlineStr">
        <is>
          <t>clau</t>
        </is>
      </c>
      <c r="H1584" s="2" t="inlineStr">
        <is>
          <t>02.01.02.01 : Folha de Pagamento</t>
        </is>
      </c>
      <c r="I1584" s="2" t="n"/>
      <c r="J1584" s="3" t="n">
        <v>-7490.21</v>
      </c>
      <c r="K1584" s="2">
        <f>IF(H1584="02.09 : Outras Saídas", IF(OR(ISNUMBER(SEARCH("CHEQUE COMPE SICREDI", F1584)), ISNUMBER(SEARCH("aniversario", F1584)), ISNUMBER(SEARCH("churrasco", F1584)), ISNUMBER(SEARCH("bolo", F1584)), ISNUMBER(SEARCH("SUPERMERCADO", F1584))), "6.1 Despesas Administrativas (Pessoal)", IF(OR(ISNUMBER(SEARCH("DLKNET", F1584)), ISNUMBER(SEARCH("TESTE", F1584))), "6.1 Despesas Administrativas (Gerais)", IFERROR(VLOOKUP(H1584, De_Para!A:B, 2, FALSE), "NÃO MAPEADO"))), IFERROR(VLOOKUP(H1584, De_Para!A:B, 2, FALSE), "NÃO MAPEADO"))</f>
        <v/>
      </c>
    </row>
    <row r="1585">
      <c r="A1585" s="2" t="inlineStr">
        <is>
          <t>68101</t>
        </is>
      </c>
      <c r="B1585" s="2" t="inlineStr">
        <is>
          <t>Sicredi SNI</t>
        </is>
      </c>
      <c r="C1585" s="2" t="inlineStr">
        <is>
          <t>08/06/2026</t>
        </is>
      </c>
      <c r="D1585" s="2" t="inlineStr">
        <is>
          <t>03/06/2026</t>
        </is>
      </c>
      <c r="E1585" s="2" t="inlineStr">
        <is>
          <t>PIX</t>
        </is>
      </c>
      <c r="F1585" s="2" t="inlineStr">
        <is>
          <t>PAGAMENTO PIX 02690815931 BRIGIDA APARECIDA DOS 03/06/2026</t>
        </is>
      </c>
      <c r="G1585" s="2" t="inlineStr">
        <is>
          <t>clau</t>
        </is>
      </c>
      <c r="H1585" s="2" t="inlineStr">
        <is>
          <t>02.03.02.26 : Diarista</t>
        </is>
      </c>
      <c r="I1585" s="2" t="n"/>
      <c r="J1585" s="3" t="n">
        <v>-140</v>
      </c>
      <c r="K1585" s="2">
        <f>IF(H1585="02.09 : Outras Saídas", IF(OR(ISNUMBER(SEARCH("CHEQUE COMPE SICREDI", F1585)), ISNUMBER(SEARCH("aniversario", F1585)), ISNUMBER(SEARCH("churrasco", F1585)), ISNUMBER(SEARCH("bolo", F1585)), ISNUMBER(SEARCH("SUPERMERCADO", F1585))), "6.1 Despesas Administrativas (Pessoal)", IF(OR(ISNUMBER(SEARCH("DLKNET", F1585)), ISNUMBER(SEARCH("TESTE", F1585))), "6.1 Despesas Administrativas (Gerais)", IFERROR(VLOOKUP(H1585, De_Para!A:B, 2, FALSE), "NÃO MAPEADO"))), IFERROR(VLOOKUP(H1585, De_Para!A:B, 2, FALSE), "NÃO MAPEADO"))</f>
        <v/>
      </c>
    </row>
    <row r="1586">
      <c r="A1586" s="2" t="inlineStr">
        <is>
          <t>68100</t>
        </is>
      </c>
      <c r="B1586" s="2" t="inlineStr">
        <is>
          <t>Sicredi SNI</t>
        </is>
      </c>
      <c r="C1586" s="2" t="inlineStr">
        <is>
          <t>08/06/2026</t>
        </is>
      </c>
      <c r="D1586" s="2" t="inlineStr">
        <is>
          <t>03/06/2026</t>
        </is>
      </c>
      <c r="E1586" s="2" t="inlineStr">
        <is>
          <t>Cartão de Débito</t>
        </is>
      </c>
      <c r="F1586" s="2" t="inlineStr">
        <is>
          <t>COMPRAS NACIONAIS LOJA FERREIRA CARLOPOLIS BR BOTINAS TECNICOS</t>
        </is>
      </c>
      <c r="G1586" s="2" t="inlineStr">
        <is>
          <t>clau</t>
        </is>
      </c>
      <c r="H1586" s="2" t="inlineStr">
        <is>
          <t>02.03.02.15 : Fardamento</t>
        </is>
      </c>
      <c r="I1586" s="2" t="n"/>
      <c r="J1586" s="3" t="n">
        <v>-178</v>
      </c>
      <c r="K1586" s="2">
        <f>IF(H1586="02.09 : Outras Saídas", IF(OR(ISNUMBER(SEARCH("CHEQUE COMPE SICREDI", F1586)), ISNUMBER(SEARCH("aniversario", F1586)), ISNUMBER(SEARCH("churrasco", F1586)), ISNUMBER(SEARCH("bolo", F1586)), ISNUMBER(SEARCH("SUPERMERCADO", F1586))), "6.1 Despesas Administrativas (Pessoal)", IF(OR(ISNUMBER(SEARCH("DLKNET", F1586)), ISNUMBER(SEARCH("TESTE", F1586))), "6.1 Despesas Administrativas (Gerais)", IFERROR(VLOOKUP(H1586, De_Para!A:B, 2, FALSE), "NÃO MAPEADO"))), IFERROR(VLOOKUP(H1586, De_Para!A:B, 2, FALSE), "NÃO MAPEADO"))</f>
        <v/>
      </c>
    </row>
    <row r="1587">
      <c r="A1587" s="2" t="inlineStr">
        <is>
          <t>68099</t>
        </is>
      </c>
      <c r="B1587" s="2" t="inlineStr">
        <is>
          <t>Sicredi SNI</t>
        </is>
      </c>
      <c r="C1587" s="2" t="inlineStr">
        <is>
          <t>08/06/2026</t>
        </is>
      </c>
      <c r="D1587" s="2" t="inlineStr">
        <is>
          <t>03/06/2026</t>
        </is>
      </c>
      <c r="E1587" s="2" t="inlineStr">
        <is>
          <t>Cartão de Débito</t>
        </is>
      </c>
      <c r="F1587" s="2" t="inlineStr">
        <is>
          <t>COMPRAS NACIONAIS TARFIL IRRIGACAO JOAQUIM TAVOR CONTA BEER</t>
        </is>
      </c>
      <c r="G1587" s="2" t="inlineStr">
        <is>
          <t>clau</t>
        </is>
      </c>
      <c r="H1587" s="2" t="inlineStr">
        <is>
          <t>02.03.02.07 : Pro-Labore</t>
        </is>
      </c>
      <c r="I1587" s="2" t="n"/>
      <c r="J1587" s="3" t="n">
        <v>-519.9</v>
      </c>
      <c r="K1587" s="2">
        <f>IF(H1587="02.09 : Outras Saídas", IF(OR(ISNUMBER(SEARCH("CHEQUE COMPE SICREDI", F1587)), ISNUMBER(SEARCH("aniversario", F1587)), ISNUMBER(SEARCH("churrasco", F1587)), ISNUMBER(SEARCH("bolo", F1587)), ISNUMBER(SEARCH("SUPERMERCADO", F1587))), "6.1 Despesas Administrativas (Pessoal)", IF(OR(ISNUMBER(SEARCH("DLKNET", F1587)), ISNUMBER(SEARCH("TESTE", F1587))), "6.1 Despesas Administrativas (Gerais)", IFERROR(VLOOKUP(H1587, De_Para!A:B, 2, FALSE), "NÃO MAPEADO"))), IFERROR(VLOOKUP(H1587, De_Para!A:B, 2, FALSE), "NÃO MAPEADO"))</f>
        <v/>
      </c>
    </row>
    <row r="1588">
      <c r="A1588" s="2" t="inlineStr">
        <is>
          <t>68098</t>
        </is>
      </c>
      <c r="B1588" s="2" t="inlineStr">
        <is>
          <t>Sicredi SNI</t>
        </is>
      </c>
      <c r="C1588" s="2" t="inlineStr">
        <is>
          <t>08/06/2026</t>
        </is>
      </c>
      <c r="D1588" s="2" t="inlineStr">
        <is>
          <t>03/06/2026</t>
        </is>
      </c>
      <c r="E1588" s="2" t="inlineStr">
        <is>
          <t>Cartão de Débito</t>
        </is>
      </c>
      <c r="F1588" s="2" t="inlineStr">
        <is>
          <t>COMPRAS NACIONAIS TARFIL IRRIGACAO JOAQUIM TAVOR</t>
        </is>
      </c>
      <c r="G1588" s="2" t="inlineStr">
        <is>
          <t>clau</t>
        </is>
      </c>
      <c r="H1588" s="2" t="inlineStr">
        <is>
          <t>02.01.03.01 : Reposição de Ferramentas</t>
        </is>
      </c>
      <c r="I1588" s="2" t="n"/>
      <c r="J1588" s="3" t="n">
        <v>-32.95</v>
      </c>
      <c r="K1588" s="2">
        <f>IF(H1588="02.09 : Outras Saídas", IF(OR(ISNUMBER(SEARCH("CHEQUE COMPE SICREDI", F1588)), ISNUMBER(SEARCH("aniversario", F1588)), ISNUMBER(SEARCH("churrasco", F1588)), ISNUMBER(SEARCH("bolo", F1588)), ISNUMBER(SEARCH("SUPERMERCADO", F1588))), "6.1 Despesas Administrativas (Pessoal)", IF(OR(ISNUMBER(SEARCH("DLKNET", F1588)), ISNUMBER(SEARCH("TESTE", F1588))), "6.1 Despesas Administrativas (Gerais)", IFERROR(VLOOKUP(H1588, De_Para!A:B, 2, FALSE), "NÃO MAPEADO"))), IFERROR(VLOOKUP(H1588, De_Para!A:B, 2, FALSE), "NÃO MAPEADO"))</f>
        <v/>
      </c>
    </row>
    <row r="1589">
      <c r="A1589" s="2" t="inlineStr">
        <is>
          <t>68097</t>
        </is>
      </c>
      <c r="B1589" s="2" t="inlineStr">
        <is>
          <t>Sicredi SNI</t>
        </is>
      </c>
      <c r="C1589" s="2" t="inlineStr">
        <is>
          <t>08/06/2026</t>
        </is>
      </c>
      <c r="D1589" s="2" t="inlineStr">
        <is>
          <t>05/06/2026</t>
        </is>
      </c>
      <c r="E1589" s="2" t="inlineStr">
        <is>
          <t>Débito em Conta</t>
        </is>
      </c>
      <c r="F1589" s="2" t="inlineStr">
        <is>
          <t>TARIFA COM R LIQUIDACAO</t>
        </is>
      </c>
      <c r="G1589" s="2" t="inlineStr">
        <is>
          <t>clau</t>
        </is>
      </c>
      <c r="H1589" s="2" t="inlineStr">
        <is>
          <t>02.03.03.09 : TARIFA COM R LIQUIDACAO</t>
        </is>
      </c>
      <c r="I1589" s="2" t="n"/>
      <c r="J1589" s="3" t="n">
        <v>-14.45</v>
      </c>
      <c r="K1589" s="2">
        <f>IF(H1589="02.09 : Outras Saídas", IF(OR(ISNUMBER(SEARCH("CHEQUE COMPE SICREDI", F1589)), ISNUMBER(SEARCH("aniversario", F1589)), ISNUMBER(SEARCH("churrasco", F1589)), ISNUMBER(SEARCH("bolo", F1589)), ISNUMBER(SEARCH("SUPERMERCADO", F1589))), "6.1 Despesas Administrativas (Pessoal)", IF(OR(ISNUMBER(SEARCH("DLKNET", F1589)), ISNUMBER(SEARCH("TESTE", F1589))), "6.1 Despesas Administrativas (Gerais)", IFERROR(VLOOKUP(H1589, De_Para!A:B, 2, FALSE), "NÃO MAPEADO"))), IFERROR(VLOOKUP(H1589, De_Para!A:B, 2, FALSE), "NÃO MAPEADO"))</f>
        <v/>
      </c>
    </row>
    <row r="1590">
      <c r="A1590" s="2" t="inlineStr">
        <is>
          <t>68096</t>
        </is>
      </c>
      <c r="B1590" s="2" t="inlineStr">
        <is>
          <t>Sicredi SNI</t>
        </is>
      </c>
      <c r="C1590" s="2" t="inlineStr">
        <is>
          <t>08/06/2026</t>
        </is>
      </c>
      <c r="D1590" s="2" t="inlineStr">
        <is>
          <t>08/06/2026</t>
        </is>
      </c>
      <c r="E1590" s="2" t="inlineStr">
        <is>
          <t>Débito em Conta</t>
        </is>
      </c>
      <c r="F1590" s="2" t="inlineStr">
        <is>
          <t>TARIFA COM R LIQUIDACAO</t>
        </is>
      </c>
      <c r="G1590" s="2" t="inlineStr">
        <is>
          <t>clau</t>
        </is>
      </c>
      <c r="H1590" s="2" t="inlineStr">
        <is>
          <t>02.03.03.09 : TARIFA COM R LIQUIDACAO</t>
        </is>
      </c>
      <c r="I1590" s="2" t="n"/>
      <c r="J1590" s="3" t="n">
        <v>-1.7</v>
      </c>
      <c r="K1590" s="2">
        <f>IF(H1590="02.09 : Outras Saídas", IF(OR(ISNUMBER(SEARCH("CHEQUE COMPE SICREDI", F1590)), ISNUMBER(SEARCH("aniversario", F1590)), ISNUMBER(SEARCH("churrasco", F1590)), ISNUMBER(SEARCH("bolo", F1590)), ISNUMBER(SEARCH("SUPERMERCADO", F1590))), "6.1 Despesas Administrativas (Pessoal)", IF(OR(ISNUMBER(SEARCH("DLKNET", F1590)), ISNUMBER(SEARCH("TESTE", F1590))), "6.1 Despesas Administrativas (Gerais)", IFERROR(VLOOKUP(H1590, De_Para!A:B, 2, FALSE), "NÃO MAPEADO"))), IFERROR(VLOOKUP(H1590, De_Para!A:B, 2, FALSE), "NÃO MAPEADO"))</f>
        <v/>
      </c>
    </row>
    <row r="1591">
      <c r="A1591" s="2" t="inlineStr">
        <is>
          <t>68095</t>
        </is>
      </c>
      <c r="B1591" s="2" t="inlineStr">
        <is>
          <t>Sicredi SNI</t>
        </is>
      </c>
      <c r="C1591" s="2" t="inlineStr">
        <is>
          <t>08/06/2026</t>
        </is>
      </c>
      <c r="D1591" s="2" t="inlineStr">
        <is>
          <t>05/06/2026</t>
        </is>
      </c>
      <c r="E1591" s="2" t="inlineStr">
        <is>
          <t>Débito em Conta</t>
        </is>
      </c>
      <c r="F1591" s="2" t="inlineStr">
        <is>
          <t>MANUTENCAO DE TITULOS</t>
        </is>
      </c>
      <c r="G1591" s="2" t="inlineStr">
        <is>
          <t>clau</t>
        </is>
      </c>
      <c r="H1591" s="2" t="inlineStr">
        <is>
          <t>02.03.03.06 : MANUTENCAO DE TITULOS</t>
        </is>
      </c>
      <c r="I1591" s="2" t="n"/>
      <c r="J1591" s="3" t="n">
        <v>-0.53</v>
      </c>
      <c r="K1591" s="2">
        <f>IF(H1591="02.09 : Outras Saídas", IF(OR(ISNUMBER(SEARCH("CHEQUE COMPE SICREDI", F1591)), ISNUMBER(SEARCH("aniversario", F1591)), ISNUMBER(SEARCH("churrasco", F1591)), ISNUMBER(SEARCH("bolo", F1591)), ISNUMBER(SEARCH("SUPERMERCADO", F1591))), "6.1 Despesas Administrativas (Pessoal)", IF(OR(ISNUMBER(SEARCH("DLKNET", F1591)), ISNUMBER(SEARCH("TESTE", F1591))), "6.1 Despesas Administrativas (Gerais)", IFERROR(VLOOKUP(H1591, De_Para!A:B, 2, FALSE), "NÃO MAPEADO"))), IFERROR(VLOOKUP(H1591, De_Para!A:B, 2, FALSE), "NÃO MAPEADO"))</f>
        <v/>
      </c>
    </row>
    <row r="1592">
      <c r="A1592" s="2" t="inlineStr">
        <is>
          <t>68094</t>
        </is>
      </c>
      <c r="B1592" s="2" t="inlineStr">
        <is>
          <t>Sicredi SNI</t>
        </is>
      </c>
      <c r="C1592" s="2" t="inlineStr">
        <is>
          <t>08/06/2026</t>
        </is>
      </c>
      <c r="D1592" s="2" t="inlineStr">
        <is>
          <t>08/06/2026</t>
        </is>
      </c>
      <c r="E1592" s="2" t="inlineStr">
        <is>
          <t>PIX</t>
        </is>
      </c>
      <c r="F1592" s="2" t="inlineStr">
        <is>
          <t>PAGAMENTO PIX 32746668000179 CRT04 PRSC ANUIDADE CRT EDISON CARLOS DOS SANTOS</t>
        </is>
      </c>
      <c r="G1592" s="2" t="inlineStr">
        <is>
          <t>clau</t>
        </is>
      </c>
      <c r="H1592" s="2" t="inlineStr">
        <is>
          <t>02.03.02.07 : Pro-Labore</t>
        </is>
      </c>
      <c r="I1592" s="2" t="n"/>
      <c r="J1592" s="3" t="n">
        <v>-392.64</v>
      </c>
      <c r="K1592" s="2">
        <f>IF(H1592="02.09 : Outras Saídas", IF(OR(ISNUMBER(SEARCH("CHEQUE COMPE SICREDI", F1592)), ISNUMBER(SEARCH("aniversario", F1592)), ISNUMBER(SEARCH("churrasco", F1592)), ISNUMBER(SEARCH("bolo", F1592)), ISNUMBER(SEARCH("SUPERMERCADO", F1592))), "6.1 Despesas Administrativas (Pessoal)", IF(OR(ISNUMBER(SEARCH("DLKNET", F1592)), ISNUMBER(SEARCH("TESTE", F1592))), "6.1 Despesas Administrativas (Gerais)", IFERROR(VLOOKUP(H1592, De_Para!A:B, 2, FALSE), "NÃO MAPEADO"))), IFERROR(VLOOKUP(H1592, De_Para!A:B, 2, FALSE), "NÃO MAPEADO"))</f>
        <v/>
      </c>
    </row>
    <row r="1593">
      <c r="A1593" s="2" t="inlineStr">
        <is>
          <t>68093</t>
        </is>
      </c>
      <c r="B1593" s="2" t="inlineStr">
        <is>
          <t>Sicredi SNI</t>
        </is>
      </c>
      <c r="C1593" s="2" t="inlineStr">
        <is>
          <t>08/06/2026</t>
        </is>
      </c>
      <c r="D1593" s="2" t="inlineStr">
        <is>
          <t>08/06/2026</t>
        </is>
      </c>
      <c r="E1593" s="2" t="inlineStr">
        <is>
          <t>Cartão de Débito</t>
        </is>
      </c>
      <c r="F1593" s="2" t="inlineStr">
        <is>
          <t>COMPRAS NACIONAIS POSTO MAZOTI JOAQUIM TAVORBR</t>
        </is>
      </c>
      <c r="G1593" s="2" t="inlineStr">
        <is>
          <t>clau</t>
        </is>
      </c>
      <c r="H1593" s="2" t="inlineStr">
        <is>
          <t>02.01.04.01 : Combustivel</t>
        </is>
      </c>
      <c r="I1593" s="2" t="n"/>
      <c r="J1593" s="3" t="n">
        <v>-258.52</v>
      </c>
      <c r="K1593" s="2">
        <f>IF(H1593="02.09 : Outras Saídas", IF(OR(ISNUMBER(SEARCH("CHEQUE COMPE SICREDI", F1593)), ISNUMBER(SEARCH("aniversario", F1593)), ISNUMBER(SEARCH("churrasco", F1593)), ISNUMBER(SEARCH("bolo", F1593)), ISNUMBER(SEARCH("SUPERMERCADO", F1593))), "6.1 Despesas Administrativas (Pessoal)", IF(OR(ISNUMBER(SEARCH("DLKNET", F1593)), ISNUMBER(SEARCH("TESTE", F1593))), "6.1 Despesas Administrativas (Gerais)", IFERROR(VLOOKUP(H1593, De_Para!A:B, 2, FALSE), "NÃO MAPEADO"))), IFERROR(VLOOKUP(H1593, De_Para!A:B, 2, FALSE), "NÃO MAPEADO"))</f>
        <v/>
      </c>
    </row>
    <row r="1594">
      <c r="A1594" s="2" t="inlineStr">
        <is>
          <t>68092</t>
        </is>
      </c>
      <c r="B1594" s="2" t="inlineStr">
        <is>
          <t>Sicredi SNI</t>
        </is>
      </c>
      <c r="C1594" s="2" t="inlineStr">
        <is>
          <t>08/06/2026</t>
        </is>
      </c>
      <c r="D1594" s="2" t="inlineStr">
        <is>
          <t>06/06/2026</t>
        </is>
      </c>
      <c r="E1594" s="2" t="inlineStr">
        <is>
          <t>PIX</t>
        </is>
      </c>
      <c r="F1594" s="2" t="inlineStr">
        <is>
          <t>PAGAMENTO PIX 38372267000182 SHPP BRASIL INSTITU</t>
        </is>
      </c>
      <c r="G1594" s="2" t="inlineStr">
        <is>
          <t>clau</t>
        </is>
      </c>
      <c r="H1594" s="2" t="inlineStr">
        <is>
          <t>02.03.02.07 : Pro-Labore</t>
        </is>
      </c>
      <c r="I1594" s="2" t="n"/>
      <c r="J1594" s="3" t="n">
        <v>-302.87</v>
      </c>
      <c r="K1594" s="2">
        <f>IF(H1594="02.09 : Outras Saídas", IF(OR(ISNUMBER(SEARCH("CHEQUE COMPE SICREDI", F1594)), ISNUMBER(SEARCH("aniversario", F1594)), ISNUMBER(SEARCH("churrasco", F1594)), ISNUMBER(SEARCH("bolo", F1594)), ISNUMBER(SEARCH("SUPERMERCADO", F1594))), "6.1 Despesas Administrativas (Pessoal)", IF(OR(ISNUMBER(SEARCH("DLKNET", F1594)), ISNUMBER(SEARCH("TESTE", F1594))), "6.1 Despesas Administrativas (Gerais)", IFERROR(VLOOKUP(H1594, De_Para!A:B, 2, FALSE), "NÃO MAPEADO"))), IFERROR(VLOOKUP(H1594, De_Para!A:B, 2, FALSE), "NÃO MAPEADO"))</f>
        <v/>
      </c>
    </row>
    <row r="1595">
      <c r="A1595" s="2" t="inlineStr">
        <is>
          <t>68091</t>
        </is>
      </c>
      <c r="B1595" s="2" t="inlineStr">
        <is>
          <t>Sicredi SNI</t>
        </is>
      </c>
      <c r="C1595" s="2" t="inlineStr">
        <is>
          <t>08/06/2026</t>
        </is>
      </c>
      <c r="D1595" s="2" t="inlineStr">
        <is>
          <t>06/06/2026</t>
        </is>
      </c>
      <c r="E1595" s="2" t="inlineStr">
        <is>
          <t>PIX</t>
        </is>
      </c>
      <c r="F1595" s="2" t="inlineStr">
        <is>
          <t>PAGAMENTO PIX 15278560975 VITORIA YASMIN TELLES ROSE BEER</t>
        </is>
      </c>
      <c r="G1595" s="2" t="inlineStr">
        <is>
          <t>clau</t>
        </is>
      </c>
      <c r="H1595" s="2" t="inlineStr">
        <is>
          <t>02.03.02.07 : Pro-Labore</t>
        </is>
      </c>
      <c r="I1595" s="2" t="n"/>
      <c r="J1595" s="3" t="n">
        <v>-1500</v>
      </c>
      <c r="K1595" s="2">
        <f>IF(H1595="02.09 : Outras Saídas", IF(OR(ISNUMBER(SEARCH("CHEQUE COMPE SICREDI", F1595)), ISNUMBER(SEARCH("aniversario", F1595)), ISNUMBER(SEARCH("churrasco", F1595)), ISNUMBER(SEARCH("bolo", F1595)), ISNUMBER(SEARCH("SUPERMERCADO", F1595))), "6.1 Despesas Administrativas (Pessoal)", IF(OR(ISNUMBER(SEARCH("DLKNET", F1595)), ISNUMBER(SEARCH("TESTE", F1595))), "6.1 Despesas Administrativas (Gerais)", IFERROR(VLOOKUP(H1595, De_Para!A:B, 2, FALSE), "NÃO MAPEADO"))), IFERROR(VLOOKUP(H1595, De_Para!A:B, 2, FALSE), "NÃO MAPEADO"))</f>
        <v/>
      </c>
    </row>
    <row r="1596">
      <c r="A1596" s="2" t="inlineStr">
        <is>
          <t>68090</t>
        </is>
      </c>
      <c r="B1596" s="2" t="inlineStr">
        <is>
          <t>Sicredi SNI</t>
        </is>
      </c>
      <c r="C1596" s="2" t="inlineStr">
        <is>
          <t>08/06/2026</t>
        </is>
      </c>
      <c r="D1596" s="2" t="inlineStr">
        <is>
          <t>06/06/2026</t>
        </is>
      </c>
      <c r="E1596" s="2" t="inlineStr">
        <is>
          <t>Boleto</t>
        </is>
      </c>
      <c r="F1596" s="2" t="inlineStr">
        <is>
          <t>LIQUIDACAO BOLETO SICREDI 14219043000177 BICO FR BOLETO BEER</t>
        </is>
      </c>
      <c r="G1596" s="2" t="inlineStr">
        <is>
          <t>clau</t>
        </is>
      </c>
      <c r="H1596" s="2" t="inlineStr">
        <is>
          <t>02.03.02.07 : Pro-Labore</t>
        </is>
      </c>
      <c r="I1596" s="2" t="n"/>
      <c r="J1596" s="3" t="n">
        <v>-1303.26</v>
      </c>
      <c r="K1596" s="2">
        <f>IF(H1596="02.09 : Outras Saídas", IF(OR(ISNUMBER(SEARCH("CHEQUE COMPE SICREDI", F1596)), ISNUMBER(SEARCH("aniversario", F1596)), ISNUMBER(SEARCH("churrasco", F1596)), ISNUMBER(SEARCH("bolo", F1596)), ISNUMBER(SEARCH("SUPERMERCADO", F1596))), "6.1 Despesas Administrativas (Pessoal)", IF(OR(ISNUMBER(SEARCH("DLKNET", F1596)), ISNUMBER(SEARCH("TESTE", F1596))), "6.1 Despesas Administrativas (Gerais)", IFERROR(VLOOKUP(H1596, De_Para!A:B, 2, FALSE), "NÃO MAPEADO"))), IFERROR(VLOOKUP(H1596, De_Para!A:B, 2, FALSE), "NÃO MAPEADO"))</f>
        <v/>
      </c>
    </row>
    <row r="1597">
      <c r="A1597" s="2" t="inlineStr">
        <is>
          <t>68089</t>
        </is>
      </c>
      <c r="B1597" s="2" t="inlineStr">
        <is>
          <t>Sicredi SNI</t>
        </is>
      </c>
      <c r="C1597" s="2" t="inlineStr">
        <is>
          <t>08/06/2026</t>
        </is>
      </c>
      <c r="D1597" s="2" t="inlineStr">
        <is>
          <t>08/06/2026</t>
        </is>
      </c>
      <c r="E1597" s="2" t="inlineStr">
        <is>
          <t>PIX</t>
        </is>
      </c>
      <c r="F1597" s="2" t="inlineStr">
        <is>
          <t>Boleto "55938" do cliente "IDIANE MUNHOZ DO CARMO"</t>
        </is>
      </c>
      <c r="G1597" s="2" t="inlineStr">
        <is>
          <t>system</t>
        </is>
      </c>
      <c r="H1597" s="2" t="inlineStr">
        <is>
          <t>02.03.02.01 : Cobrança Bancaria</t>
        </is>
      </c>
      <c r="I1597" s="2" t="n"/>
      <c r="J1597" s="3" t="n">
        <v>-0.49</v>
      </c>
      <c r="K1597" s="2">
        <f>IF(H1597="02.09 : Outras Saídas", IF(OR(ISNUMBER(SEARCH("CHEQUE COMPE SICREDI", F1597)), ISNUMBER(SEARCH("aniversario", F1597)), ISNUMBER(SEARCH("churrasco", F1597)), ISNUMBER(SEARCH("bolo", F1597)), ISNUMBER(SEARCH("SUPERMERCADO", F1597))), "6.1 Despesas Administrativas (Pessoal)", IF(OR(ISNUMBER(SEARCH("DLKNET", F1597)), ISNUMBER(SEARCH("TESTE", F1597))), "6.1 Despesas Administrativas (Gerais)", IFERROR(VLOOKUP(H1597, De_Para!A:B, 2, FALSE), "NÃO MAPEADO"))), IFERROR(VLOOKUP(H1597, De_Para!A:B, 2, FALSE), "NÃO MAPEADO"))</f>
        <v/>
      </c>
    </row>
    <row r="1598">
      <c r="A1598" s="2" t="inlineStr">
        <is>
          <t>68088</t>
        </is>
      </c>
      <c r="B1598" s="2" t="inlineStr">
        <is>
          <t>Sicredi SNI</t>
        </is>
      </c>
      <c r="C1598" s="2" t="inlineStr">
        <is>
          <t>08/06/2026</t>
        </is>
      </c>
      <c r="D1598" s="2" t="inlineStr">
        <is>
          <t>08/06/2026</t>
        </is>
      </c>
      <c r="E1598" s="2" t="inlineStr">
        <is>
          <t>PIX</t>
        </is>
      </c>
      <c r="F1598" s="2" t="inlineStr">
        <is>
          <t>Boleto "55938" do cliente "IDIANE MUNHOZ DO CARMO"</t>
        </is>
      </c>
      <c r="G1598" s="2" t="inlineStr">
        <is>
          <t>system</t>
        </is>
      </c>
      <c r="H1598" s="2" t="inlineStr">
        <is>
          <t>01.01.01 : Mensalidade</t>
        </is>
      </c>
      <c r="I1598" s="3" t="n">
        <v>105</v>
      </c>
      <c r="J1598" s="2" t="n"/>
      <c r="K1598" s="2">
        <f>IF(H1598="02.09 : Outras Saídas", IF(OR(ISNUMBER(SEARCH("CHEQUE COMPE SICREDI", F1598)), ISNUMBER(SEARCH("aniversario", F1598)), ISNUMBER(SEARCH("churrasco", F1598)), ISNUMBER(SEARCH("bolo", F1598)), ISNUMBER(SEARCH("SUPERMERCADO", F1598))), "6.1 Despesas Administrativas (Pessoal)", IF(OR(ISNUMBER(SEARCH("DLKNET", F1598)), ISNUMBER(SEARCH("TESTE", F1598))), "6.1 Despesas Administrativas (Gerais)", IFERROR(VLOOKUP(H1598, De_Para!A:B, 2, FALSE), "NÃO MAPEADO"))), IFERROR(VLOOKUP(H1598, De_Para!A:B, 2, FALSE), "NÃO MAPEADO"))</f>
        <v/>
      </c>
    </row>
    <row r="1599">
      <c r="A1599" s="2" t="inlineStr">
        <is>
          <t>68087</t>
        </is>
      </c>
      <c r="B1599" s="2" t="inlineStr">
        <is>
          <t>Sicredi SNI</t>
        </is>
      </c>
      <c r="C1599" s="2" t="inlineStr">
        <is>
          <t>08/06/2026</t>
        </is>
      </c>
      <c r="D1599" s="2" t="inlineStr">
        <is>
          <t>08/06/2026</t>
        </is>
      </c>
      <c r="E1599" s="2" t="inlineStr">
        <is>
          <t>PIX</t>
        </is>
      </c>
      <c r="F1599" s="2" t="inlineStr">
        <is>
          <t>Boleto "64132" do cliente "MARCILIO LOPES QUEIROS"</t>
        </is>
      </c>
      <c r="G1599" s="2" t="inlineStr">
        <is>
          <t>system</t>
        </is>
      </c>
      <c r="H1599" s="2" t="inlineStr">
        <is>
          <t>02.03.02.01 : Cobrança Bancaria</t>
        </is>
      </c>
      <c r="I1599" s="2" t="n"/>
      <c r="J1599" s="3" t="n">
        <v>-0.49</v>
      </c>
      <c r="K1599" s="2">
        <f>IF(H1599="02.09 : Outras Saídas", IF(OR(ISNUMBER(SEARCH("CHEQUE COMPE SICREDI", F1599)), ISNUMBER(SEARCH("aniversario", F1599)), ISNUMBER(SEARCH("churrasco", F1599)), ISNUMBER(SEARCH("bolo", F1599)), ISNUMBER(SEARCH("SUPERMERCADO", F1599))), "6.1 Despesas Administrativas (Pessoal)", IF(OR(ISNUMBER(SEARCH("DLKNET", F1599)), ISNUMBER(SEARCH("TESTE", F1599))), "6.1 Despesas Administrativas (Gerais)", IFERROR(VLOOKUP(H1599, De_Para!A:B, 2, FALSE), "NÃO MAPEADO"))), IFERROR(VLOOKUP(H1599, De_Para!A:B, 2, FALSE), "NÃO MAPEADO"))</f>
        <v/>
      </c>
    </row>
    <row r="1600">
      <c r="A1600" s="2" t="inlineStr">
        <is>
          <t>68086</t>
        </is>
      </c>
      <c r="B1600" s="2" t="inlineStr">
        <is>
          <t>Sicredi SNI</t>
        </is>
      </c>
      <c r="C1600" s="2" t="inlineStr">
        <is>
          <t>08/06/2026</t>
        </is>
      </c>
      <c r="D1600" s="2" t="inlineStr">
        <is>
          <t>08/06/2026</t>
        </is>
      </c>
      <c r="E1600" s="2" t="inlineStr">
        <is>
          <t>PIX</t>
        </is>
      </c>
      <c r="F1600" s="2" t="inlineStr">
        <is>
          <t>Boleto "64132" do cliente "MARCILIO LOPES QUEIROS"</t>
        </is>
      </c>
      <c r="G1600" s="2" t="inlineStr">
        <is>
          <t>system</t>
        </is>
      </c>
      <c r="H1600" s="2" t="inlineStr">
        <is>
          <t>01.01.01 : Mensalidade</t>
        </is>
      </c>
      <c r="I1600" s="3" t="n">
        <v>104.9</v>
      </c>
      <c r="J1600" s="2" t="n"/>
      <c r="K1600" s="2">
        <f>IF(H1600="02.09 : Outras Saídas", IF(OR(ISNUMBER(SEARCH("CHEQUE COMPE SICREDI", F1600)), ISNUMBER(SEARCH("aniversario", F1600)), ISNUMBER(SEARCH("churrasco", F1600)), ISNUMBER(SEARCH("bolo", F1600)), ISNUMBER(SEARCH("SUPERMERCADO", F1600))), "6.1 Despesas Administrativas (Pessoal)", IF(OR(ISNUMBER(SEARCH("DLKNET", F1600)), ISNUMBER(SEARCH("TESTE", F1600))), "6.1 Despesas Administrativas (Gerais)", IFERROR(VLOOKUP(H1600, De_Para!A:B, 2, FALSE), "NÃO MAPEADO"))), IFERROR(VLOOKUP(H1600, De_Para!A:B, 2, FALSE), "NÃO MAPEADO"))</f>
        <v/>
      </c>
    </row>
    <row r="1601">
      <c r="A1601" s="2" t="inlineStr">
        <is>
          <t>68085</t>
        </is>
      </c>
      <c r="B1601" s="2" t="inlineStr">
        <is>
          <t>Sicredi SNI</t>
        </is>
      </c>
      <c r="C1601" s="2" t="inlineStr">
        <is>
          <t>08/06/2026</t>
        </is>
      </c>
      <c r="D1601" s="2" t="inlineStr">
        <is>
          <t>08/06/2026</t>
        </is>
      </c>
      <c r="E1601" s="2" t="inlineStr">
        <is>
          <t>Dinheiro</t>
        </is>
      </c>
      <c r="F1601" s="2" t="inlineStr">
        <is>
          <t>Boleto "62764" do cliente "ILIONICE FRANCISCO DOS SANTOS"</t>
        </is>
      </c>
      <c r="G1601" s="2" t="inlineStr">
        <is>
          <t>system</t>
        </is>
      </c>
      <c r="H1601" s="2" t="inlineStr">
        <is>
          <t>02.03.02.01 : Cobrança Bancaria</t>
        </is>
      </c>
      <c r="I1601" s="2" t="n"/>
      <c r="J1601" s="3" t="n">
        <v>-1.08</v>
      </c>
      <c r="K1601" s="2">
        <f>IF(H1601="02.09 : Outras Saídas", IF(OR(ISNUMBER(SEARCH("CHEQUE COMPE SICREDI", F1601)), ISNUMBER(SEARCH("aniversario", F1601)), ISNUMBER(SEARCH("churrasco", F1601)), ISNUMBER(SEARCH("bolo", F1601)), ISNUMBER(SEARCH("SUPERMERCADO", F1601))), "6.1 Despesas Administrativas (Pessoal)", IF(OR(ISNUMBER(SEARCH("DLKNET", F1601)), ISNUMBER(SEARCH("TESTE", F1601))), "6.1 Despesas Administrativas (Gerais)", IFERROR(VLOOKUP(H1601, De_Para!A:B, 2, FALSE), "NÃO MAPEADO"))), IFERROR(VLOOKUP(H1601, De_Para!A:B, 2, FALSE), "NÃO MAPEADO"))</f>
        <v/>
      </c>
    </row>
    <row r="1602">
      <c r="A1602" s="2" t="inlineStr">
        <is>
          <t>68084</t>
        </is>
      </c>
      <c r="B1602" s="2" t="inlineStr">
        <is>
          <t>Sicredi SNI</t>
        </is>
      </c>
      <c r="C1602" s="2" t="inlineStr">
        <is>
          <t>08/06/2026</t>
        </is>
      </c>
      <c r="D1602" s="2" t="inlineStr">
        <is>
          <t>08/06/2026</t>
        </is>
      </c>
      <c r="E1602" s="2" t="inlineStr">
        <is>
          <t>Dinheiro</t>
        </is>
      </c>
      <c r="F1602" s="2" t="inlineStr">
        <is>
          <t>Boleto "62764" do cliente "ILIONICE FRANCISCO DOS SANTOS"</t>
        </is>
      </c>
      <c r="G1602" s="2" t="inlineStr">
        <is>
          <t>system</t>
        </is>
      </c>
      <c r="H1602" s="2" t="inlineStr">
        <is>
          <t>01.03.01 : Mensalidade</t>
        </is>
      </c>
      <c r="I1602" s="3" t="n">
        <v>107.19</v>
      </c>
      <c r="J1602" s="2" t="n"/>
      <c r="K1602" s="2">
        <f>IF(H1602="02.09 : Outras Saídas", IF(OR(ISNUMBER(SEARCH("CHEQUE COMPE SICREDI", F1602)), ISNUMBER(SEARCH("aniversario", F1602)), ISNUMBER(SEARCH("churrasco", F1602)), ISNUMBER(SEARCH("bolo", F1602)), ISNUMBER(SEARCH("SUPERMERCADO", F1602))), "6.1 Despesas Administrativas (Pessoal)", IF(OR(ISNUMBER(SEARCH("DLKNET", F1602)), ISNUMBER(SEARCH("TESTE", F1602))), "6.1 Despesas Administrativas (Gerais)", IFERROR(VLOOKUP(H1602, De_Para!A:B, 2, FALSE), "NÃO MAPEADO"))), IFERROR(VLOOKUP(H1602, De_Para!A:B, 2, FALSE), "NÃO MAPEADO"))</f>
        <v/>
      </c>
    </row>
    <row r="1603">
      <c r="A1603" s="2" t="inlineStr">
        <is>
          <t>68083</t>
        </is>
      </c>
      <c r="B1603" s="2" t="inlineStr">
        <is>
          <t>Sicredi SNI</t>
        </is>
      </c>
      <c r="C1603" s="2" t="inlineStr">
        <is>
          <t>08/06/2026</t>
        </is>
      </c>
      <c r="D1603" s="2" t="inlineStr">
        <is>
          <t>08/06/2026</t>
        </is>
      </c>
      <c r="E1603" s="2" t="inlineStr">
        <is>
          <t>Dinheiro</t>
        </is>
      </c>
      <c r="F1603" s="2" t="inlineStr">
        <is>
          <t>Boleto "62232" do cliente "MARCOS HENRIQUE DE LIMA"</t>
        </is>
      </c>
      <c r="G1603" s="2" t="inlineStr">
        <is>
          <t>system</t>
        </is>
      </c>
      <c r="H1603" s="2" t="inlineStr">
        <is>
          <t>02.03.02.01 : Cobrança Bancaria</t>
        </is>
      </c>
      <c r="I1603" s="2" t="n"/>
      <c r="J1603" s="3" t="n">
        <v>-1.08</v>
      </c>
      <c r="K1603" s="2">
        <f>IF(H1603="02.09 : Outras Saídas", IF(OR(ISNUMBER(SEARCH("CHEQUE COMPE SICREDI", F1603)), ISNUMBER(SEARCH("aniversario", F1603)), ISNUMBER(SEARCH("churrasco", F1603)), ISNUMBER(SEARCH("bolo", F1603)), ISNUMBER(SEARCH("SUPERMERCADO", F1603))), "6.1 Despesas Administrativas (Pessoal)", IF(OR(ISNUMBER(SEARCH("DLKNET", F1603)), ISNUMBER(SEARCH("TESTE", F1603))), "6.1 Despesas Administrativas (Gerais)", IFERROR(VLOOKUP(H1603, De_Para!A:B, 2, FALSE), "NÃO MAPEADO"))), IFERROR(VLOOKUP(H1603, De_Para!A:B, 2, FALSE), "NÃO MAPEADO"))</f>
        <v/>
      </c>
    </row>
    <row r="1604">
      <c r="A1604" s="2" t="inlineStr">
        <is>
          <t>68082</t>
        </is>
      </c>
      <c r="B1604" s="2" t="inlineStr">
        <is>
          <t>Sicredi SNI</t>
        </is>
      </c>
      <c r="C1604" s="2" t="inlineStr">
        <is>
          <t>08/06/2026</t>
        </is>
      </c>
      <c r="D1604" s="2" t="inlineStr">
        <is>
          <t>08/06/2026</t>
        </is>
      </c>
      <c r="E1604" s="2" t="inlineStr">
        <is>
          <t>Dinheiro</t>
        </is>
      </c>
      <c r="F1604" s="2" t="inlineStr">
        <is>
          <t>Boleto "62232" do cliente "MARCOS HENRIQUE DE LIMA"</t>
        </is>
      </c>
      <c r="G1604" s="2" t="inlineStr">
        <is>
          <t>system</t>
        </is>
      </c>
      <c r="H1604" s="2" t="inlineStr">
        <is>
          <t>01.03.01 : Mensalidade</t>
        </is>
      </c>
      <c r="I1604" s="3" t="n">
        <v>105</v>
      </c>
      <c r="J1604" s="2" t="n"/>
      <c r="K1604" s="2">
        <f>IF(H1604="02.09 : Outras Saídas", IF(OR(ISNUMBER(SEARCH("CHEQUE COMPE SICREDI", F1604)), ISNUMBER(SEARCH("aniversario", F1604)), ISNUMBER(SEARCH("churrasco", F1604)), ISNUMBER(SEARCH("bolo", F1604)), ISNUMBER(SEARCH("SUPERMERCADO", F1604))), "6.1 Despesas Administrativas (Pessoal)", IF(OR(ISNUMBER(SEARCH("DLKNET", F1604)), ISNUMBER(SEARCH("TESTE", F1604))), "6.1 Despesas Administrativas (Gerais)", IFERROR(VLOOKUP(H1604, De_Para!A:B, 2, FALSE), "NÃO MAPEADO"))), IFERROR(VLOOKUP(H1604, De_Para!A:B, 2, FALSE), "NÃO MAPEADO"))</f>
        <v/>
      </c>
    </row>
    <row r="1605">
      <c r="A1605" s="2" t="inlineStr">
        <is>
          <t>68081</t>
        </is>
      </c>
      <c r="B1605" s="2" t="inlineStr">
        <is>
          <t>Sicredi SNI</t>
        </is>
      </c>
      <c r="C1605" s="2" t="inlineStr">
        <is>
          <t>08/06/2026</t>
        </is>
      </c>
      <c r="D1605" s="2" t="inlineStr">
        <is>
          <t>08/06/2026</t>
        </is>
      </c>
      <c r="E1605" s="2" t="inlineStr">
        <is>
          <t>Dinheiro</t>
        </is>
      </c>
      <c r="F1605" s="2" t="inlineStr">
        <is>
          <t>Boleto "59928" do cliente "EVERSON DA SILVA MOTA"</t>
        </is>
      </c>
      <c r="G1605" s="2" t="inlineStr">
        <is>
          <t>system</t>
        </is>
      </c>
      <c r="H1605" s="2" t="inlineStr">
        <is>
          <t>02.03.02.01 : Cobrança Bancaria</t>
        </is>
      </c>
      <c r="I1605" s="2" t="n"/>
      <c r="J1605" s="3" t="n">
        <v>-1.08</v>
      </c>
      <c r="K1605" s="2">
        <f>IF(H1605="02.09 : Outras Saídas", IF(OR(ISNUMBER(SEARCH("CHEQUE COMPE SICREDI", F1605)), ISNUMBER(SEARCH("aniversario", F1605)), ISNUMBER(SEARCH("churrasco", F1605)), ISNUMBER(SEARCH("bolo", F1605)), ISNUMBER(SEARCH("SUPERMERCADO", F1605))), "6.1 Despesas Administrativas (Pessoal)", IF(OR(ISNUMBER(SEARCH("DLKNET", F1605)), ISNUMBER(SEARCH("TESTE", F1605))), "6.1 Despesas Administrativas (Gerais)", IFERROR(VLOOKUP(H1605, De_Para!A:B, 2, FALSE), "NÃO MAPEADO"))), IFERROR(VLOOKUP(H1605, De_Para!A:B, 2, FALSE), "NÃO MAPEADO"))</f>
        <v/>
      </c>
    </row>
    <row r="1606">
      <c r="A1606" s="2" t="inlineStr">
        <is>
          <t>68080</t>
        </is>
      </c>
      <c r="B1606" s="2" t="inlineStr">
        <is>
          <t>Sicredi SNI</t>
        </is>
      </c>
      <c r="C1606" s="2" t="inlineStr">
        <is>
          <t>08/06/2026</t>
        </is>
      </c>
      <c r="D1606" s="2" t="inlineStr">
        <is>
          <t>08/06/2026</t>
        </is>
      </c>
      <c r="E1606" s="2" t="inlineStr">
        <is>
          <t>Dinheiro</t>
        </is>
      </c>
      <c r="F1606" s="2" t="inlineStr">
        <is>
          <t>Boleto "59928" do cliente "EVERSON DA SILVA MOTA"</t>
        </is>
      </c>
      <c r="G1606" s="2" t="inlineStr">
        <is>
          <t>system</t>
        </is>
      </c>
      <c r="H1606" s="2" t="inlineStr">
        <is>
          <t>01.01.01 : Mensalidade</t>
        </is>
      </c>
      <c r="I1606" s="3" t="n">
        <v>105</v>
      </c>
      <c r="J1606" s="2" t="n"/>
      <c r="K1606" s="2">
        <f>IF(H1606="02.09 : Outras Saídas", IF(OR(ISNUMBER(SEARCH("CHEQUE COMPE SICREDI", F1606)), ISNUMBER(SEARCH("aniversario", F1606)), ISNUMBER(SEARCH("churrasco", F1606)), ISNUMBER(SEARCH("bolo", F1606)), ISNUMBER(SEARCH("SUPERMERCADO", F1606))), "6.1 Despesas Administrativas (Pessoal)", IF(OR(ISNUMBER(SEARCH("DLKNET", F1606)), ISNUMBER(SEARCH("TESTE", F1606))), "6.1 Despesas Administrativas (Gerais)", IFERROR(VLOOKUP(H1606, De_Para!A:B, 2, FALSE), "NÃO MAPEADO"))), IFERROR(VLOOKUP(H1606, De_Para!A:B, 2, FALSE), "NÃO MAPEADO"))</f>
        <v/>
      </c>
    </row>
    <row r="1607">
      <c r="A1607" s="2" t="inlineStr">
        <is>
          <t>68079</t>
        </is>
      </c>
      <c r="B1607" s="2" t="inlineStr">
        <is>
          <t>Sicredi SNI</t>
        </is>
      </c>
      <c r="C1607" s="2" t="inlineStr">
        <is>
          <t>08/06/2026</t>
        </is>
      </c>
      <c r="D1607" s="2" t="inlineStr">
        <is>
          <t>08/06/2026</t>
        </is>
      </c>
      <c r="E1607" s="2" t="inlineStr">
        <is>
          <t>Dinheiro</t>
        </is>
      </c>
      <c r="F1607" s="2" t="inlineStr">
        <is>
          <t>Boleto "56909" do cliente "SONIA MARIA DIAS NONATO"</t>
        </is>
      </c>
      <c r="G1607" s="2" t="inlineStr">
        <is>
          <t>system</t>
        </is>
      </c>
      <c r="H1607" s="2" t="inlineStr">
        <is>
          <t>02.03.02.01 : Cobrança Bancaria</t>
        </is>
      </c>
      <c r="I1607" s="2" t="n"/>
      <c r="J1607" s="3" t="n">
        <v>-1.08</v>
      </c>
      <c r="K1607" s="2">
        <f>IF(H1607="02.09 : Outras Saídas", IF(OR(ISNUMBER(SEARCH("CHEQUE COMPE SICREDI", F1607)), ISNUMBER(SEARCH("aniversario", F1607)), ISNUMBER(SEARCH("churrasco", F1607)), ISNUMBER(SEARCH("bolo", F1607)), ISNUMBER(SEARCH("SUPERMERCADO", F1607))), "6.1 Despesas Administrativas (Pessoal)", IF(OR(ISNUMBER(SEARCH("DLKNET", F1607)), ISNUMBER(SEARCH("TESTE", F1607))), "6.1 Despesas Administrativas (Gerais)", IFERROR(VLOOKUP(H1607, De_Para!A:B, 2, FALSE), "NÃO MAPEADO"))), IFERROR(VLOOKUP(H1607, De_Para!A:B, 2, FALSE), "NÃO MAPEADO"))</f>
        <v/>
      </c>
    </row>
    <row r="1608">
      <c r="A1608" s="2" t="inlineStr">
        <is>
          <t>68078</t>
        </is>
      </c>
      <c r="B1608" s="2" t="inlineStr">
        <is>
          <t>Sicredi SNI</t>
        </is>
      </c>
      <c r="C1608" s="2" t="inlineStr">
        <is>
          <t>08/06/2026</t>
        </is>
      </c>
      <c r="D1608" s="2" t="inlineStr">
        <is>
          <t>08/06/2026</t>
        </is>
      </c>
      <c r="E1608" s="2" t="inlineStr">
        <is>
          <t>Dinheiro</t>
        </is>
      </c>
      <c r="F1608" s="2" t="inlineStr">
        <is>
          <t>Boleto "56909" do cliente "SONIA MARIA DIAS NONATO"</t>
        </is>
      </c>
      <c r="G1608" s="2" t="inlineStr">
        <is>
          <t>system</t>
        </is>
      </c>
      <c r="H1608" s="2" t="inlineStr">
        <is>
          <t>01.01.01 : Mensalidade</t>
        </is>
      </c>
      <c r="I1608" s="3" t="n">
        <v>105</v>
      </c>
      <c r="J1608" s="2" t="n"/>
      <c r="K1608" s="2">
        <f>IF(H1608="02.09 : Outras Saídas", IF(OR(ISNUMBER(SEARCH("CHEQUE COMPE SICREDI", F1608)), ISNUMBER(SEARCH("aniversario", F1608)), ISNUMBER(SEARCH("churrasco", F1608)), ISNUMBER(SEARCH("bolo", F1608)), ISNUMBER(SEARCH("SUPERMERCADO", F1608))), "6.1 Despesas Administrativas (Pessoal)", IF(OR(ISNUMBER(SEARCH("DLKNET", F1608)), ISNUMBER(SEARCH("TESTE", F1608))), "6.1 Despesas Administrativas (Gerais)", IFERROR(VLOOKUP(H1608, De_Para!A:B, 2, FALSE), "NÃO MAPEADO"))), IFERROR(VLOOKUP(H1608, De_Para!A:B, 2, FALSE), "NÃO MAPEADO"))</f>
        <v/>
      </c>
    </row>
    <row r="1609">
      <c r="A1609" s="2" t="inlineStr">
        <is>
          <t>68077</t>
        </is>
      </c>
      <c r="B1609" s="2" t="inlineStr">
        <is>
          <t>Sicredi SNI</t>
        </is>
      </c>
      <c r="C1609" s="2" t="inlineStr">
        <is>
          <t>08/06/2026</t>
        </is>
      </c>
      <c r="D1609" s="2" t="inlineStr">
        <is>
          <t>08/06/2026</t>
        </is>
      </c>
      <c r="E1609" s="2" t="inlineStr">
        <is>
          <t>Dinheiro</t>
        </is>
      </c>
      <c r="F1609" s="2" t="inlineStr">
        <is>
          <t>Boleto "56799" do cliente "ODIRLEI GRANDE"</t>
        </is>
      </c>
      <c r="G1609" s="2" t="inlineStr">
        <is>
          <t>system</t>
        </is>
      </c>
      <c r="H1609" s="2" t="inlineStr">
        <is>
          <t>02.03.02.01 : Cobrança Bancaria</t>
        </is>
      </c>
      <c r="I1609" s="2" t="n"/>
      <c r="J1609" s="3" t="n">
        <v>-1.08</v>
      </c>
      <c r="K1609" s="2">
        <f>IF(H1609="02.09 : Outras Saídas", IF(OR(ISNUMBER(SEARCH("CHEQUE COMPE SICREDI", F1609)), ISNUMBER(SEARCH("aniversario", F1609)), ISNUMBER(SEARCH("churrasco", F1609)), ISNUMBER(SEARCH("bolo", F1609)), ISNUMBER(SEARCH("SUPERMERCADO", F1609))), "6.1 Despesas Administrativas (Pessoal)", IF(OR(ISNUMBER(SEARCH("DLKNET", F1609)), ISNUMBER(SEARCH("TESTE", F1609))), "6.1 Despesas Administrativas (Gerais)", IFERROR(VLOOKUP(H1609, De_Para!A:B, 2, FALSE), "NÃO MAPEADO"))), IFERROR(VLOOKUP(H1609, De_Para!A:B, 2, FALSE), "NÃO MAPEADO"))</f>
        <v/>
      </c>
    </row>
    <row r="1610">
      <c r="A1610" s="2" t="inlineStr">
        <is>
          <t>68076</t>
        </is>
      </c>
      <c r="B1610" s="2" t="inlineStr">
        <is>
          <t>Sicredi SNI</t>
        </is>
      </c>
      <c r="C1610" s="2" t="inlineStr">
        <is>
          <t>08/06/2026</t>
        </is>
      </c>
      <c r="D1610" s="2" t="inlineStr">
        <is>
          <t>08/06/2026</t>
        </is>
      </c>
      <c r="E1610" s="2" t="inlineStr">
        <is>
          <t>Dinheiro</t>
        </is>
      </c>
      <c r="F1610" s="2" t="inlineStr">
        <is>
          <t>Boleto "56799" do cliente "ODIRLEI GRANDE"</t>
        </is>
      </c>
      <c r="G1610" s="2" t="inlineStr">
        <is>
          <t>system</t>
        </is>
      </c>
      <c r="H1610" s="2" t="inlineStr">
        <is>
          <t>01.01.01 : Mensalidade</t>
        </is>
      </c>
      <c r="I1610" s="3" t="n">
        <v>105</v>
      </c>
      <c r="J1610" s="2" t="n"/>
      <c r="K1610" s="2">
        <f>IF(H1610="02.09 : Outras Saídas", IF(OR(ISNUMBER(SEARCH("CHEQUE COMPE SICREDI", F1610)), ISNUMBER(SEARCH("aniversario", F1610)), ISNUMBER(SEARCH("churrasco", F1610)), ISNUMBER(SEARCH("bolo", F1610)), ISNUMBER(SEARCH("SUPERMERCADO", F1610))), "6.1 Despesas Administrativas (Pessoal)", IF(OR(ISNUMBER(SEARCH("DLKNET", F1610)), ISNUMBER(SEARCH("TESTE", F1610))), "6.1 Despesas Administrativas (Gerais)", IFERROR(VLOOKUP(H1610, De_Para!A:B, 2, FALSE), "NÃO MAPEADO"))), IFERROR(VLOOKUP(H1610, De_Para!A:B, 2, FALSE), "NÃO MAPEADO"))</f>
        <v/>
      </c>
    </row>
    <row r="1611">
      <c r="A1611" s="2" t="inlineStr">
        <is>
          <t>68075</t>
        </is>
      </c>
      <c r="B1611" s="2" t="inlineStr">
        <is>
          <t>Sicredi SNI</t>
        </is>
      </c>
      <c r="C1611" s="2" t="inlineStr">
        <is>
          <t>08/06/2026</t>
        </is>
      </c>
      <c r="D1611" s="2" t="inlineStr">
        <is>
          <t>08/06/2026</t>
        </is>
      </c>
      <c r="E1611" s="2" t="inlineStr">
        <is>
          <t>Dinheiro</t>
        </is>
      </c>
      <c r="F1611" s="2" t="inlineStr">
        <is>
          <t>Boleto "56565" do cliente "LARISSA GOMES DE OLIVEIRA"</t>
        </is>
      </c>
      <c r="G1611" s="2" t="inlineStr">
        <is>
          <t>system</t>
        </is>
      </c>
      <c r="H1611" s="2" t="inlineStr">
        <is>
          <t>02.03.02.01 : Cobrança Bancaria</t>
        </is>
      </c>
      <c r="I1611" s="2" t="n"/>
      <c r="J1611" s="3" t="n">
        <v>-1.08</v>
      </c>
      <c r="K1611" s="2">
        <f>IF(H1611="02.09 : Outras Saídas", IF(OR(ISNUMBER(SEARCH("CHEQUE COMPE SICREDI", F1611)), ISNUMBER(SEARCH("aniversario", F1611)), ISNUMBER(SEARCH("churrasco", F1611)), ISNUMBER(SEARCH("bolo", F1611)), ISNUMBER(SEARCH("SUPERMERCADO", F1611))), "6.1 Despesas Administrativas (Pessoal)", IF(OR(ISNUMBER(SEARCH("DLKNET", F1611)), ISNUMBER(SEARCH("TESTE", F1611))), "6.1 Despesas Administrativas (Gerais)", IFERROR(VLOOKUP(H1611, De_Para!A:B, 2, FALSE), "NÃO MAPEADO"))), IFERROR(VLOOKUP(H1611, De_Para!A:B, 2, FALSE), "NÃO MAPEADO"))</f>
        <v/>
      </c>
    </row>
    <row r="1612">
      <c r="A1612" s="2" t="inlineStr">
        <is>
          <t>68074</t>
        </is>
      </c>
      <c r="B1612" s="2" t="inlineStr">
        <is>
          <t>Sicredi SNI</t>
        </is>
      </c>
      <c r="C1612" s="2" t="inlineStr">
        <is>
          <t>08/06/2026</t>
        </is>
      </c>
      <c r="D1612" s="2" t="inlineStr">
        <is>
          <t>08/06/2026</t>
        </is>
      </c>
      <c r="E1612" s="2" t="inlineStr">
        <is>
          <t>Dinheiro</t>
        </is>
      </c>
      <c r="F1612" s="2" t="inlineStr">
        <is>
          <t>Boleto "56565" do cliente "LARISSA GOMES DE OLIVEIRA"</t>
        </is>
      </c>
      <c r="G1612" s="2" t="inlineStr">
        <is>
          <t>system</t>
        </is>
      </c>
      <c r="H1612" s="2" t="inlineStr">
        <is>
          <t>01.01.01 : Mensalidade</t>
        </is>
      </c>
      <c r="I1612" s="3" t="n">
        <v>105</v>
      </c>
      <c r="J1612" s="2" t="n"/>
      <c r="K1612" s="2">
        <f>IF(H1612="02.09 : Outras Saídas", IF(OR(ISNUMBER(SEARCH("CHEQUE COMPE SICREDI", F1612)), ISNUMBER(SEARCH("aniversario", F1612)), ISNUMBER(SEARCH("churrasco", F1612)), ISNUMBER(SEARCH("bolo", F1612)), ISNUMBER(SEARCH("SUPERMERCADO", F1612))), "6.1 Despesas Administrativas (Pessoal)", IF(OR(ISNUMBER(SEARCH("DLKNET", F1612)), ISNUMBER(SEARCH("TESTE", F1612))), "6.1 Despesas Administrativas (Gerais)", IFERROR(VLOOKUP(H1612, De_Para!A:B, 2, FALSE), "NÃO MAPEADO"))), IFERROR(VLOOKUP(H1612, De_Para!A:B, 2, FALSE), "NÃO MAPEADO"))</f>
        <v/>
      </c>
    </row>
    <row r="1613">
      <c r="A1613" s="2" t="inlineStr">
        <is>
          <t>68073</t>
        </is>
      </c>
      <c r="B1613" s="2" t="inlineStr">
        <is>
          <t>Sicredi SNI</t>
        </is>
      </c>
      <c r="C1613" s="2" t="inlineStr">
        <is>
          <t>08/06/2026</t>
        </is>
      </c>
      <c r="D1613" s="2" t="inlineStr">
        <is>
          <t>08/06/2026</t>
        </is>
      </c>
      <c r="E1613" s="2" t="inlineStr">
        <is>
          <t>Dinheiro</t>
        </is>
      </c>
      <c r="F1613" s="2" t="inlineStr">
        <is>
          <t>Boleto "55888" do cliente "THIAGO SOUSA DE OLIVEIRA"</t>
        </is>
      </c>
      <c r="G1613" s="2" t="inlineStr">
        <is>
          <t>system</t>
        </is>
      </c>
      <c r="H1613" s="2" t="inlineStr">
        <is>
          <t>02.03.02.01 : Cobrança Bancaria</t>
        </is>
      </c>
      <c r="I1613" s="2" t="n"/>
      <c r="J1613" s="3" t="n">
        <v>-1.08</v>
      </c>
      <c r="K1613" s="2">
        <f>IF(H1613="02.09 : Outras Saídas", IF(OR(ISNUMBER(SEARCH("CHEQUE COMPE SICREDI", F1613)), ISNUMBER(SEARCH("aniversario", F1613)), ISNUMBER(SEARCH("churrasco", F1613)), ISNUMBER(SEARCH("bolo", F1613)), ISNUMBER(SEARCH("SUPERMERCADO", F1613))), "6.1 Despesas Administrativas (Pessoal)", IF(OR(ISNUMBER(SEARCH("DLKNET", F1613)), ISNUMBER(SEARCH("TESTE", F1613))), "6.1 Despesas Administrativas (Gerais)", IFERROR(VLOOKUP(H1613, De_Para!A:B, 2, FALSE), "NÃO MAPEADO"))), IFERROR(VLOOKUP(H1613, De_Para!A:B, 2, FALSE), "NÃO MAPEADO"))</f>
        <v/>
      </c>
    </row>
    <row r="1614">
      <c r="A1614" s="2" t="inlineStr">
        <is>
          <t>68072</t>
        </is>
      </c>
      <c r="B1614" s="2" t="inlineStr">
        <is>
          <t>Sicredi SNI</t>
        </is>
      </c>
      <c r="C1614" s="2" t="inlineStr">
        <is>
          <t>08/06/2026</t>
        </is>
      </c>
      <c r="D1614" s="2" t="inlineStr">
        <is>
          <t>08/06/2026</t>
        </is>
      </c>
      <c r="E1614" s="2" t="inlineStr">
        <is>
          <t>Dinheiro</t>
        </is>
      </c>
      <c r="F1614" s="2" t="inlineStr">
        <is>
          <t>Boleto "55888" do cliente "THIAGO SOUSA DE OLIVEIRA"</t>
        </is>
      </c>
      <c r="G1614" s="2" t="inlineStr">
        <is>
          <t>system</t>
        </is>
      </c>
      <c r="H1614" s="2" t="inlineStr">
        <is>
          <t>01.01.01 : Mensalidade</t>
        </is>
      </c>
      <c r="I1614" s="3" t="n">
        <v>105</v>
      </c>
      <c r="J1614" s="2" t="n"/>
      <c r="K1614" s="2">
        <f>IF(H1614="02.09 : Outras Saídas", IF(OR(ISNUMBER(SEARCH("CHEQUE COMPE SICREDI", F1614)), ISNUMBER(SEARCH("aniversario", F1614)), ISNUMBER(SEARCH("churrasco", F1614)), ISNUMBER(SEARCH("bolo", F1614)), ISNUMBER(SEARCH("SUPERMERCADO", F1614))), "6.1 Despesas Administrativas (Pessoal)", IF(OR(ISNUMBER(SEARCH("DLKNET", F1614)), ISNUMBER(SEARCH("TESTE", F1614))), "6.1 Despesas Administrativas (Gerais)", IFERROR(VLOOKUP(H1614, De_Para!A:B, 2, FALSE), "NÃO MAPEADO"))), IFERROR(VLOOKUP(H1614, De_Para!A:B, 2, FALSE), "NÃO MAPEADO"))</f>
        <v/>
      </c>
    </row>
    <row r="1615">
      <c r="A1615" s="2" t="inlineStr">
        <is>
          <t>68071</t>
        </is>
      </c>
      <c r="B1615" s="2" t="inlineStr">
        <is>
          <t>Sicoob</t>
        </is>
      </c>
      <c r="C1615" s="2" t="inlineStr">
        <is>
          <t>08/06/2026</t>
        </is>
      </c>
      <c r="D1615" s="2" t="inlineStr">
        <is>
          <t>08/06/2026</t>
        </is>
      </c>
      <c r="E1615" s="2" t="inlineStr">
        <is>
          <t>Dinheiro</t>
        </is>
      </c>
      <c r="F1615" s="2" t="inlineStr">
        <is>
          <t>Boleto "57645" do cliente "FERNANDO BENEDITO DOS SANTOS"</t>
        </is>
      </c>
      <c r="G1615" s="2" t="inlineStr">
        <is>
          <t>system</t>
        </is>
      </c>
      <c r="H1615" s="2" t="inlineStr">
        <is>
          <t>02.03.02.01 : Cobrança Bancaria</t>
        </is>
      </c>
      <c r="I1615" s="2" t="n"/>
      <c r="J1615" s="3" t="n">
        <v>-0.88</v>
      </c>
      <c r="K1615" s="2">
        <f>IF(H1615="02.09 : Outras Saídas", IF(OR(ISNUMBER(SEARCH("CHEQUE COMPE SICREDI", F1615)), ISNUMBER(SEARCH("aniversario", F1615)), ISNUMBER(SEARCH("churrasco", F1615)), ISNUMBER(SEARCH("bolo", F1615)), ISNUMBER(SEARCH("SUPERMERCADO", F1615))), "6.1 Despesas Administrativas (Pessoal)", IF(OR(ISNUMBER(SEARCH("DLKNET", F1615)), ISNUMBER(SEARCH("TESTE", F1615))), "6.1 Despesas Administrativas (Gerais)", IFERROR(VLOOKUP(H1615, De_Para!A:B, 2, FALSE), "NÃO MAPEADO"))), IFERROR(VLOOKUP(H1615, De_Para!A:B, 2, FALSE), "NÃO MAPEADO"))</f>
        <v/>
      </c>
    </row>
    <row r="1616">
      <c r="A1616" s="2" t="inlineStr">
        <is>
          <t>68070</t>
        </is>
      </c>
      <c r="B1616" s="2" t="inlineStr">
        <is>
          <t>Sicoob</t>
        </is>
      </c>
      <c r="C1616" s="2" t="inlineStr">
        <is>
          <t>08/06/2026</t>
        </is>
      </c>
      <c r="D1616" s="2" t="inlineStr">
        <is>
          <t>08/06/2026</t>
        </is>
      </c>
      <c r="E1616" s="2" t="inlineStr">
        <is>
          <t>Dinheiro</t>
        </is>
      </c>
      <c r="F1616" s="2" t="inlineStr">
        <is>
          <t>Boleto "57645" do cliente "FERNANDO BENEDITO DOS SANTOS"</t>
        </is>
      </c>
      <c r="G1616" s="2" t="inlineStr">
        <is>
          <t>system</t>
        </is>
      </c>
      <c r="H1616" s="2" t="inlineStr">
        <is>
          <t>01.01.01 : Mensalidade</t>
        </is>
      </c>
      <c r="I1616" s="3" t="n">
        <v>100</v>
      </c>
      <c r="J1616" s="2" t="n"/>
      <c r="K1616" s="2">
        <f>IF(H1616="02.09 : Outras Saídas", IF(OR(ISNUMBER(SEARCH("CHEQUE COMPE SICREDI", F1616)), ISNUMBER(SEARCH("aniversario", F1616)), ISNUMBER(SEARCH("churrasco", F1616)), ISNUMBER(SEARCH("bolo", F1616)), ISNUMBER(SEARCH("SUPERMERCADO", F1616))), "6.1 Despesas Administrativas (Pessoal)", IF(OR(ISNUMBER(SEARCH("DLKNET", F1616)), ISNUMBER(SEARCH("TESTE", F1616))), "6.1 Despesas Administrativas (Gerais)", IFERROR(VLOOKUP(H1616, De_Para!A:B, 2, FALSE), "NÃO MAPEADO"))), IFERROR(VLOOKUP(H1616, De_Para!A:B, 2, FALSE), "NÃO MAPEADO"))</f>
        <v/>
      </c>
    </row>
    <row r="1617">
      <c r="A1617" s="2" t="inlineStr">
        <is>
          <t>68069</t>
        </is>
      </c>
      <c r="B1617" s="2" t="inlineStr">
        <is>
          <t>Sicoob</t>
        </is>
      </c>
      <c r="C1617" s="2" t="inlineStr">
        <is>
          <t>08/06/2026</t>
        </is>
      </c>
      <c r="D1617" s="2" t="inlineStr">
        <is>
          <t>08/06/2026</t>
        </is>
      </c>
      <c r="E1617" s="2" t="inlineStr">
        <is>
          <t>Dinheiro</t>
        </is>
      </c>
      <c r="F1617" s="2" t="inlineStr">
        <is>
          <t>Boleto "57304" do cliente "CLAUDETE APARECIDA MASSUQUINI SEBASTIÃO"</t>
        </is>
      </c>
      <c r="G1617" s="2" t="inlineStr">
        <is>
          <t>system</t>
        </is>
      </c>
      <c r="H1617" s="2" t="inlineStr">
        <is>
          <t>02.03.02.01 : Cobrança Bancaria</t>
        </is>
      </c>
      <c r="I1617" s="2" t="n"/>
      <c r="J1617" s="3" t="n">
        <v>-0.88</v>
      </c>
      <c r="K1617" s="2">
        <f>IF(H1617="02.09 : Outras Saídas", IF(OR(ISNUMBER(SEARCH("CHEQUE COMPE SICREDI", F1617)), ISNUMBER(SEARCH("aniversario", F1617)), ISNUMBER(SEARCH("churrasco", F1617)), ISNUMBER(SEARCH("bolo", F1617)), ISNUMBER(SEARCH("SUPERMERCADO", F1617))), "6.1 Despesas Administrativas (Pessoal)", IF(OR(ISNUMBER(SEARCH("DLKNET", F1617)), ISNUMBER(SEARCH("TESTE", F1617))), "6.1 Despesas Administrativas (Gerais)", IFERROR(VLOOKUP(H1617, De_Para!A:B, 2, FALSE), "NÃO MAPEADO"))), IFERROR(VLOOKUP(H1617, De_Para!A:B, 2, FALSE), "NÃO MAPEADO"))</f>
        <v/>
      </c>
    </row>
    <row r="1618">
      <c r="A1618" s="2" t="inlineStr">
        <is>
          <t>68068</t>
        </is>
      </c>
      <c r="B1618" s="2" t="inlineStr">
        <is>
          <t>Sicoob</t>
        </is>
      </c>
      <c r="C1618" s="2" t="inlineStr">
        <is>
          <t>08/06/2026</t>
        </is>
      </c>
      <c r="D1618" s="2" t="inlineStr">
        <is>
          <t>08/06/2026</t>
        </is>
      </c>
      <c r="E1618" s="2" t="inlineStr">
        <is>
          <t>Dinheiro</t>
        </is>
      </c>
      <c r="F1618" s="2" t="inlineStr">
        <is>
          <t>Boleto "57304" do cliente "CLAUDETE APARECIDA MASSUQUINI SEBASTIÃO"</t>
        </is>
      </c>
      <c r="G1618" s="2" t="inlineStr">
        <is>
          <t>system</t>
        </is>
      </c>
      <c r="H1618" s="2" t="inlineStr">
        <is>
          <t>01.01.01 : Mensalidade</t>
        </is>
      </c>
      <c r="I1618" s="3" t="n">
        <v>105</v>
      </c>
      <c r="J1618" s="2" t="n"/>
      <c r="K1618" s="2">
        <f>IF(H1618="02.09 : Outras Saídas", IF(OR(ISNUMBER(SEARCH("CHEQUE COMPE SICREDI", F1618)), ISNUMBER(SEARCH("aniversario", F1618)), ISNUMBER(SEARCH("churrasco", F1618)), ISNUMBER(SEARCH("bolo", F1618)), ISNUMBER(SEARCH("SUPERMERCADO", F1618))), "6.1 Despesas Administrativas (Pessoal)", IF(OR(ISNUMBER(SEARCH("DLKNET", F1618)), ISNUMBER(SEARCH("TESTE", F1618))), "6.1 Despesas Administrativas (Gerais)", IFERROR(VLOOKUP(H1618, De_Para!A:B, 2, FALSE), "NÃO MAPEADO"))), IFERROR(VLOOKUP(H1618, De_Para!A:B, 2, FALSE), "NÃO MAPEADO"))</f>
        <v/>
      </c>
    </row>
    <row r="1619">
      <c r="A1619" s="2" t="inlineStr">
        <is>
          <t>68067</t>
        </is>
      </c>
      <c r="B1619" s="2" t="inlineStr">
        <is>
          <t>Sicoob</t>
        </is>
      </c>
      <c r="C1619" s="2" t="inlineStr">
        <is>
          <t>08/06/2026</t>
        </is>
      </c>
      <c r="D1619" s="2" t="inlineStr">
        <is>
          <t>08/06/2026</t>
        </is>
      </c>
      <c r="E1619" s="2" t="inlineStr">
        <is>
          <t>Dinheiro</t>
        </is>
      </c>
      <c r="F1619" s="2" t="inlineStr">
        <is>
          <t>Boleto "55664" do cliente "PASQUALINO SANTOS RODRIGUES"</t>
        </is>
      </c>
      <c r="G1619" s="2" t="inlineStr">
        <is>
          <t>system</t>
        </is>
      </c>
      <c r="H1619" s="2" t="inlineStr">
        <is>
          <t>02.03.02.01 : Cobrança Bancaria</t>
        </is>
      </c>
      <c r="I1619" s="2" t="n"/>
      <c r="J1619" s="3" t="n">
        <v>-0.88</v>
      </c>
      <c r="K1619" s="2">
        <f>IF(H1619="02.09 : Outras Saídas", IF(OR(ISNUMBER(SEARCH("CHEQUE COMPE SICREDI", F1619)), ISNUMBER(SEARCH("aniversario", F1619)), ISNUMBER(SEARCH("churrasco", F1619)), ISNUMBER(SEARCH("bolo", F1619)), ISNUMBER(SEARCH("SUPERMERCADO", F1619))), "6.1 Despesas Administrativas (Pessoal)", IF(OR(ISNUMBER(SEARCH("DLKNET", F1619)), ISNUMBER(SEARCH("TESTE", F1619))), "6.1 Despesas Administrativas (Gerais)", IFERROR(VLOOKUP(H1619, De_Para!A:B, 2, FALSE), "NÃO MAPEADO"))), IFERROR(VLOOKUP(H1619, De_Para!A:B, 2, FALSE), "NÃO MAPEADO"))</f>
        <v/>
      </c>
    </row>
    <row r="1620">
      <c r="A1620" s="2" t="inlineStr">
        <is>
          <t>68066</t>
        </is>
      </c>
      <c r="B1620" s="2" t="inlineStr">
        <is>
          <t>Sicoob</t>
        </is>
      </c>
      <c r="C1620" s="2" t="inlineStr">
        <is>
          <t>08/06/2026</t>
        </is>
      </c>
      <c r="D1620" s="2" t="inlineStr">
        <is>
          <t>08/06/2026</t>
        </is>
      </c>
      <c r="E1620" s="2" t="inlineStr">
        <is>
          <t>Dinheiro</t>
        </is>
      </c>
      <c r="F1620" s="2" t="inlineStr">
        <is>
          <t>Boleto "55664" do cliente "PASQUALINO SANTOS RODRIGUES"</t>
        </is>
      </c>
      <c r="G1620" s="2" t="inlineStr">
        <is>
          <t>system</t>
        </is>
      </c>
      <c r="H1620" s="2" t="inlineStr">
        <is>
          <t>01.03.01 : Mensalidade</t>
        </is>
      </c>
      <c r="I1620" s="3" t="n">
        <v>110</v>
      </c>
      <c r="J1620" s="2" t="n"/>
      <c r="K1620" s="2">
        <f>IF(H1620="02.09 : Outras Saídas", IF(OR(ISNUMBER(SEARCH("CHEQUE COMPE SICREDI", F1620)), ISNUMBER(SEARCH("aniversario", F1620)), ISNUMBER(SEARCH("churrasco", F1620)), ISNUMBER(SEARCH("bolo", F1620)), ISNUMBER(SEARCH("SUPERMERCADO", F1620))), "6.1 Despesas Administrativas (Pessoal)", IF(OR(ISNUMBER(SEARCH("DLKNET", F1620)), ISNUMBER(SEARCH("TESTE", F1620))), "6.1 Despesas Administrativas (Gerais)", IFERROR(VLOOKUP(H1620, De_Para!A:B, 2, FALSE), "NÃO MAPEADO"))), IFERROR(VLOOKUP(H1620, De_Para!A:B, 2, FALSE), "NÃO MAPEADO"))</f>
        <v/>
      </c>
    </row>
    <row r="1621">
      <c r="A1621" s="2" t="inlineStr">
        <is>
          <t>68065</t>
        </is>
      </c>
      <c r="B1621" s="2" t="inlineStr">
        <is>
          <t>Sicoob</t>
        </is>
      </c>
      <c r="C1621" s="2" t="inlineStr">
        <is>
          <t>08/06/2026</t>
        </is>
      </c>
      <c r="D1621" s="2" t="inlineStr">
        <is>
          <t>08/06/2026</t>
        </is>
      </c>
      <c r="E1621" s="2" t="inlineStr">
        <is>
          <t>Dinheiro</t>
        </is>
      </c>
      <c r="F1621" s="2" t="inlineStr">
        <is>
          <t>Boleto "55654" do cliente "EDELCIO DOS SANTOS ARANTES"</t>
        </is>
      </c>
      <c r="G1621" s="2" t="inlineStr">
        <is>
          <t>system</t>
        </is>
      </c>
      <c r="H1621" s="2" t="inlineStr">
        <is>
          <t>02.03.02.01 : Cobrança Bancaria</t>
        </is>
      </c>
      <c r="I1621" s="2" t="n"/>
      <c r="J1621" s="3" t="n">
        <v>-0.88</v>
      </c>
      <c r="K1621" s="2">
        <f>IF(H1621="02.09 : Outras Saídas", IF(OR(ISNUMBER(SEARCH("CHEQUE COMPE SICREDI", F1621)), ISNUMBER(SEARCH("aniversario", F1621)), ISNUMBER(SEARCH("churrasco", F1621)), ISNUMBER(SEARCH("bolo", F1621)), ISNUMBER(SEARCH("SUPERMERCADO", F1621))), "6.1 Despesas Administrativas (Pessoal)", IF(OR(ISNUMBER(SEARCH("DLKNET", F1621)), ISNUMBER(SEARCH("TESTE", F1621))), "6.1 Despesas Administrativas (Gerais)", IFERROR(VLOOKUP(H1621, De_Para!A:B, 2, FALSE), "NÃO MAPEADO"))), IFERROR(VLOOKUP(H1621, De_Para!A:B, 2, FALSE), "NÃO MAPEADO"))</f>
        <v/>
      </c>
    </row>
    <row r="1622">
      <c r="A1622" s="2" t="inlineStr">
        <is>
          <t>68064</t>
        </is>
      </c>
      <c r="B1622" s="2" t="inlineStr">
        <is>
          <t>Sicoob</t>
        </is>
      </c>
      <c r="C1622" s="2" t="inlineStr">
        <is>
          <t>08/06/2026</t>
        </is>
      </c>
      <c r="D1622" s="2" t="inlineStr">
        <is>
          <t>08/06/2026</t>
        </is>
      </c>
      <c r="E1622" s="2" t="inlineStr">
        <is>
          <t>Dinheiro</t>
        </is>
      </c>
      <c r="F1622" s="2" t="inlineStr">
        <is>
          <t>Boleto "55654" do cliente "EDELCIO DOS SANTOS ARANTES"</t>
        </is>
      </c>
      <c r="G1622" s="2" t="inlineStr">
        <is>
          <t>system</t>
        </is>
      </c>
      <c r="H1622" s="2" t="inlineStr">
        <is>
          <t>01.01.01 : Mensalidade</t>
        </is>
      </c>
      <c r="I1622" s="3" t="n">
        <v>105</v>
      </c>
      <c r="J1622" s="2" t="n"/>
      <c r="K1622" s="2">
        <f>IF(H1622="02.09 : Outras Saídas", IF(OR(ISNUMBER(SEARCH("CHEQUE COMPE SICREDI", F1622)), ISNUMBER(SEARCH("aniversario", F1622)), ISNUMBER(SEARCH("churrasco", F1622)), ISNUMBER(SEARCH("bolo", F1622)), ISNUMBER(SEARCH("SUPERMERCADO", F1622))), "6.1 Despesas Administrativas (Pessoal)", IF(OR(ISNUMBER(SEARCH("DLKNET", F1622)), ISNUMBER(SEARCH("TESTE", F1622))), "6.1 Despesas Administrativas (Gerais)", IFERROR(VLOOKUP(H1622, De_Para!A:B, 2, FALSE), "NÃO MAPEADO"))), IFERROR(VLOOKUP(H1622, De_Para!A:B, 2, FALSE), "NÃO MAPEADO"))</f>
        <v/>
      </c>
    </row>
    <row r="1623">
      <c r="A1623" s="2" t="inlineStr">
        <is>
          <t>68063</t>
        </is>
      </c>
      <c r="B1623" s="2" t="inlineStr">
        <is>
          <t>Sicoob</t>
        </is>
      </c>
      <c r="C1623" s="2" t="inlineStr">
        <is>
          <t>08/06/2026</t>
        </is>
      </c>
      <c r="D1623" s="2" t="inlineStr">
        <is>
          <t>08/06/2026</t>
        </is>
      </c>
      <c r="E1623" s="2" t="inlineStr">
        <is>
          <t>Dinheiro</t>
        </is>
      </c>
      <c r="F1623" s="2" t="inlineStr">
        <is>
          <t>Boleto "55560" do cliente "MARILSA OLIVEIRA DA CRUZ PAULA"</t>
        </is>
      </c>
      <c r="G1623" s="2" t="inlineStr">
        <is>
          <t>system</t>
        </is>
      </c>
      <c r="H1623" s="2" t="inlineStr">
        <is>
          <t>02.03.02.01 : Cobrança Bancaria</t>
        </is>
      </c>
      <c r="I1623" s="2" t="n"/>
      <c r="J1623" s="3" t="n">
        <v>-0.88</v>
      </c>
      <c r="K1623" s="2">
        <f>IF(H1623="02.09 : Outras Saídas", IF(OR(ISNUMBER(SEARCH("CHEQUE COMPE SICREDI", F1623)), ISNUMBER(SEARCH("aniversario", F1623)), ISNUMBER(SEARCH("churrasco", F1623)), ISNUMBER(SEARCH("bolo", F1623)), ISNUMBER(SEARCH("SUPERMERCADO", F1623))), "6.1 Despesas Administrativas (Pessoal)", IF(OR(ISNUMBER(SEARCH("DLKNET", F1623)), ISNUMBER(SEARCH("TESTE", F1623))), "6.1 Despesas Administrativas (Gerais)", IFERROR(VLOOKUP(H1623, De_Para!A:B, 2, FALSE), "NÃO MAPEADO"))), IFERROR(VLOOKUP(H1623, De_Para!A:B, 2, FALSE), "NÃO MAPEADO"))</f>
        <v/>
      </c>
    </row>
    <row r="1624">
      <c r="A1624" s="2" t="inlineStr">
        <is>
          <t>68062</t>
        </is>
      </c>
      <c r="B1624" s="2" t="inlineStr">
        <is>
          <t>Sicoob</t>
        </is>
      </c>
      <c r="C1624" s="2" t="inlineStr">
        <is>
          <t>08/06/2026</t>
        </is>
      </c>
      <c r="D1624" s="2" t="inlineStr">
        <is>
          <t>08/06/2026</t>
        </is>
      </c>
      <c r="E1624" s="2" t="inlineStr">
        <is>
          <t>Dinheiro</t>
        </is>
      </c>
      <c r="F1624" s="2" t="inlineStr">
        <is>
          <t>Boleto "55560" do cliente "MARILSA OLIVEIRA DA CRUZ PAULA"</t>
        </is>
      </c>
      <c r="G1624" s="2" t="inlineStr">
        <is>
          <t>system</t>
        </is>
      </c>
      <c r="H1624" s="2" t="inlineStr">
        <is>
          <t>01.03.01 : Mensalidade</t>
        </is>
      </c>
      <c r="I1624" s="3" t="n">
        <v>105</v>
      </c>
      <c r="J1624" s="2" t="n"/>
      <c r="K1624" s="2">
        <f>IF(H1624="02.09 : Outras Saídas", IF(OR(ISNUMBER(SEARCH("CHEQUE COMPE SICREDI", F1624)), ISNUMBER(SEARCH("aniversario", F1624)), ISNUMBER(SEARCH("churrasco", F1624)), ISNUMBER(SEARCH("bolo", F1624)), ISNUMBER(SEARCH("SUPERMERCADO", F1624))), "6.1 Despesas Administrativas (Pessoal)", IF(OR(ISNUMBER(SEARCH("DLKNET", F1624)), ISNUMBER(SEARCH("TESTE", F1624))), "6.1 Despesas Administrativas (Gerais)", IFERROR(VLOOKUP(H1624, De_Para!A:B, 2, FALSE), "NÃO MAPEADO"))), IFERROR(VLOOKUP(H1624, De_Para!A:B, 2, FALSE), "NÃO MAPEADO"))</f>
        <v/>
      </c>
    </row>
    <row r="1625">
      <c r="A1625" s="2" t="inlineStr">
        <is>
          <t>68061</t>
        </is>
      </c>
      <c r="B1625" s="2" t="inlineStr">
        <is>
          <t>Sicoob</t>
        </is>
      </c>
      <c r="C1625" s="2" t="inlineStr">
        <is>
          <t>08/06/2026</t>
        </is>
      </c>
      <c r="D1625" s="2" t="inlineStr">
        <is>
          <t>08/06/2026</t>
        </is>
      </c>
      <c r="E1625" s="2" t="inlineStr">
        <is>
          <t>Dinheiro</t>
        </is>
      </c>
      <c r="F1625" s="2" t="inlineStr">
        <is>
          <t>Boleto "55530" do cliente "REINAN ANTONIO DE SIQUEIRA"</t>
        </is>
      </c>
      <c r="G1625" s="2" t="inlineStr">
        <is>
          <t>system</t>
        </is>
      </c>
      <c r="H1625" s="2" t="inlineStr">
        <is>
          <t>02.03.02.01 : Cobrança Bancaria</t>
        </is>
      </c>
      <c r="I1625" s="2" t="n"/>
      <c r="J1625" s="3" t="n">
        <v>-0.88</v>
      </c>
      <c r="K1625" s="2">
        <f>IF(H1625="02.09 : Outras Saídas", IF(OR(ISNUMBER(SEARCH("CHEQUE COMPE SICREDI", F1625)), ISNUMBER(SEARCH("aniversario", F1625)), ISNUMBER(SEARCH("churrasco", F1625)), ISNUMBER(SEARCH("bolo", F1625)), ISNUMBER(SEARCH("SUPERMERCADO", F1625))), "6.1 Despesas Administrativas (Pessoal)", IF(OR(ISNUMBER(SEARCH("DLKNET", F1625)), ISNUMBER(SEARCH("TESTE", F1625))), "6.1 Despesas Administrativas (Gerais)", IFERROR(VLOOKUP(H1625, De_Para!A:B, 2, FALSE), "NÃO MAPEADO"))), IFERROR(VLOOKUP(H1625, De_Para!A:B, 2, FALSE), "NÃO MAPEADO"))</f>
        <v/>
      </c>
    </row>
    <row r="1626">
      <c r="A1626" s="2" t="inlineStr">
        <is>
          <t>68060</t>
        </is>
      </c>
      <c r="B1626" s="2" t="inlineStr">
        <is>
          <t>Sicoob</t>
        </is>
      </c>
      <c r="C1626" s="2" t="inlineStr">
        <is>
          <t>08/06/2026</t>
        </is>
      </c>
      <c r="D1626" s="2" t="inlineStr">
        <is>
          <t>08/06/2026</t>
        </is>
      </c>
      <c r="E1626" s="2" t="inlineStr">
        <is>
          <t>Dinheiro</t>
        </is>
      </c>
      <c r="F1626" s="2" t="inlineStr">
        <is>
          <t>Boleto "55530" do cliente "REINAN ANTONIO DE SIQUEIRA"</t>
        </is>
      </c>
      <c r="G1626" s="2" t="inlineStr">
        <is>
          <t>system</t>
        </is>
      </c>
      <c r="H1626" s="2" t="inlineStr">
        <is>
          <t>01.01.01 : Mensalidade</t>
        </is>
      </c>
      <c r="I1626" s="3" t="n">
        <v>102.23</v>
      </c>
      <c r="J1626" s="2" t="n"/>
      <c r="K1626" s="2">
        <f>IF(H1626="02.09 : Outras Saídas", IF(OR(ISNUMBER(SEARCH("CHEQUE COMPE SICREDI", F1626)), ISNUMBER(SEARCH("aniversario", F1626)), ISNUMBER(SEARCH("churrasco", F1626)), ISNUMBER(SEARCH("bolo", F1626)), ISNUMBER(SEARCH("SUPERMERCADO", F1626))), "6.1 Despesas Administrativas (Pessoal)", IF(OR(ISNUMBER(SEARCH("DLKNET", F1626)), ISNUMBER(SEARCH("TESTE", F1626))), "6.1 Despesas Administrativas (Gerais)", IFERROR(VLOOKUP(H1626, De_Para!A:B, 2, FALSE), "NÃO MAPEADO"))), IFERROR(VLOOKUP(H1626, De_Para!A:B, 2, FALSE), "NÃO MAPEADO"))</f>
        <v/>
      </c>
    </row>
    <row r="1627">
      <c r="A1627" s="2" t="inlineStr">
        <is>
          <t>68059</t>
        </is>
      </c>
      <c r="B1627" s="2" t="inlineStr">
        <is>
          <t>Sicoob</t>
        </is>
      </c>
      <c r="C1627" s="2" t="inlineStr">
        <is>
          <t>08/06/2026</t>
        </is>
      </c>
      <c r="D1627" s="2" t="inlineStr">
        <is>
          <t>08/06/2026</t>
        </is>
      </c>
      <c r="E1627" s="2" t="inlineStr">
        <is>
          <t>Dinheiro</t>
        </is>
      </c>
      <c r="F1627" s="2" t="inlineStr">
        <is>
          <t>Boleto "53672" do cliente "FABRICIO DE CARVALHO"</t>
        </is>
      </c>
      <c r="G1627" s="2" t="inlineStr">
        <is>
          <t>system</t>
        </is>
      </c>
      <c r="H1627" s="2" t="inlineStr">
        <is>
          <t>02.03.02.01 : Cobrança Bancaria</t>
        </is>
      </c>
      <c r="I1627" s="2" t="n"/>
      <c r="J1627" s="3" t="n">
        <v>-0.88</v>
      </c>
      <c r="K1627" s="2">
        <f>IF(H1627="02.09 : Outras Saídas", IF(OR(ISNUMBER(SEARCH("CHEQUE COMPE SICREDI", F1627)), ISNUMBER(SEARCH("aniversario", F1627)), ISNUMBER(SEARCH("churrasco", F1627)), ISNUMBER(SEARCH("bolo", F1627)), ISNUMBER(SEARCH("SUPERMERCADO", F1627))), "6.1 Despesas Administrativas (Pessoal)", IF(OR(ISNUMBER(SEARCH("DLKNET", F1627)), ISNUMBER(SEARCH("TESTE", F1627))), "6.1 Despesas Administrativas (Gerais)", IFERROR(VLOOKUP(H1627, De_Para!A:B, 2, FALSE), "NÃO MAPEADO"))), IFERROR(VLOOKUP(H1627, De_Para!A:B, 2, FALSE), "NÃO MAPEADO"))</f>
        <v/>
      </c>
    </row>
    <row r="1628">
      <c r="A1628" s="2" t="inlineStr">
        <is>
          <t>68058</t>
        </is>
      </c>
      <c r="B1628" s="2" t="inlineStr">
        <is>
          <t>Sicoob</t>
        </is>
      </c>
      <c r="C1628" s="2" t="inlineStr">
        <is>
          <t>08/06/2026</t>
        </is>
      </c>
      <c r="D1628" s="2" t="inlineStr">
        <is>
          <t>08/06/2026</t>
        </is>
      </c>
      <c r="E1628" s="2" t="inlineStr">
        <is>
          <t>Dinheiro</t>
        </is>
      </c>
      <c r="F1628" s="2" t="inlineStr">
        <is>
          <t>Boleto "53672" do cliente "FABRICIO DE CARVALHO"</t>
        </is>
      </c>
      <c r="G1628" s="2" t="inlineStr">
        <is>
          <t>system</t>
        </is>
      </c>
      <c r="H1628" s="2" t="inlineStr">
        <is>
          <t>01.03.01 : Mensalidade</t>
        </is>
      </c>
      <c r="I1628" s="3" t="n">
        <v>105</v>
      </c>
      <c r="J1628" s="2" t="n"/>
      <c r="K1628" s="2">
        <f>IF(H1628="02.09 : Outras Saídas", IF(OR(ISNUMBER(SEARCH("CHEQUE COMPE SICREDI", F1628)), ISNUMBER(SEARCH("aniversario", F1628)), ISNUMBER(SEARCH("churrasco", F1628)), ISNUMBER(SEARCH("bolo", F1628)), ISNUMBER(SEARCH("SUPERMERCADO", F1628))), "6.1 Despesas Administrativas (Pessoal)", IF(OR(ISNUMBER(SEARCH("DLKNET", F1628)), ISNUMBER(SEARCH("TESTE", F1628))), "6.1 Despesas Administrativas (Gerais)", IFERROR(VLOOKUP(H1628, De_Para!A:B, 2, FALSE), "NÃO MAPEADO"))), IFERROR(VLOOKUP(H1628, De_Para!A:B, 2, FALSE), "NÃO MAPEADO"))</f>
        <v/>
      </c>
    </row>
    <row r="1629">
      <c r="A1629" s="2" t="inlineStr">
        <is>
          <t>68057</t>
        </is>
      </c>
      <c r="B1629" s="2" t="inlineStr">
        <is>
          <t>Sicoob</t>
        </is>
      </c>
      <c r="C1629" s="2" t="inlineStr">
        <is>
          <t>08/06/2026</t>
        </is>
      </c>
      <c r="D1629" s="2" t="inlineStr">
        <is>
          <t>08/06/2026</t>
        </is>
      </c>
      <c r="E1629" s="2" t="inlineStr">
        <is>
          <t>Dinheiro</t>
        </is>
      </c>
      <c r="F1629" s="2" t="inlineStr">
        <is>
          <t>Boleto "66930" do cliente "PERCIVAL APARECIDO ALONSO"</t>
        </is>
      </c>
      <c r="G1629" s="2" t="inlineStr">
        <is>
          <t>system</t>
        </is>
      </c>
      <c r="H1629" s="2" t="inlineStr">
        <is>
          <t>02.03.02.01 : Cobrança Bancaria</t>
        </is>
      </c>
      <c r="I1629" s="2" t="n"/>
      <c r="J1629" s="3" t="n">
        <v>-0.88</v>
      </c>
      <c r="K1629" s="2">
        <f>IF(H1629="02.09 : Outras Saídas", IF(OR(ISNUMBER(SEARCH("CHEQUE COMPE SICREDI", F1629)), ISNUMBER(SEARCH("aniversario", F1629)), ISNUMBER(SEARCH("churrasco", F1629)), ISNUMBER(SEARCH("bolo", F1629)), ISNUMBER(SEARCH("SUPERMERCADO", F1629))), "6.1 Despesas Administrativas (Pessoal)", IF(OR(ISNUMBER(SEARCH("DLKNET", F1629)), ISNUMBER(SEARCH("TESTE", F1629))), "6.1 Despesas Administrativas (Gerais)", IFERROR(VLOOKUP(H1629, De_Para!A:B, 2, FALSE), "NÃO MAPEADO"))), IFERROR(VLOOKUP(H1629, De_Para!A:B, 2, FALSE), "NÃO MAPEADO"))</f>
        <v/>
      </c>
    </row>
    <row r="1630">
      <c r="A1630" s="2" t="inlineStr">
        <is>
          <t>68056</t>
        </is>
      </c>
      <c r="B1630" s="2" t="inlineStr">
        <is>
          <t>Sicoob</t>
        </is>
      </c>
      <c r="C1630" s="2" t="inlineStr">
        <is>
          <t>08/06/2026</t>
        </is>
      </c>
      <c r="D1630" s="2" t="inlineStr">
        <is>
          <t>08/06/2026</t>
        </is>
      </c>
      <c r="E1630" s="2" t="inlineStr">
        <is>
          <t>Dinheiro</t>
        </is>
      </c>
      <c r="F1630" s="2" t="inlineStr">
        <is>
          <t>Boleto "66930" do cliente "PERCIVAL APARECIDO ALONSO"</t>
        </is>
      </c>
      <c r="G1630" s="2" t="inlineStr">
        <is>
          <t>system</t>
        </is>
      </c>
      <c r="H1630" s="2" t="inlineStr">
        <is>
          <t>01.01.01 : Mensalidade</t>
        </is>
      </c>
      <c r="I1630" s="3" t="n">
        <v>104.9</v>
      </c>
      <c r="J1630" s="2" t="n"/>
      <c r="K1630" s="2">
        <f>IF(H1630="02.09 : Outras Saídas", IF(OR(ISNUMBER(SEARCH("CHEQUE COMPE SICREDI", F1630)), ISNUMBER(SEARCH("aniversario", F1630)), ISNUMBER(SEARCH("churrasco", F1630)), ISNUMBER(SEARCH("bolo", F1630)), ISNUMBER(SEARCH("SUPERMERCADO", F1630))), "6.1 Despesas Administrativas (Pessoal)", IF(OR(ISNUMBER(SEARCH("DLKNET", F1630)), ISNUMBER(SEARCH("TESTE", F1630))), "6.1 Despesas Administrativas (Gerais)", IFERROR(VLOOKUP(H1630, De_Para!A:B, 2, FALSE), "NÃO MAPEADO"))), IFERROR(VLOOKUP(H1630, De_Para!A:B, 2, FALSE), "NÃO MAPEADO"))</f>
        <v/>
      </c>
    </row>
    <row r="1631">
      <c r="A1631" s="2" t="inlineStr">
        <is>
          <t>68055</t>
        </is>
      </c>
      <c r="B1631" s="2" t="inlineStr">
        <is>
          <t>Sicoob</t>
        </is>
      </c>
      <c r="C1631" s="2" t="inlineStr">
        <is>
          <t>08/06/2026</t>
        </is>
      </c>
      <c r="D1631" s="2" t="inlineStr">
        <is>
          <t>08/06/2026</t>
        </is>
      </c>
      <c r="E1631" s="2" t="inlineStr">
        <is>
          <t>Dinheiro</t>
        </is>
      </c>
      <c r="F1631" s="2" t="inlineStr">
        <is>
          <t>Boleto "66866" do cliente "TIAGO DE ALMEIDA"</t>
        </is>
      </c>
      <c r="G1631" s="2" t="inlineStr">
        <is>
          <t>system</t>
        </is>
      </c>
      <c r="H1631" s="2" t="inlineStr">
        <is>
          <t>02.03.02.01 : Cobrança Bancaria</t>
        </is>
      </c>
      <c r="I1631" s="2" t="n"/>
      <c r="J1631" s="3" t="n">
        <v>-0.88</v>
      </c>
      <c r="K1631" s="2">
        <f>IF(H1631="02.09 : Outras Saídas", IF(OR(ISNUMBER(SEARCH("CHEQUE COMPE SICREDI", F1631)), ISNUMBER(SEARCH("aniversario", F1631)), ISNUMBER(SEARCH("churrasco", F1631)), ISNUMBER(SEARCH("bolo", F1631)), ISNUMBER(SEARCH("SUPERMERCADO", F1631))), "6.1 Despesas Administrativas (Pessoal)", IF(OR(ISNUMBER(SEARCH("DLKNET", F1631)), ISNUMBER(SEARCH("TESTE", F1631))), "6.1 Despesas Administrativas (Gerais)", IFERROR(VLOOKUP(H1631, De_Para!A:B, 2, FALSE), "NÃO MAPEADO"))), IFERROR(VLOOKUP(H1631, De_Para!A:B, 2, FALSE), "NÃO MAPEADO"))</f>
        <v/>
      </c>
    </row>
    <row r="1632">
      <c r="A1632" s="2" t="inlineStr">
        <is>
          <t>68054</t>
        </is>
      </c>
      <c r="B1632" s="2" t="inlineStr">
        <is>
          <t>Sicoob</t>
        </is>
      </c>
      <c r="C1632" s="2" t="inlineStr">
        <is>
          <t>08/06/2026</t>
        </is>
      </c>
      <c r="D1632" s="2" t="inlineStr">
        <is>
          <t>08/06/2026</t>
        </is>
      </c>
      <c r="E1632" s="2" t="inlineStr">
        <is>
          <t>Dinheiro</t>
        </is>
      </c>
      <c r="F1632" s="2" t="inlineStr">
        <is>
          <t>Boleto "66866" do cliente "TIAGO DE ALMEIDA"</t>
        </is>
      </c>
      <c r="G1632" s="2" t="inlineStr">
        <is>
          <t>system</t>
        </is>
      </c>
      <c r="H1632" s="2" t="inlineStr">
        <is>
          <t>01.01.01 : Mensalidade</t>
        </is>
      </c>
      <c r="I1632" s="3" t="n">
        <v>104.9</v>
      </c>
      <c r="J1632" s="2" t="n"/>
      <c r="K1632" s="2">
        <f>IF(H1632="02.09 : Outras Saídas", IF(OR(ISNUMBER(SEARCH("CHEQUE COMPE SICREDI", F1632)), ISNUMBER(SEARCH("aniversario", F1632)), ISNUMBER(SEARCH("churrasco", F1632)), ISNUMBER(SEARCH("bolo", F1632)), ISNUMBER(SEARCH("SUPERMERCADO", F1632))), "6.1 Despesas Administrativas (Pessoal)", IF(OR(ISNUMBER(SEARCH("DLKNET", F1632)), ISNUMBER(SEARCH("TESTE", F1632))), "6.1 Despesas Administrativas (Gerais)", IFERROR(VLOOKUP(H1632, De_Para!A:B, 2, FALSE), "NÃO MAPEADO"))), IFERROR(VLOOKUP(H1632, De_Para!A:B, 2, FALSE), "NÃO MAPEADO"))</f>
        <v/>
      </c>
    </row>
    <row r="1633">
      <c r="A1633" s="2" t="inlineStr">
        <is>
          <t>68053</t>
        </is>
      </c>
      <c r="B1633" s="2" t="inlineStr">
        <is>
          <t>Sicoob</t>
        </is>
      </c>
      <c r="C1633" s="2" t="inlineStr">
        <is>
          <t>08/06/2026</t>
        </is>
      </c>
      <c r="D1633" s="2" t="inlineStr">
        <is>
          <t>08/06/2026</t>
        </is>
      </c>
      <c r="E1633" s="2" t="inlineStr">
        <is>
          <t>Dinheiro</t>
        </is>
      </c>
      <c r="F1633" s="2" t="inlineStr">
        <is>
          <t>Boleto "64772" do cliente "MARIA RITA BALBINO PEREIRA"</t>
        </is>
      </c>
      <c r="G1633" s="2" t="inlineStr">
        <is>
          <t>system</t>
        </is>
      </c>
      <c r="H1633" s="2" t="inlineStr">
        <is>
          <t>02.03.02.01 : Cobrança Bancaria</t>
        </is>
      </c>
      <c r="I1633" s="2" t="n"/>
      <c r="J1633" s="3" t="n">
        <v>-0.88</v>
      </c>
      <c r="K1633" s="2">
        <f>IF(H1633="02.09 : Outras Saídas", IF(OR(ISNUMBER(SEARCH("CHEQUE COMPE SICREDI", F1633)), ISNUMBER(SEARCH("aniversario", F1633)), ISNUMBER(SEARCH("churrasco", F1633)), ISNUMBER(SEARCH("bolo", F1633)), ISNUMBER(SEARCH("SUPERMERCADO", F1633))), "6.1 Despesas Administrativas (Pessoal)", IF(OR(ISNUMBER(SEARCH("DLKNET", F1633)), ISNUMBER(SEARCH("TESTE", F1633))), "6.1 Despesas Administrativas (Gerais)", IFERROR(VLOOKUP(H1633, De_Para!A:B, 2, FALSE), "NÃO MAPEADO"))), IFERROR(VLOOKUP(H1633, De_Para!A:B, 2, FALSE), "NÃO MAPEADO"))</f>
        <v/>
      </c>
    </row>
    <row r="1634">
      <c r="A1634" s="2" t="inlineStr">
        <is>
          <t>68052</t>
        </is>
      </c>
      <c r="B1634" s="2" t="inlineStr">
        <is>
          <t>Sicoob</t>
        </is>
      </c>
      <c r="C1634" s="2" t="inlineStr">
        <is>
          <t>08/06/2026</t>
        </is>
      </c>
      <c r="D1634" s="2" t="inlineStr">
        <is>
          <t>08/06/2026</t>
        </is>
      </c>
      <c r="E1634" s="2" t="inlineStr">
        <is>
          <t>Dinheiro</t>
        </is>
      </c>
      <c r="F1634" s="2" t="inlineStr">
        <is>
          <t>Boleto "64772" do cliente "MARIA RITA BALBINO PEREIRA"</t>
        </is>
      </c>
      <c r="G1634" s="2" t="inlineStr">
        <is>
          <t>system</t>
        </is>
      </c>
      <c r="H1634" s="2" t="inlineStr">
        <is>
          <t>01.01.01 : Mensalidade</t>
        </is>
      </c>
      <c r="I1634" s="3" t="n">
        <v>100</v>
      </c>
      <c r="J1634" s="2" t="n"/>
      <c r="K1634" s="2">
        <f>IF(H1634="02.09 : Outras Saídas", IF(OR(ISNUMBER(SEARCH("CHEQUE COMPE SICREDI", F1634)), ISNUMBER(SEARCH("aniversario", F1634)), ISNUMBER(SEARCH("churrasco", F1634)), ISNUMBER(SEARCH("bolo", F1634)), ISNUMBER(SEARCH("SUPERMERCADO", F1634))), "6.1 Despesas Administrativas (Pessoal)", IF(OR(ISNUMBER(SEARCH("DLKNET", F1634)), ISNUMBER(SEARCH("TESTE", F1634))), "6.1 Despesas Administrativas (Gerais)", IFERROR(VLOOKUP(H1634, De_Para!A:B, 2, FALSE), "NÃO MAPEADO"))), IFERROR(VLOOKUP(H1634, De_Para!A:B, 2, FALSE), "NÃO MAPEADO"))</f>
        <v/>
      </c>
    </row>
    <row r="1635">
      <c r="A1635" s="2" t="inlineStr">
        <is>
          <t>68051</t>
        </is>
      </c>
      <c r="B1635" s="2" t="inlineStr">
        <is>
          <t>Sicoob</t>
        </is>
      </c>
      <c r="C1635" s="2" t="inlineStr">
        <is>
          <t>08/06/2026</t>
        </is>
      </c>
      <c r="D1635" s="2" t="inlineStr">
        <is>
          <t>08/06/2026</t>
        </is>
      </c>
      <c r="E1635" s="2" t="inlineStr">
        <is>
          <t>Dinheiro</t>
        </is>
      </c>
      <c r="F1635" s="2" t="inlineStr">
        <is>
          <t>Boleto "63805" do cliente "JOSÉ QUINTINO DOS SANTOS"</t>
        </is>
      </c>
      <c r="G1635" s="2" t="inlineStr">
        <is>
          <t>system</t>
        </is>
      </c>
      <c r="H1635" s="2" t="inlineStr">
        <is>
          <t>02.03.02.01 : Cobrança Bancaria</t>
        </is>
      </c>
      <c r="I1635" s="2" t="n"/>
      <c r="J1635" s="3" t="n">
        <v>-0.88</v>
      </c>
      <c r="K1635" s="2">
        <f>IF(H1635="02.09 : Outras Saídas", IF(OR(ISNUMBER(SEARCH("CHEQUE COMPE SICREDI", F1635)), ISNUMBER(SEARCH("aniversario", F1635)), ISNUMBER(SEARCH("churrasco", F1635)), ISNUMBER(SEARCH("bolo", F1635)), ISNUMBER(SEARCH("SUPERMERCADO", F1635))), "6.1 Despesas Administrativas (Pessoal)", IF(OR(ISNUMBER(SEARCH("DLKNET", F1635)), ISNUMBER(SEARCH("TESTE", F1635))), "6.1 Despesas Administrativas (Gerais)", IFERROR(VLOOKUP(H1635, De_Para!A:B, 2, FALSE), "NÃO MAPEADO"))), IFERROR(VLOOKUP(H1635, De_Para!A:B, 2, FALSE), "NÃO MAPEADO"))</f>
        <v/>
      </c>
    </row>
    <row r="1636">
      <c r="A1636" s="2" t="inlineStr">
        <is>
          <t>68050</t>
        </is>
      </c>
      <c r="B1636" s="2" t="inlineStr">
        <is>
          <t>Sicoob</t>
        </is>
      </c>
      <c r="C1636" s="2" t="inlineStr">
        <is>
          <t>08/06/2026</t>
        </is>
      </c>
      <c r="D1636" s="2" t="inlineStr">
        <is>
          <t>08/06/2026</t>
        </is>
      </c>
      <c r="E1636" s="2" t="inlineStr">
        <is>
          <t>Dinheiro</t>
        </is>
      </c>
      <c r="F1636" s="2" t="inlineStr">
        <is>
          <t>Boleto "63805" do cliente "JOSÉ QUINTINO DOS SANTOS"</t>
        </is>
      </c>
      <c r="G1636" s="2" t="inlineStr">
        <is>
          <t>system</t>
        </is>
      </c>
      <c r="H1636" s="2" t="inlineStr">
        <is>
          <t>01.01.01 : Mensalidade</t>
        </is>
      </c>
      <c r="I1636" s="3" t="n">
        <v>104.9</v>
      </c>
      <c r="J1636" s="2" t="n"/>
      <c r="K1636" s="2">
        <f>IF(H1636="02.09 : Outras Saídas", IF(OR(ISNUMBER(SEARCH("CHEQUE COMPE SICREDI", F1636)), ISNUMBER(SEARCH("aniversario", F1636)), ISNUMBER(SEARCH("churrasco", F1636)), ISNUMBER(SEARCH("bolo", F1636)), ISNUMBER(SEARCH("SUPERMERCADO", F1636))), "6.1 Despesas Administrativas (Pessoal)", IF(OR(ISNUMBER(SEARCH("DLKNET", F1636)), ISNUMBER(SEARCH("TESTE", F1636))), "6.1 Despesas Administrativas (Gerais)", IFERROR(VLOOKUP(H1636, De_Para!A:B, 2, FALSE), "NÃO MAPEADO"))), IFERROR(VLOOKUP(H1636, De_Para!A:B, 2, FALSE), "NÃO MAPEADO"))</f>
        <v/>
      </c>
    </row>
    <row r="1637">
      <c r="A1637" s="2" t="inlineStr">
        <is>
          <t>68049</t>
        </is>
      </c>
      <c r="B1637" s="2" t="inlineStr">
        <is>
          <t>Sicoob</t>
        </is>
      </c>
      <c r="C1637" s="2" t="inlineStr">
        <is>
          <t>08/06/2026</t>
        </is>
      </c>
      <c r="D1637" s="2" t="inlineStr">
        <is>
          <t>08/06/2026</t>
        </is>
      </c>
      <c r="E1637" s="2" t="inlineStr">
        <is>
          <t>Dinheiro</t>
        </is>
      </c>
      <c r="F1637" s="2" t="inlineStr">
        <is>
          <t>Boleto "63204" do cliente "RAQUIEL PEREIRA DA SILVA"</t>
        </is>
      </c>
      <c r="G1637" s="2" t="inlineStr">
        <is>
          <t>system</t>
        </is>
      </c>
      <c r="H1637" s="2" t="inlineStr">
        <is>
          <t>02.03.02.01 : Cobrança Bancaria</t>
        </is>
      </c>
      <c r="I1637" s="2" t="n"/>
      <c r="J1637" s="3" t="n">
        <v>-0.88</v>
      </c>
      <c r="K1637" s="2">
        <f>IF(H1637="02.09 : Outras Saídas", IF(OR(ISNUMBER(SEARCH("CHEQUE COMPE SICREDI", F1637)), ISNUMBER(SEARCH("aniversario", F1637)), ISNUMBER(SEARCH("churrasco", F1637)), ISNUMBER(SEARCH("bolo", F1637)), ISNUMBER(SEARCH("SUPERMERCADO", F1637))), "6.1 Despesas Administrativas (Pessoal)", IF(OR(ISNUMBER(SEARCH("DLKNET", F1637)), ISNUMBER(SEARCH("TESTE", F1637))), "6.1 Despesas Administrativas (Gerais)", IFERROR(VLOOKUP(H1637, De_Para!A:B, 2, FALSE), "NÃO MAPEADO"))), IFERROR(VLOOKUP(H1637, De_Para!A:B, 2, FALSE), "NÃO MAPEADO"))</f>
        <v/>
      </c>
    </row>
    <row r="1638">
      <c r="A1638" s="2" t="inlineStr">
        <is>
          <t>68048</t>
        </is>
      </c>
      <c r="B1638" s="2" t="inlineStr">
        <is>
          <t>Sicoob</t>
        </is>
      </c>
      <c r="C1638" s="2" t="inlineStr">
        <is>
          <t>08/06/2026</t>
        </is>
      </c>
      <c r="D1638" s="2" t="inlineStr">
        <is>
          <t>08/06/2026</t>
        </is>
      </c>
      <c r="E1638" s="2" t="inlineStr">
        <is>
          <t>Dinheiro</t>
        </is>
      </c>
      <c r="F1638" s="2" t="inlineStr">
        <is>
          <t>Boleto "63204" do cliente "RAQUIEL PEREIRA DA SILVA"</t>
        </is>
      </c>
      <c r="G1638" s="2" t="inlineStr">
        <is>
          <t>system</t>
        </is>
      </c>
      <c r="H1638" s="2" t="inlineStr">
        <is>
          <t>01.01.01 : Mensalidade</t>
        </is>
      </c>
      <c r="I1638" s="3" t="n">
        <v>109.9</v>
      </c>
      <c r="J1638" s="2" t="n"/>
      <c r="K1638" s="2">
        <f>IF(H1638="02.09 : Outras Saídas", IF(OR(ISNUMBER(SEARCH("CHEQUE COMPE SICREDI", F1638)), ISNUMBER(SEARCH("aniversario", F1638)), ISNUMBER(SEARCH("churrasco", F1638)), ISNUMBER(SEARCH("bolo", F1638)), ISNUMBER(SEARCH("SUPERMERCADO", F1638))), "6.1 Despesas Administrativas (Pessoal)", IF(OR(ISNUMBER(SEARCH("DLKNET", F1638)), ISNUMBER(SEARCH("TESTE", F1638))), "6.1 Despesas Administrativas (Gerais)", IFERROR(VLOOKUP(H1638, De_Para!A:B, 2, FALSE), "NÃO MAPEADO"))), IFERROR(VLOOKUP(H1638, De_Para!A:B, 2, FALSE), "NÃO MAPEADO"))</f>
        <v/>
      </c>
    </row>
    <row r="1639">
      <c r="A1639" s="2" t="inlineStr">
        <is>
          <t>68047</t>
        </is>
      </c>
      <c r="B1639" s="2" t="inlineStr">
        <is>
          <t>Sicoob</t>
        </is>
      </c>
      <c r="C1639" s="2" t="inlineStr">
        <is>
          <t>08/06/2026</t>
        </is>
      </c>
      <c r="D1639" s="2" t="inlineStr">
        <is>
          <t>08/06/2026</t>
        </is>
      </c>
      <c r="E1639" s="2" t="inlineStr">
        <is>
          <t>Dinheiro</t>
        </is>
      </c>
      <c r="F1639" s="2" t="inlineStr">
        <is>
          <t>Boleto "63171" do cliente "DAISE ALINE DA LUZ BARBOSA"</t>
        </is>
      </c>
      <c r="G1639" s="2" t="inlineStr">
        <is>
          <t>system</t>
        </is>
      </c>
      <c r="H1639" s="2" t="inlineStr">
        <is>
          <t>02.03.02.01 : Cobrança Bancaria</t>
        </is>
      </c>
      <c r="I1639" s="2" t="n"/>
      <c r="J1639" s="3" t="n">
        <v>-0.88</v>
      </c>
      <c r="K1639" s="2">
        <f>IF(H1639="02.09 : Outras Saídas", IF(OR(ISNUMBER(SEARCH("CHEQUE COMPE SICREDI", F1639)), ISNUMBER(SEARCH("aniversario", F1639)), ISNUMBER(SEARCH("churrasco", F1639)), ISNUMBER(SEARCH("bolo", F1639)), ISNUMBER(SEARCH("SUPERMERCADO", F1639))), "6.1 Despesas Administrativas (Pessoal)", IF(OR(ISNUMBER(SEARCH("DLKNET", F1639)), ISNUMBER(SEARCH("TESTE", F1639))), "6.1 Despesas Administrativas (Gerais)", IFERROR(VLOOKUP(H1639, De_Para!A:B, 2, FALSE), "NÃO MAPEADO"))), IFERROR(VLOOKUP(H1639, De_Para!A:B, 2, FALSE), "NÃO MAPEADO"))</f>
        <v/>
      </c>
    </row>
    <row r="1640">
      <c r="A1640" s="2" t="inlineStr">
        <is>
          <t>68046</t>
        </is>
      </c>
      <c r="B1640" s="2" t="inlineStr">
        <is>
          <t>Sicoob</t>
        </is>
      </c>
      <c r="C1640" s="2" t="inlineStr">
        <is>
          <t>08/06/2026</t>
        </is>
      </c>
      <c r="D1640" s="2" t="inlineStr">
        <is>
          <t>08/06/2026</t>
        </is>
      </c>
      <c r="E1640" s="2" t="inlineStr">
        <is>
          <t>Dinheiro</t>
        </is>
      </c>
      <c r="F1640" s="2" t="inlineStr">
        <is>
          <t>Boleto "63171" do cliente "DAISE ALINE DA LUZ BARBOSA"</t>
        </is>
      </c>
      <c r="G1640" s="2" t="inlineStr">
        <is>
          <t>system</t>
        </is>
      </c>
      <c r="H1640" s="2" t="inlineStr">
        <is>
          <t>01.01.01 : Mensalidade</t>
        </is>
      </c>
      <c r="I1640" s="3" t="n">
        <v>109.9</v>
      </c>
      <c r="J1640" s="2" t="n"/>
      <c r="K1640" s="2">
        <f>IF(H1640="02.09 : Outras Saídas", IF(OR(ISNUMBER(SEARCH("CHEQUE COMPE SICREDI", F1640)), ISNUMBER(SEARCH("aniversario", F1640)), ISNUMBER(SEARCH("churrasco", F1640)), ISNUMBER(SEARCH("bolo", F1640)), ISNUMBER(SEARCH("SUPERMERCADO", F1640))), "6.1 Despesas Administrativas (Pessoal)", IF(OR(ISNUMBER(SEARCH("DLKNET", F1640)), ISNUMBER(SEARCH("TESTE", F1640))), "6.1 Despesas Administrativas (Gerais)", IFERROR(VLOOKUP(H1640, De_Para!A:B, 2, FALSE), "NÃO MAPEADO"))), IFERROR(VLOOKUP(H1640, De_Para!A:B, 2, FALSE), "NÃO MAPEADO"))</f>
        <v/>
      </c>
    </row>
    <row r="1641">
      <c r="A1641" s="2" t="inlineStr">
        <is>
          <t>68045</t>
        </is>
      </c>
      <c r="B1641" s="2" t="inlineStr">
        <is>
          <t>Sicoob</t>
        </is>
      </c>
      <c r="C1641" s="2" t="inlineStr">
        <is>
          <t>08/06/2026</t>
        </is>
      </c>
      <c r="D1641" s="2" t="inlineStr">
        <is>
          <t>08/06/2026</t>
        </is>
      </c>
      <c r="E1641" s="2" t="inlineStr">
        <is>
          <t>Dinheiro</t>
        </is>
      </c>
      <c r="F1641" s="2" t="inlineStr">
        <is>
          <t>Boleto "61941" do cliente "JOSE ROBERTO DA SILVA"</t>
        </is>
      </c>
      <c r="G1641" s="2" t="inlineStr">
        <is>
          <t>system</t>
        </is>
      </c>
      <c r="H1641" s="2" t="inlineStr">
        <is>
          <t>02.03.02.01 : Cobrança Bancaria</t>
        </is>
      </c>
      <c r="I1641" s="2" t="n"/>
      <c r="J1641" s="3" t="n">
        <v>-0.88</v>
      </c>
      <c r="K1641" s="2">
        <f>IF(H1641="02.09 : Outras Saídas", IF(OR(ISNUMBER(SEARCH("CHEQUE COMPE SICREDI", F1641)), ISNUMBER(SEARCH("aniversario", F1641)), ISNUMBER(SEARCH("churrasco", F1641)), ISNUMBER(SEARCH("bolo", F1641)), ISNUMBER(SEARCH("SUPERMERCADO", F1641))), "6.1 Despesas Administrativas (Pessoal)", IF(OR(ISNUMBER(SEARCH("DLKNET", F1641)), ISNUMBER(SEARCH("TESTE", F1641))), "6.1 Despesas Administrativas (Gerais)", IFERROR(VLOOKUP(H1641, De_Para!A:B, 2, FALSE), "NÃO MAPEADO"))), IFERROR(VLOOKUP(H1641, De_Para!A:B, 2, FALSE), "NÃO MAPEADO"))</f>
        <v/>
      </c>
    </row>
    <row r="1642">
      <c r="A1642" s="2" t="inlineStr">
        <is>
          <t>68044</t>
        </is>
      </c>
      <c r="B1642" s="2" t="inlineStr">
        <is>
          <t>Sicoob</t>
        </is>
      </c>
      <c r="C1642" s="2" t="inlineStr">
        <is>
          <t>08/06/2026</t>
        </is>
      </c>
      <c r="D1642" s="2" t="inlineStr">
        <is>
          <t>08/06/2026</t>
        </is>
      </c>
      <c r="E1642" s="2" t="inlineStr">
        <is>
          <t>Dinheiro</t>
        </is>
      </c>
      <c r="F1642" s="2" t="inlineStr">
        <is>
          <t>Boleto "61941" do cliente "JOSE ROBERTO DA SILVA"</t>
        </is>
      </c>
      <c r="G1642" s="2" t="inlineStr">
        <is>
          <t>system</t>
        </is>
      </c>
      <c r="H1642" s="2" t="inlineStr">
        <is>
          <t>01.01.01 : Mensalidade</t>
        </is>
      </c>
      <c r="I1642" s="3" t="n">
        <v>105</v>
      </c>
      <c r="J1642" s="2" t="n"/>
      <c r="K1642" s="2">
        <f>IF(H1642="02.09 : Outras Saídas", IF(OR(ISNUMBER(SEARCH("CHEQUE COMPE SICREDI", F1642)), ISNUMBER(SEARCH("aniversario", F1642)), ISNUMBER(SEARCH("churrasco", F1642)), ISNUMBER(SEARCH("bolo", F1642)), ISNUMBER(SEARCH("SUPERMERCADO", F1642))), "6.1 Despesas Administrativas (Pessoal)", IF(OR(ISNUMBER(SEARCH("DLKNET", F1642)), ISNUMBER(SEARCH("TESTE", F1642))), "6.1 Despesas Administrativas (Gerais)", IFERROR(VLOOKUP(H1642, De_Para!A:B, 2, FALSE), "NÃO MAPEADO"))), IFERROR(VLOOKUP(H1642, De_Para!A:B, 2, FALSE), "NÃO MAPEADO"))</f>
        <v/>
      </c>
    </row>
    <row r="1643">
      <c r="A1643" s="2" t="inlineStr">
        <is>
          <t>68043</t>
        </is>
      </c>
      <c r="B1643" s="2" t="inlineStr">
        <is>
          <t>Sicoob</t>
        </is>
      </c>
      <c r="C1643" s="2" t="inlineStr">
        <is>
          <t>08/06/2026</t>
        </is>
      </c>
      <c r="D1643" s="2" t="inlineStr">
        <is>
          <t>08/06/2026</t>
        </is>
      </c>
      <c r="E1643" s="2" t="inlineStr">
        <is>
          <t>Dinheiro</t>
        </is>
      </c>
      <c r="F1643" s="2" t="inlineStr">
        <is>
          <t>Boleto "61659" do cliente "DIRCE MANZANO CASTILHO DO VALE"</t>
        </is>
      </c>
      <c r="G1643" s="2" t="inlineStr">
        <is>
          <t>system</t>
        </is>
      </c>
      <c r="H1643" s="2" t="inlineStr">
        <is>
          <t>02.03.02.01 : Cobrança Bancaria</t>
        </is>
      </c>
      <c r="I1643" s="2" t="n"/>
      <c r="J1643" s="3" t="n">
        <v>-0.88</v>
      </c>
      <c r="K1643" s="2">
        <f>IF(H1643="02.09 : Outras Saídas", IF(OR(ISNUMBER(SEARCH("CHEQUE COMPE SICREDI", F1643)), ISNUMBER(SEARCH("aniversario", F1643)), ISNUMBER(SEARCH("churrasco", F1643)), ISNUMBER(SEARCH("bolo", F1643)), ISNUMBER(SEARCH("SUPERMERCADO", F1643))), "6.1 Despesas Administrativas (Pessoal)", IF(OR(ISNUMBER(SEARCH("DLKNET", F1643)), ISNUMBER(SEARCH("TESTE", F1643))), "6.1 Despesas Administrativas (Gerais)", IFERROR(VLOOKUP(H1643, De_Para!A:B, 2, FALSE), "NÃO MAPEADO"))), IFERROR(VLOOKUP(H1643, De_Para!A:B, 2, FALSE), "NÃO MAPEADO"))</f>
        <v/>
      </c>
    </row>
    <row r="1644">
      <c r="A1644" s="2" t="inlineStr">
        <is>
          <t>68042</t>
        </is>
      </c>
      <c r="B1644" s="2" t="inlineStr">
        <is>
          <t>Sicoob</t>
        </is>
      </c>
      <c r="C1644" s="2" t="inlineStr">
        <is>
          <t>08/06/2026</t>
        </is>
      </c>
      <c r="D1644" s="2" t="inlineStr">
        <is>
          <t>08/06/2026</t>
        </is>
      </c>
      <c r="E1644" s="2" t="inlineStr">
        <is>
          <t>Dinheiro</t>
        </is>
      </c>
      <c r="F1644" s="2" t="inlineStr">
        <is>
          <t>Boleto "61659" do cliente "DIRCE MANZANO CASTILHO DO VALE"</t>
        </is>
      </c>
      <c r="G1644" s="2" t="inlineStr">
        <is>
          <t>system</t>
        </is>
      </c>
      <c r="H1644" s="2" t="inlineStr">
        <is>
          <t>01.01.01 : Mensalidade</t>
        </is>
      </c>
      <c r="I1644" s="3" t="n">
        <v>100</v>
      </c>
      <c r="J1644" s="2" t="n"/>
      <c r="K1644" s="2">
        <f>IF(H1644="02.09 : Outras Saídas", IF(OR(ISNUMBER(SEARCH("CHEQUE COMPE SICREDI", F1644)), ISNUMBER(SEARCH("aniversario", F1644)), ISNUMBER(SEARCH("churrasco", F1644)), ISNUMBER(SEARCH("bolo", F1644)), ISNUMBER(SEARCH("SUPERMERCADO", F1644))), "6.1 Despesas Administrativas (Pessoal)", IF(OR(ISNUMBER(SEARCH("DLKNET", F1644)), ISNUMBER(SEARCH("TESTE", F1644))), "6.1 Despesas Administrativas (Gerais)", IFERROR(VLOOKUP(H1644, De_Para!A:B, 2, FALSE), "NÃO MAPEADO"))), IFERROR(VLOOKUP(H1644, De_Para!A:B, 2, FALSE), "NÃO MAPEADO"))</f>
        <v/>
      </c>
    </row>
    <row r="1645">
      <c r="A1645" s="2" t="inlineStr">
        <is>
          <t>68041</t>
        </is>
      </c>
      <c r="B1645" s="2" t="inlineStr">
        <is>
          <t>Sicoob</t>
        </is>
      </c>
      <c r="C1645" s="2" t="inlineStr">
        <is>
          <t>08/06/2026</t>
        </is>
      </c>
      <c r="D1645" s="2" t="inlineStr">
        <is>
          <t>08/06/2026</t>
        </is>
      </c>
      <c r="E1645" s="2" t="inlineStr">
        <is>
          <t>Dinheiro</t>
        </is>
      </c>
      <c r="F1645" s="2" t="inlineStr">
        <is>
          <t>Boleto "61400" do cliente "ISMAIL TEIXEIRA"</t>
        </is>
      </c>
      <c r="G1645" s="2" t="inlineStr">
        <is>
          <t>system</t>
        </is>
      </c>
      <c r="H1645" s="2" t="inlineStr">
        <is>
          <t>02.03.02.01 : Cobrança Bancaria</t>
        </is>
      </c>
      <c r="I1645" s="2" t="n"/>
      <c r="J1645" s="3" t="n">
        <v>-0.88</v>
      </c>
      <c r="K1645" s="2">
        <f>IF(H1645="02.09 : Outras Saídas", IF(OR(ISNUMBER(SEARCH("CHEQUE COMPE SICREDI", F1645)), ISNUMBER(SEARCH("aniversario", F1645)), ISNUMBER(SEARCH("churrasco", F1645)), ISNUMBER(SEARCH("bolo", F1645)), ISNUMBER(SEARCH("SUPERMERCADO", F1645))), "6.1 Despesas Administrativas (Pessoal)", IF(OR(ISNUMBER(SEARCH("DLKNET", F1645)), ISNUMBER(SEARCH("TESTE", F1645))), "6.1 Despesas Administrativas (Gerais)", IFERROR(VLOOKUP(H1645, De_Para!A:B, 2, FALSE), "NÃO MAPEADO"))), IFERROR(VLOOKUP(H1645, De_Para!A:B, 2, FALSE), "NÃO MAPEADO"))</f>
        <v/>
      </c>
    </row>
    <row r="1646">
      <c r="A1646" s="2" t="inlineStr">
        <is>
          <t>68040</t>
        </is>
      </c>
      <c r="B1646" s="2" t="inlineStr">
        <is>
          <t>Sicoob</t>
        </is>
      </c>
      <c r="C1646" s="2" t="inlineStr">
        <is>
          <t>08/06/2026</t>
        </is>
      </c>
      <c r="D1646" s="2" t="inlineStr">
        <is>
          <t>08/06/2026</t>
        </is>
      </c>
      <c r="E1646" s="2" t="inlineStr">
        <is>
          <t>Dinheiro</t>
        </is>
      </c>
      <c r="F1646" s="2" t="inlineStr">
        <is>
          <t>Boleto "61400" do cliente "ISMAIL TEIXEIRA"</t>
        </is>
      </c>
      <c r="G1646" s="2" t="inlineStr">
        <is>
          <t>system</t>
        </is>
      </c>
      <c r="H1646" s="2" t="inlineStr">
        <is>
          <t>01.01.01 : Mensalidade</t>
        </is>
      </c>
      <c r="I1646" s="3" t="n">
        <v>105</v>
      </c>
      <c r="J1646" s="2" t="n"/>
      <c r="K1646" s="2">
        <f>IF(H1646="02.09 : Outras Saídas", IF(OR(ISNUMBER(SEARCH("CHEQUE COMPE SICREDI", F1646)), ISNUMBER(SEARCH("aniversario", F1646)), ISNUMBER(SEARCH("churrasco", F1646)), ISNUMBER(SEARCH("bolo", F1646)), ISNUMBER(SEARCH("SUPERMERCADO", F1646))), "6.1 Despesas Administrativas (Pessoal)", IF(OR(ISNUMBER(SEARCH("DLKNET", F1646)), ISNUMBER(SEARCH("TESTE", F1646))), "6.1 Despesas Administrativas (Gerais)", IFERROR(VLOOKUP(H1646, De_Para!A:B, 2, FALSE), "NÃO MAPEADO"))), IFERROR(VLOOKUP(H1646, De_Para!A:B, 2, FALSE), "NÃO MAPEADO"))</f>
        <v/>
      </c>
    </row>
    <row r="1647">
      <c r="A1647" s="2" t="inlineStr">
        <is>
          <t>68039</t>
        </is>
      </c>
      <c r="B1647" s="2" t="inlineStr">
        <is>
          <t>Sicoob</t>
        </is>
      </c>
      <c r="C1647" s="2" t="inlineStr">
        <is>
          <t>08/06/2026</t>
        </is>
      </c>
      <c r="D1647" s="2" t="inlineStr">
        <is>
          <t>08/06/2026</t>
        </is>
      </c>
      <c r="E1647" s="2" t="inlineStr">
        <is>
          <t>Dinheiro</t>
        </is>
      </c>
      <c r="F1647" s="2" t="inlineStr">
        <is>
          <t>Boleto "60837" do cliente "BENEDITA APARECIDA GALO"</t>
        </is>
      </c>
      <c r="G1647" s="2" t="inlineStr">
        <is>
          <t>system</t>
        </is>
      </c>
      <c r="H1647" s="2" t="inlineStr">
        <is>
          <t>02.03.02.01 : Cobrança Bancaria</t>
        </is>
      </c>
      <c r="I1647" s="2" t="n"/>
      <c r="J1647" s="3" t="n">
        <v>-0.88</v>
      </c>
      <c r="K1647" s="2">
        <f>IF(H1647="02.09 : Outras Saídas", IF(OR(ISNUMBER(SEARCH("CHEQUE COMPE SICREDI", F1647)), ISNUMBER(SEARCH("aniversario", F1647)), ISNUMBER(SEARCH("churrasco", F1647)), ISNUMBER(SEARCH("bolo", F1647)), ISNUMBER(SEARCH("SUPERMERCADO", F1647))), "6.1 Despesas Administrativas (Pessoal)", IF(OR(ISNUMBER(SEARCH("DLKNET", F1647)), ISNUMBER(SEARCH("TESTE", F1647))), "6.1 Despesas Administrativas (Gerais)", IFERROR(VLOOKUP(H1647, De_Para!A:B, 2, FALSE), "NÃO MAPEADO"))), IFERROR(VLOOKUP(H1647, De_Para!A:B, 2, FALSE), "NÃO MAPEADO"))</f>
        <v/>
      </c>
    </row>
    <row r="1648">
      <c r="A1648" s="2" t="inlineStr">
        <is>
          <t>68038</t>
        </is>
      </c>
      <c r="B1648" s="2" t="inlineStr">
        <is>
          <t>Sicoob</t>
        </is>
      </c>
      <c r="C1648" s="2" t="inlineStr">
        <is>
          <t>08/06/2026</t>
        </is>
      </c>
      <c r="D1648" s="2" t="inlineStr">
        <is>
          <t>08/06/2026</t>
        </is>
      </c>
      <c r="E1648" s="2" t="inlineStr">
        <is>
          <t>Dinheiro</t>
        </is>
      </c>
      <c r="F1648" s="2" t="inlineStr">
        <is>
          <t>Boleto "60837" do cliente "BENEDITA APARECIDA GALO"</t>
        </is>
      </c>
      <c r="G1648" s="2" t="inlineStr">
        <is>
          <t>system</t>
        </is>
      </c>
      <c r="H1648" s="2" t="inlineStr">
        <is>
          <t>01.01.01 : Mensalidade</t>
        </is>
      </c>
      <c r="I1648" s="3" t="n">
        <v>100</v>
      </c>
      <c r="J1648" s="2" t="n"/>
      <c r="K1648" s="2">
        <f>IF(H1648="02.09 : Outras Saídas", IF(OR(ISNUMBER(SEARCH("CHEQUE COMPE SICREDI", F1648)), ISNUMBER(SEARCH("aniversario", F1648)), ISNUMBER(SEARCH("churrasco", F1648)), ISNUMBER(SEARCH("bolo", F1648)), ISNUMBER(SEARCH("SUPERMERCADO", F1648))), "6.1 Despesas Administrativas (Pessoal)", IF(OR(ISNUMBER(SEARCH("DLKNET", F1648)), ISNUMBER(SEARCH("TESTE", F1648))), "6.1 Despesas Administrativas (Gerais)", IFERROR(VLOOKUP(H1648, De_Para!A:B, 2, FALSE), "NÃO MAPEADO"))), IFERROR(VLOOKUP(H1648, De_Para!A:B, 2, FALSE), "NÃO MAPEADO"))</f>
        <v/>
      </c>
    </row>
    <row r="1649">
      <c r="A1649" s="2" t="inlineStr">
        <is>
          <t>68037</t>
        </is>
      </c>
      <c r="B1649" s="2" t="inlineStr">
        <is>
          <t>Sicredi SNI</t>
        </is>
      </c>
      <c r="C1649" s="2" t="inlineStr">
        <is>
          <t>08/06/2026</t>
        </is>
      </c>
      <c r="D1649" s="2" t="inlineStr">
        <is>
          <t>08/06/2026</t>
        </is>
      </c>
      <c r="E1649" s="2" t="inlineStr">
        <is>
          <t>PIX</t>
        </is>
      </c>
      <c r="F1649" s="2" t="inlineStr">
        <is>
          <t>Boleto "64784" do cliente "MAURO FERREIRA DE OLIVEIRA"</t>
        </is>
      </c>
      <c r="G1649" s="2" t="inlineStr">
        <is>
          <t>system</t>
        </is>
      </c>
      <c r="H1649" s="2" t="inlineStr">
        <is>
          <t>02.03.02.01 : Cobrança Bancaria</t>
        </is>
      </c>
      <c r="I1649" s="2" t="n"/>
      <c r="J1649" s="3" t="n">
        <v>-0.49</v>
      </c>
      <c r="K1649" s="2">
        <f>IF(H1649="02.09 : Outras Saídas", IF(OR(ISNUMBER(SEARCH("CHEQUE COMPE SICREDI", F1649)), ISNUMBER(SEARCH("aniversario", F1649)), ISNUMBER(SEARCH("churrasco", F1649)), ISNUMBER(SEARCH("bolo", F1649)), ISNUMBER(SEARCH("SUPERMERCADO", F1649))), "6.1 Despesas Administrativas (Pessoal)", IF(OR(ISNUMBER(SEARCH("DLKNET", F1649)), ISNUMBER(SEARCH("TESTE", F1649))), "6.1 Despesas Administrativas (Gerais)", IFERROR(VLOOKUP(H1649, De_Para!A:B, 2, FALSE), "NÃO MAPEADO"))), IFERROR(VLOOKUP(H1649, De_Para!A:B, 2, FALSE), "NÃO MAPEADO"))</f>
        <v/>
      </c>
    </row>
    <row r="1650">
      <c r="A1650" s="2" t="inlineStr">
        <is>
          <t>68036</t>
        </is>
      </c>
      <c r="B1650" s="2" t="inlineStr">
        <is>
          <t>Sicredi SNI</t>
        </is>
      </c>
      <c r="C1650" s="2" t="inlineStr">
        <is>
          <t>08/06/2026</t>
        </is>
      </c>
      <c r="D1650" s="2" t="inlineStr">
        <is>
          <t>08/06/2026</t>
        </is>
      </c>
      <c r="E1650" s="2" t="inlineStr">
        <is>
          <t>PIX</t>
        </is>
      </c>
      <c r="F1650" s="2" t="inlineStr">
        <is>
          <t>Boleto "64784" do cliente "MAURO FERREIRA DE OLIVEIRA"</t>
        </is>
      </c>
      <c r="G1650" s="2" t="inlineStr">
        <is>
          <t>system</t>
        </is>
      </c>
      <c r="H1650" s="2" t="inlineStr">
        <is>
          <t>01.01.01 : Mensalidade</t>
        </is>
      </c>
      <c r="I1650" s="3" t="n">
        <v>110</v>
      </c>
      <c r="J1650" s="2" t="n"/>
      <c r="K1650" s="2">
        <f>IF(H1650="02.09 : Outras Saídas", IF(OR(ISNUMBER(SEARCH("CHEQUE COMPE SICREDI", F1650)), ISNUMBER(SEARCH("aniversario", F1650)), ISNUMBER(SEARCH("churrasco", F1650)), ISNUMBER(SEARCH("bolo", F1650)), ISNUMBER(SEARCH("SUPERMERCADO", F1650))), "6.1 Despesas Administrativas (Pessoal)", IF(OR(ISNUMBER(SEARCH("DLKNET", F1650)), ISNUMBER(SEARCH("TESTE", F1650))), "6.1 Despesas Administrativas (Gerais)", IFERROR(VLOOKUP(H1650, De_Para!A:B, 2, FALSE), "NÃO MAPEADO"))), IFERROR(VLOOKUP(H1650, De_Para!A:B, 2, FALSE), "NÃO MAPEADO"))</f>
        <v/>
      </c>
    </row>
    <row r="1651">
      <c r="A1651" s="2" t="inlineStr">
        <is>
          <t>68035</t>
        </is>
      </c>
      <c r="B1651" s="2" t="inlineStr">
        <is>
          <t>Sicredi SNI</t>
        </is>
      </c>
      <c r="C1651" s="2" t="inlineStr">
        <is>
          <t>08/06/2026</t>
        </is>
      </c>
      <c r="D1651" s="2" t="inlineStr">
        <is>
          <t>08/06/2026</t>
        </is>
      </c>
      <c r="E1651" s="2" t="inlineStr">
        <is>
          <t>PIX</t>
        </is>
      </c>
      <c r="F1651" s="2" t="inlineStr">
        <is>
          <t>Boleto "60560" do cliente "DANIEL MALAQUIAS DO PRADO"</t>
        </is>
      </c>
      <c r="G1651" s="2" t="inlineStr">
        <is>
          <t>system</t>
        </is>
      </c>
      <c r="H1651" s="2" t="inlineStr">
        <is>
          <t>02.03.02.01 : Cobrança Bancaria</t>
        </is>
      </c>
      <c r="I1651" s="2" t="n"/>
      <c r="J1651" s="3" t="n">
        <v>-0.49</v>
      </c>
      <c r="K1651" s="2">
        <f>IF(H1651="02.09 : Outras Saídas", IF(OR(ISNUMBER(SEARCH("CHEQUE COMPE SICREDI", F1651)), ISNUMBER(SEARCH("aniversario", F1651)), ISNUMBER(SEARCH("churrasco", F1651)), ISNUMBER(SEARCH("bolo", F1651)), ISNUMBER(SEARCH("SUPERMERCADO", F1651))), "6.1 Despesas Administrativas (Pessoal)", IF(OR(ISNUMBER(SEARCH("DLKNET", F1651)), ISNUMBER(SEARCH("TESTE", F1651))), "6.1 Despesas Administrativas (Gerais)", IFERROR(VLOOKUP(H1651, De_Para!A:B, 2, FALSE), "NÃO MAPEADO"))), IFERROR(VLOOKUP(H1651, De_Para!A:B, 2, FALSE), "NÃO MAPEADO"))</f>
        <v/>
      </c>
    </row>
    <row r="1652">
      <c r="A1652" s="2" t="inlineStr">
        <is>
          <t>68034</t>
        </is>
      </c>
      <c r="B1652" s="2" t="inlineStr">
        <is>
          <t>Sicredi SNI</t>
        </is>
      </c>
      <c r="C1652" s="2" t="inlineStr">
        <is>
          <t>08/06/2026</t>
        </is>
      </c>
      <c r="D1652" s="2" t="inlineStr">
        <is>
          <t>08/06/2026</t>
        </is>
      </c>
      <c r="E1652" s="2" t="inlineStr">
        <is>
          <t>PIX</t>
        </is>
      </c>
      <c r="F1652" s="2" t="inlineStr">
        <is>
          <t>Boleto "60560" do cliente "DANIEL MALAQUIAS DO PRADO"</t>
        </is>
      </c>
      <c r="G1652" s="2" t="inlineStr">
        <is>
          <t>system</t>
        </is>
      </c>
      <c r="H1652" s="2" t="inlineStr">
        <is>
          <t>01.01.01 : Mensalidade</t>
        </is>
      </c>
      <c r="I1652" s="3" t="n">
        <v>107.2</v>
      </c>
      <c r="J1652" s="2" t="n"/>
      <c r="K1652" s="2">
        <f>IF(H1652="02.09 : Outras Saídas", IF(OR(ISNUMBER(SEARCH("CHEQUE COMPE SICREDI", F1652)), ISNUMBER(SEARCH("aniversario", F1652)), ISNUMBER(SEARCH("churrasco", F1652)), ISNUMBER(SEARCH("bolo", F1652)), ISNUMBER(SEARCH("SUPERMERCADO", F1652))), "6.1 Despesas Administrativas (Pessoal)", IF(OR(ISNUMBER(SEARCH("DLKNET", F1652)), ISNUMBER(SEARCH("TESTE", F1652))), "6.1 Despesas Administrativas (Gerais)", IFERROR(VLOOKUP(H1652, De_Para!A:B, 2, FALSE), "NÃO MAPEADO"))), IFERROR(VLOOKUP(H1652, De_Para!A:B, 2, FALSE), "NÃO MAPEADO"))</f>
        <v/>
      </c>
    </row>
    <row r="1653">
      <c r="A1653" s="2" t="inlineStr">
        <is>
          <t>68033</t>
        </is>
      </c>
      <c r="B1653" s="2" t="inlineStr">
        <is>
          <t>Sicredi SNI</t>
        </is>
      </c>
      <c r="C1653" s="2" t="inlineStr">
        <is>
          <t>08/06/2026</t>
        </is>
      </c>
      <c r="D1653" s="2" t="inlineStr">
        <is>
          <t>08/06/2026</t>
        </is>
      </c>
      <c r="E1653" s="2" t="inlineStr">
        <is>
          <t>Dinheiro</t>
        </is>
      </c>
      <c r="F1653" s="2" t="inlineStr">
        <is>
          <t>Boleto "64926" do cliente "RYAN GERALDINO REVELIM"</t>
        </is>
      </c>
      <c r="G1653" s="2" t="inlineStr">
        <is>
          <t>system</t>
        </is>
      </c>
      <c r="H1653" s="2" t="inlineStr">
        <is>
          <t>02.03.02.01 : Cobrança Bancaria</t>
        </is>
      </c>
      <c r="I1653" s="2" t="n"/>
      <c r="J1653" s="3" t="n">
        <v>-1.08</v>
      </c>
      <c r="K1653" s="2">
        <f>IF(H1653="02.09 : Outras Saídas", IF(OR(ISNUMBER(SEARCH("CHEQUE COMPE SICREDI", F1653)), ISNUMBER(SEARCH("aniversario", F1653)), ISNUMBER(SEARCH("churrasco", F1653)), ISNUMBER(SEARCH("bolo", F1653)), ISNUMBER(SEARCH("SUPERMERCADO", F1653))), "6.1 Despesas Administrativas (Pessoal)", IF(OR(ISNUMBER(SEARCH("DLKNET", F1653)), ISNUMBER(SEARCH("TESTE", F1653))), "6.1 Despesas Administrativas (Gerais)", IFERROR(VLOOKUP(H1653, De_Para!A:B, 2, FALSE), "NÃO MAPEADO"))), IFERROR(VLOOKUP(H1653, De_Para!A:B, 2, FALSE), "NÃO MAPEADO"))</f>
        <v/>
      </c>
    </row>
    <row r="1654">
      <c r="A1654" s="2" t="inlineStr">
        <is>
          <t>68032</t>
        </is>
      </c>
      <c r="B1654" s="2" t="inlineStr">
        <is>
          <t>Sicredi SNI</t>
        </is>
      </c>
      <c r="C1654" s="2" t="inlineStr">
        <is>
          <t>08/06/2026</t>
        </is>
      </c>
      <c r="D1654" s="2" t="inlineStr">
        <is>
          <t>08/06/2026</t>
        </is>
      </c>
      <c r="E1654" s="2" t="inlineStr">
        <is>
          <t>Dinheiro</t>
        </is>
      </c>
      <c r="F1654" s="2" t="inlineStr">
        <is>
          <t>Boleto "64926" do cliente "RYAN GERALDINO REVELIM"</t>
        </is>
      </c>
      <c r="G1654" s="2" t="inlineStr">
        <is>
          <t>system</t>
        </is>
      </c>
      <c r="H1654" s="2" t="inlineStr">
        <is>
          <t>01.01.01 : Mensalidade</t>
        </is>
      </c>
      <c r="I1654" s="3" t="n">
        <v>107.27</v>
      </c>
      <c r="J1654" s="2" t="n"/>
      <c r="K1654" s="2">
        <f>IF(H1654="02.09 : Outras Saídas", IF(OR(ISNUMBER(SEARCH("CHEQUE COMPE SICREDI", F1654)), ISNUMBER(SEARCH("aniversario", F1654)), ISNUMBER(SEARCH("churrasco", F1654)), ISNUMBER(SEARCH("bolo", F1654)), ISNUMBER(SEARCH("SUPERMERCADO", F1654))), "6.1 Despesas Administrativas (Pessoal)", IF(OR(ISNUMBER(SEARCH("DLKNET", F1654)), ISNUMBER(SEARCH("TESTE", F1654))), "6.1 Despesas Administrativas (Gerais)", IFERROR(VLOOKUP(H1654, De_Para!A:B, 2, FALSE), "NÃO MAPEADO"))), IFERROR(VLOOKUP(H1654, De_Para!A:B, 2, FALSE), "NÃO MAPEADO"))</f>
        <v/>
      </c>
    </row>
    <row r="1655">
      <c r="A1655" s="2" t="inlineStr">
        <is>
          <t>68031</t>
        </is>
      </c>
      <c r="B1655" s="2" t="inlineStr">
        <is>
          <t>Sicredi SNI</t>
        </is>
      </c>
      <c r="C1655" s="2" t="inlineStr">
        <is>
          <t>08/06/2026</t>
        </is>
      </c>
      <c r="D1655" s="2" t="inlineStr">
        <is>
          <t>08/06/2026</t>
        </is>
      </c>
      <c r="E1655" s="2" t="inlineStr">
        <is>
          <t>Dinheiro</t>
        </is>
      </c>
      <c r="F1655" s="2" t="inlineStr">
        <is>
          <t>Boleto "63927" do cliente "ROSELI APARECIDA SALVI PIRATELO"</t>
        </is>
      </c>
      <c r="G1655" s="2" t="inlineStr">
        <is>
          <t>system</t>
        </is>
      </c>
      <c r="H1655" s="2" t="inlineStr">
        <is>
          <t>02.03.02.01 : Cobrança Bancaria</t>
        </is>
      </c>
      <c r="I1655" s="2" t="n"/>
      <c r="J1655" s="3" t="n">
        <v>-1.08</v>
      </c>
      <c r="K1655" s="2">
        <f>IF(H1655="02.09 : Outras Saídas", IF(OR(ISNUMBER(SEARCH("CHEQUE COMPE SICREDI", F1655)), ISNUMBER(SEARCH("aniversario", F1655)), ISNUMBER(SEARCH("churrasco", F1655)), ISNUMBER(SEARCH("bolo", F1655)), ISNUMBER(SEARCH("SUPERMERCADO", F1655))), "6.1 Despesas Administrativas (Pessoal)", IF(OR(ISNUMBER(SEARCH("DLKNET", F1655)), ISNUMBER(SEARCH("TESTE", F1655))), "6.1 Despesas Administrativas (Gerais)", IFERROR(VLOOKUP(H1655, De_Para!A:B, 2, FALSE), "NÃO MAPEADO"))), IFERROR(VLOOKUP(H1655, De_Para!A:B, 2, FALSE), "NÃO MAPEADO"))</f>
        <v/>
      </c>
    </row>
    <row r="1656">
      <c r="A1656" s="2" t="inlineStr">
        <is>
          <t>68030</t>
        </is>
      </c>
      <c r="B1656" s="2" t="inlineStr">
        <is>
          <t>Sicredi SNI</t>
        </is>
      </c>
      <c r="C1656" s="2" t="inlineStr">
        <is>
          <t>08/06/2026</t>
        </is>
      </c>
      <c r="D1656" s="2" t="inlineStr">
        <is>
          <t>08/06/2026</t>
        </is>
      </c>
      <c r="E1656" s="2" t="inlineStr">
        <is>
          <t>Dinheiro</t>
        </is>
      </c>
      <c r="F1656" s="2" t="inlineStr">
        <is>
          <t>Boleto "63927" do cliente "ROSELI APARECIDA SALVI PIRATELO"</t>
        </is>
      </c>
      <c r="G1656" s="2" t="inlineStr">
        <is>
          <t>system</t>
        </is>
      </c>
      <c r="H1656" s="2" t="inlineStr">
        <is>
          <t>01.01.01 : Mensalidade</t>
        </is>
      </c>
      <c r="I1656" s="3" t="n">
        <v>99.90000000000001</v>
      </c>
      <c r="J1656" s="2" t="n"/>
      <c r="K1656" s="2">
        <f>IF(H1656="02.09 : Outras Saídas", IF(OR(ISNUMBER(SEARCH("CHEQUE COMPE SICREDI", F1656)), ISNUMBER(SEARCH("aniversario", F1656)), ISNUMBER(SEARCH("churrasco", F1656)), ISNUMBER(SEARCH("bolo", F1656)), ISNUMBER(SEARCH("SUPERMERCADO", F1656))), "6.1 Despesas Administrativas (Pessoal)", IF(OR(ISNUMBER(SEARCH("DLKNET", F1656)), ISNUMBER(SEARCH("TESTE", F1656))), "6.1 Despesas Administrativas (Gerais)", IFERROR(VLOOKUP(H1656, De_Para!A:B, 2, FALSE), "NÃO MAPEADO"))), IFERROR(VLOOKUP(H1656, De_Para!A:B, 2, FALSE), "NÃO MAPEADO"))</f>
        <v/>
      </c>
    </row>
    <row r="1657">
      <c r="A1657" s="2" t="inlineStr">
        <is>
          <t>68029</t>
        </is>
      </c>
      <c r="B1657" s="2" t="inlineStr">
        <is>
          <t>Sicredi SNI</t>
        </is>
      </c>
      <c r="C1657" s="2" t="inlineStr">
        <is>
          <t>08/06/2026</t>
        </is>
      </c>
      <c r="D1657" s="2" t="inlineStr">
        <is>
          <t>08/06/2026</t>
        </is>
      </c>
      <c r="E1657" s="2" t="inlineStr">
        <is>
          <t>Dinheiro</t>
        </is>
      </c>
      <c r="F1657" s="2" t="inlineStr">
        <is>
          <t>Boleto "63054" do cliente "JOSE VAZ DE MIRANDA"</t>
        </is>
      </c>
      <c r="G1657" s="2" t="inlineStr">
        <is>
          <t>system</t>
        </is>
      </c>
      <c r="H1657" s="2" t="inlineStr">
        <is>
          <t>02.03.02.01 : Cobrança Bancaria</t>
        </is>
      </c>
      <c r="I1657" s="2" t="n"/>
      <c r="J1657" s="3" t="n">
        <v>-1.08</v>
      </c>
      <c r="K1657" s="2">
        <f>IF(H1657="02.09 : Outras Saídas", IF(OR(ISNUMBER(SEARCH("CHEQUE COMPE SICREDI", F1657)), ISNUMBER(SEARCH("aniversario", F1657)), ISNUMBER(SEARCH("churrasco", F1657)), ISNUMBER(SEARCH("bolo", F1657)), ISNUMBER(SEARCH("SUPERMERCADO", F1657))), "6.1 Despesas Administrativas (Pessoal)", IF(OR(ISNUMBER(SEARCH("DLKNET", F1657)), ISNUMBER(SEARCH("TESTE", F1657))), "6.1 Despesas Administrativas (Gerais)", IFERROR(VLOOKUP(H1657, De_Para!A:B, 2, FALSE), "NÃO MAPEADO"))), IFERROR(VLOOKUP(H1657, De_Para!A:B, 2, FALSE), "NÃO MAPEADO"))</f>
        <v/>
      </c>
    </row>
    <row r="1658">
      <c r="A1658" s="2" t="inlineStr">
        <is>
          <t>68028</t>
        </is>
      </c>
      <c r="B1658" s="2" t="inlineStr">
        <is>
          <t>Sicredi SNI</t>
        </is>
      </c>
      <c r="C1658" s="2" t="inlineStr">
        <is>
          <t>08/06/2026</t>
        </is>
      </c>
      <c r="D1658" s="2" t="inlineStr">
        <is>
          <t>08/06/2026</t>
        </is>
      </c>
      <c r="E1658" s="2" t="inlineStr">
        <is>
          <t>Dinheiro</t>
        </is>
      </c>
      <c r="F1658" s="2" t="inlineStr">
        <is>
          <t>Boleto "63054" do cliente "JOSE VAZ DE MIRANDA"</t>
        </is>
      </c>
      <c r="G1658" s="2" t="inlineStr">
        <is>
          <t>system</t>
        </is>
      </c>
      <c r="H1658" s="2" t="inlineStr">
        <is>
          <t>01.01.01 : Mensalidade</t>
        </is>
      </c>
      <c r="I1658" s="3" t="n">
        <v>104.9</v>
      </c>
      <c r="J1658" s="2" t="n"/>
      <c r="K1658" s="2">
        <f>IF(H1658="02.09 : Outras Saídas", IF(OR(ISNUMBER(SEARCH("CHEQUE COMPE SICREDI", F1658)), ISNUMBER(SEARCH("aniversario", F1658)), ISNUMBER(SEARCH("churrasco", F1658)), ISNUMBER(SEARCH("bolo", F1658)), ISNUMBER(SEARCH("SUPERMERCADO", F1658))), "6.1 Despesas Administrativas (Pessoal)", IF(OR(ISNUMBER(SEARCH("DLKNET", F1658)), ISNUMBER(SEARCH("TESTE", F1658))), "6.1 Despesas Administrativas (Gerais)", IFERROR(VLOOKUP(H1658, De_Para!A:B, 2, FALSE), "NÃO MAPEADO"))), IFERROR(VLOOKUP(H1658, De_Para!A:B, 2, FALSE), "NÃO MAPEADO"))</f>
        <v/>
      </c>
    </row>
    <row r="1659">
      <c r="A1659" s="2" t="inlineStr">
        <is>
          <t>68027</t>
        </is>
      </c>
      <c r="B1659" s="2" t="inlineStr">
        <is>
          <t>Sicredi SNI</t>
        </is>
      </c>
      <c r="C1659" s="2" t="inlineStr">
        <is>
          <t>08/06/2026</t>
        </is>
      </c>
      <c r="D1659" s="2" t="inlineStr">
        <is>
          <t>08/06/2026</t>
        </is>
      </c>
      <c r="E1659" s="2" t="inlineStr">
        <is>
          <t>Dinheiro</t>
        </is>
      </c>
      <c r="F1659" s="2" t="inlineStr">
        <is>
          <t>Boleto "61690" do cliente "ALBINO JOSE BUENO NETO"</t>
        </is>
      </c>
      <c r="G1659" s="2" t="inlineStr">
        <is>
          <t>system</t>
        </is>
      </c>
      <c r="H1659" s="2" t="inlineStr">
        <is>
          <t>02.03.02.01 : Cobrança Bancaria</t>
        </is>
      </c>
      <c r="I1659" s="2" t="n"/>
      <c r="J1659" s="3" t="n">
        <v>-1.08</v>
      </c>
      <c r="K1659" s="2">
        <f>IF(H1659="02.09 : Outras Saídas", IF(OR(ISNUMBER(SEARCH("CHEQUE COMPE SICREDI", F1659)), ISNUMBER(SEARCH("aniversario", F1659)), ISNUMBER(SEARCH("churrasco", F1659)), ISNUMBER(SEARCH("bolo", F1659)), ISNUMBER(SEARCH("SUPERMERCADO", F1659))), "6.1 Despesas Administrativas (Pessoal)", IF(OR(ISNUMBER(SEARCH("DLKNET", F1659)), ISNUMBER(SEARCH("TESTE", F1659))), "6.1 Despesas Administrativas (Gerais)", IFERROR(VLOOKUP(H1659, De_Para!A:B, 2, FALSE), "NÃO MAPEADO"))), IFERROR(VLOOKUP(H1659, De_Para!A:B, 2, FALSE), "NÃO MAPEADO"))</f>
        <v/>
      </c>
    </row>
    <row r="1660">
      <c r="A1660" s="2" t="inlineStr">
        <is>
          <t>68026</t>
        </is>
      </c>
      <c r="B1660" s="2" t="inlineStr">
        <is>
          <t>Sicredi SNI</t>
        </is>
      </c>
      <c r="C1660" s="2" t="inlineStr">
        <is>
          <t>08/06/2026</t>
        </is>
      </c>
      <c r="D1660" s="2" t="inlineStr">
        <is>
          <t>08/06/2026</t>
        </is>
      </c>
      <c r="E1660" s="2" t="inlineStr">
        <is>
          <t>Dinheiro</t>
        </is>
      </c>
      <c r="F1660" s="2" t="inlineStr">
        <is>
          <t>Boleto "61690" do cliente "ALBINO JOSE BUENO NETO"</t>
        </is>
      </c>
      <c r="G1660" s="2" t="inlineStr">
        <is>
          <t>system</t>
        </is>
      </c>
      <c r="H1660" s="2" t="inlineStr">
        <is>
          <t>01.01.01 : Mensalidade</t>
        </is>
      </c>
      <c r="I1660" s="3" t="n">
        <v>105</v>
      </c>
      <c r="J1660" s="2" t="n"/>
      <c r="K1660" s="2">
        <f>IF(H1660="02.09 : Outras Saídas", IF(OR(ISNUMBER(SEARCH("CHEQUE COMPE SICREDI", F1660)), ISNUMBER(SEARCH("aniversario", F1660)), ISNUMBER(SEARCH("churrasco", F1660)), ISNUMBER(SEARCH("bolo", F1660)), ISNUMBER(SEARCH("SUPERMERCADO", F1660))), "6.1 Despesas Administrativas (Pessoal)", IF(OR(ISNUMBER(SEARCH("DLKNET", F1660)), ISNUMBER(SEARCH("TESTE", F1660))), "6.1 Despesas Administrativas (Gerais)", IFERROR(VLOOKUP(H1660, De_Para!A:B, 2, FALSE), "NÃO MAPEADO"))), IFERROR(VLOOKUP(H1660, De_Para!A:B, 2, FALSE), "NÃO MAPEADO"))</f>
        <v/>
      </c>
    </row>
    <row r="1661">
      <c r="A1661" s="2" t="inlineStr">
        <is>
          <t>68025</t>
        </is>
      </c>
      <c r="B1661" s="2" t="inlineStr">
        <is>
          <t>Sicredi SNI</t>
        </is>
      </c>
      <c r="C1661" s="2" t="inlineStr">
        <is>
          <t>08/06/2026</t>
        </is>
      </c>
      <c r="D1661" s="2" t="inlineStr">
        <is>
          <t>08/06/2026</t>
        </is>
      </c>
      <c r="E1661" s="2" t="inlineStr">
        <is>
          <t>Dinheiro</t>
        </is>
      </c>
      <c r="F1661" s="2" t="inlineStr">
        <is>
          <t>Boleto "60675" do cliente "MARIA IVONE FERNANDES"</t>
        </is>
      </c>
      <c r="G1661" s="2" t="inlineStr">
        <is>
          <t>system</t>
        </is>
      </c>
      <c r="H1661" s="2" t="inlineStr">
        <is>
          <t>02.03.02.01 : Cobrança Bancaria</t>
        </is>
      </c>
      <c r="I1661" s="2" t="n"/>
      <c r="J1661" s="3" t="n">
        <v>-1.08</v>
      </c>
      <c r="K1661" s="2">
        <f>IF(H1661="02.09 : Outras Saídas", IF(OR(ISNUMBER(SEARCH("CHEQUE COMPE SICREDI", F1661)), ISNUMBER(SEARCH("aniversario", F1661)), ISNUMBER(SEARCH("churrasco", F1661)), ISNUMBER(SEARCH("bolo", F1661)), ISNUMBER(SEARCH("SUPERMERCADO", F1661))), "6.1 Despesas Administrativas (Pessoal)", IF(OR(ISNUMBER(SEARCH("DLKNET", F1661)), ISNUMBER(SEARCH("TESTE", F1661))), "6.1 Despesas Administrativas (Gerais)", IFERROR(VLOOKUP(H1661, De_Para!A:B, 2, FALSE), "NÃO MAPEADO"))), IFERROR(VLOOKUP(H1661, De_Para!A:B, 2, FALSE), "NÃO MAPEADO"))</f>
        <v/>
      </c>
    </row>
    <row r="1662">
      <c r="A1662" s="2" t="inlineStr">
        <is>
          <t>68024</t>
        </is>
      </c>
      <c r="B1662" s="2" t="inlineStr">
        <is>
          <t>Sicredi SNI</t>
        </is>
      </c>
      <c r="C1662" s="2" t="inlineStr">
        <is>
          <t>08/06/2026</t>
        </is>
      </c>
      <c r="D1662" s="2" t="inlineStr">
        <is>
          <t>08/06/2026</t>
        </is>
      </c>
      <c r="E1662" s="2" t="inlineStr">
        <is>
          <t>Dinheiro</t>
        </is>
      </c>
      <c r="F1662" s="2" t="inlineStr">
        <is>
          <t>Boleto "60675" do cliente "MARIA IVONE FERNANDES"</t>
        </is>
      </c>
      <c r="G1662" s="2" t="inlineStr">
        <is>
          <t>system</t>
        </is>
      </c>
      <c r="H1662" s="2" t="inlineStr">
        <is>
          <t>01.03.01 : Mensalidade</t>
        </is>
      </c>
      <c r="I1662" s="3" t="n">
        <v>105</v>
      </c>
      <c r="J1662" s="2" t="n"/>
      <c r="K1662" s="2">
        <f>IF(H1662="02.09 : Outras Saídas", IF(OR(ISNUMBER(SEARCH("CHEQUE COMPE SICREDI", F1662)), ISNUMBER(SEARCH("aniversario", F1662)), ISNUMBER(SEARCH("churrasco", F1662)), ISNUMBER(SEARCH("bolo", F1662)), ISNUMBER(SEARCH("SUPERMERCADO", F1662))), "6.1 Despesas Administrativas (Pessoal)", IF(OR(ISNUMBER(SEARCH("DLKNET", F1662)), ISNUMBER(SEARCH("TESTE", F1662))), "6.1 Despesas Administrativas (Gerais)", IFERROR(VLOOKUP(H1662, De_Para!A:B, 2, FALSE), "NÃO MAPEADO"))), IFERROR(VLOOKUP(H1662, De_Para!A:B, 2, FALSE), "NÃO MAPEADO"))</f>
        <v/>
      </c>
    </row>
    <row r="1663">
      <c r="A1663" s="2" t="inlineStr">
        <is>
          <t>68023</t>
        </is>
      </c>
      <c r="B1663" s="2" t="inlineStr">
        <is>
          <t>Sicredi SNI</t>
        </is>
      </c>
      <c r="C1663" s="2" t="inlineStr">
        <is>
          <t>08/06/2026</t>
        </is>
      </c>
      <c r="D1663" s="2" t="inlineStr">
        <is>
          <t>08/06/2026</t>
        </is>
      </c>
      <c r="E1663" s="2" t="inlineStr">
        <is>
          <t>Dinheiro</t>
        </is>
      </c>
      <c r="F1663" s="2" t="inlineStr">
        <is>
          <t>Boleto "56920" do cliente "BENEDITO DA SILVA"</t>
        </is>
      </c>
      <c r="G1663" s="2" t="inlineStr">
        <is>
          <t>system</t>
        </is>
      </c>
      <c r="H1663" s="2" t="inlineStr">
        <is>
          <t>02.03.02.01 : Cobrança Bancaria</t>
        </is>
      </c>
      <c r="I1663" s="2" t="n"/>
      <c r="J1663" s="3" t="n">
        <v>-1.08</v>
      </c>
      <c r="K1663" s="2">
        <f>IF(H1663="02.09 : Outras Saídas", IF(OR(ISNUMBER(SEARCH("CHEQUE COMPE SICREDI", F1663)), ISNUMBER(SEARCH("aniversario", F1663)), ISNUMBER(SEARCH("churrasco", F1663)), ISNUMBER(SEARCH("bolo", F1663)), ISNUMBER(SEARCH("SUPERMERCADO", F1663))), "6.1 Despesas Administrativas (Pessoal)", IF(OR(ISNUMBER(SEARCH("DLKNET", F1663)), ISNUMBER(SEARCH("TESTE", F1663))), "6.1 Despesas Administrativas (Gerais)", IFERROR(VLOOKUP(H1663, De_Para!A:B, 2, FALSE), "NÃO MAPEADO"))), IFERROR(VLOOKUP(H1663, De_Para!A:B, 2, FALSE), "NÃO MAPEADO"))</f>
        <v/>
      </c>
    </row>
    <row r="1664">
      <c r="A1664" s="2" t="inlineStr">
        <is>
          <t>68022</t>
        </is>
      </c>
      <c r="B1664" s="2" t="inlineStr">
        <is>
          <t>Sicredi SNI</t>
        </is>
      </c>
      <c r="C1664" s="2" t="inlineStr">
        <is>
          <t>08/06/2026</t>
        </is>
      </c>
      <c r="D1664" s="2" t="inlineStr">
        <is>
          <t>08/06/2026</t>
        </is>
      </c>
      <c r="E1664" s="2" t="inlineStr">
        <is>
          <t>Dinheiro</t>
        </is>
      </c>
      <c r="F1664" s="2" t="inlineStr">
        <is>
          <t>Boleto "56920" do cliente "BENEDITO DA SILVA"</t>
        </is>
      </c>
      <c r="G1664" s="2" t="inlineStr">
        <is>
          <t>system</t>
        </is>
      </c>
      <c r="H1664" s="2" t="inlineStr">
        <is>
          <t>01.01.01 : Mensalidade</t>
        </is>
      </c>
      <c r="I1664" s="3" t="n">
        <v>105</v>
      </c>
      <c r="J1664" s="2" t="n"/>
      <c r="K1664" s="2">
        <f>IF(H1664="02.09 : Outras Saídas", IF(OR(ISNUMBER(SEARCH("CHEQUE COMPE SICREDI", F1664)), ISNUMBER(SEARCH("aniversario", F1664)), ISNUMBER(SEARCH("churrasco", F1664)), ISNUMBER(SEARCH("bolo", F1664)), ISNUMBER(SEARCH("SUPERMERCADO", F1664))), "6.1 Despesas Administrativas (Pessoal)", IF(OR(ISNUMBER(SEARCH("DLKNET", F1664)), ISNUMBER(SEARCH("TESTE", F1664))), "6.1 Despesas Administrativas (Gerais)", IFERROR(VLOOKUP(H1664, De_Para!A:B, 2, FALSE), "NÃO MAPEADO"))), IFERROR(VLOOKUP(H1664, De_Para!A:B, 2, FALSE), "NÃO MAPEADO"))</f>
        <v/>
      </c>
    </row>
    <row r="1665">
      <c r="A1665" s="2" t="inlineStr">
        <is>
          <t>68021</t>
        </is>
      </c>
      <c r="B1665" s="2" t="inlineStr">
        <is>
          <t>Sicoob</t>
        </is>
      </c>
      <c r="C1665" s="2" t="inlineStr">
        <is>
          <t>08/06/2026</t>
        </is>
      </c>
      <c r="D1665" s="2" t="inlineStr">
        <is>
          <t>08/06/2026</t>
        </is>
      </c>
      <c r="E1665" s="2" t="inlineStr">
        <is>
          <t>Dinheiro</t>
        </is>
      </c>
      <c r="F1665" s="2" t="inlineStr">
        <is>
          <t>Boleto "56515" do cliente "REGINALDO INOCENCIO DO VALE"</t>
        </is>
      </c>
      <c r="G1665" s="2" t="inlineStr">
        <is>
          <t>system</t>
        </is>
      </c>
      <c r="H1665" s="2" t="inlineStr">
        <is>
          <t>02.03.02.01 : Cobrança Bancaria</t>
        </is>
      </c>
      <c r="I1665" s="2" t="n"/>
      <c r="J1665" s="3" t="n">
        <v>-0.88</v>
      </c>
      <c r="K1665" s="2">
        <f>IF(H1665="02.09 : Outras Saídas", IF(OR(ISNUMBER(SEARCH("CHEQUE COMPE SICREDI", F1665)), ISNUMBER(SEARCH("aniversario", F1665)), ISNUMBER(SEARCH("churrasco", F1665)), ISNUMBER(SEARCH("bolo", F1665)), ISNUMBER(SEARCH("SUPERMERCADO", F1665))), "6.1 Despesas Administrativas (Pessoal)", IF(OR(ISNUMBER(SEARCH("DLKNET", F1665)), ISNUMBER(SEARCH("TESTE", F1665))), "6.1 Despesas Administrativas (Gerais)", IFERROR(VLOOKUP(H1665, De_Para!A:B, 2, FALSE), "NÃO MAPEADO"))), IFERROR(VLOOKUP(H1665, De_Para!A:B, 2, FALSE), "NÃO MAPEADO"))</f>
        <v/>
      </c>
    </row>
    <row r="1666">
      <c r="A1666" s="2" t="inlineStr">
        <is>
          <t>68020</t>
        </is>
      </c>
      <c r="B1666" s="2" t="inlineStr">
        <is>
          <t>Sicoob</t>
        </is>
      </c>
      <c r="C1666" s="2" t="inlineStr">
        <is>
          <t>08/06/2026</t>
        </is>
      </c>
      <c r="D1666" s="2" t="inlineStr">
        <is>
          <t>08/06/2026</t>
        </is>
      </c>
      <c r="E1666" s="2" t="inlineStr">
        <is>
          <t>Dinheiro</t>
        </is>
      </c>
      <c r="F1666" s="2" t="inlineStr">
        <is>
          <t>Boleto "56515" do cliente "REGINALDO INOCENCIO DO VALE"</t>
        </is>
      </c>
      <c r="G1666" s="2" t="inlineStr">
        <is>
          <t>system</t>
        </is>
      </c>
      <c r="H1666" s="2" t="inlineStr">
        <is>
          <t>01.01.01 : Mensalidade</t>
        </is>
      </c>
      <c r="I1666" s="3" t="n">
        <v>105</v>
      </c>
      <c r="J1666" s="2" t="n"/>
      <c r="K1666" s="2">
        <f>IF(H1666="02.09 : Outras Saídas", IF(OR(ISNUMBER(SEARCH("CHEQUE COMPE SICREDI", F1666)), ISNUMBER(SEARCH("aniversario", F1666)), ISNUMBER(SEARCH("churrasco", F1666)), ISNUMBER(SEARCH("bolo", F1666)), ISNUMBER(SEARCH("SUPERMERCADO", F1666))), "6.1 Despesas Administrativas (Pessoal)", IF(OR(ISNUMBER(SEARCH("DLKNET", F1666)), ISNUMBER(SEARCH("TESTE", F1666))), "6.1 Despesas Administrativas (Gerais)", IFERROR(VLOOKUP(H1666, De_Para!A:B, 2, FALSE), "NÃO MAPEADO"))), IFERROR(VLOOKUP(H1666, De_Para!A:B, 2, FALSE), "NÃO MAPEADO"))</f>
        <v/>
      </c>
    </row>
    <row r="1667">
      <c r="A1667" s="2" t="inlineStr">
        <is>
          <t>68019</t>
        </is>
      </c>
      <c r="B1667" s="2" t="inlineStr">
        <is>
          <t>Sicoob</t>
        </is>
      </c>
      <c r="C1667" s="2" t="inlineStr">
        <is>
          <t>08/06/2026</t>
        </is>
      </c>
      <c r="D1667" s="2" t="inlineStr">
        <is>
          <t>08/06/2026</t>
        </is>
      </c>
      <c r="E1667" s="2" t="inlineStr">
        <is>
          <t>Dinheiro</t>
        </is>
      </c>
      <c r="F1667" s="2" t="inlineStr">
        <is>
          <t>Boleto "56295" do cliente "JANETE MOREIRA"</t>
        </is>
      </c>
      <c r="G1667" s="2" t="inlineStr">
        <is>
          <t>system</t>
        </is>
      </c>
      <c r="H1667" s="2" t="inlineStr">
        <is>
          <t>02.03.02.01 : Cobrança Bancaria</t>
        </is>
      </c>
      <c r="I1667" s="2" t="n"/>
      <c r="J1667" s="3" t="n">
        <v>-0.88</v>
      </c>
      <c r="K1667" s="2">
        <f>IF(H1667="02.09 : Outras Saídas", IF(OR(ISNUMBER(SEARCH("CHEQUE COMPE SICREDI", F1667)), ISNUMBER(SEARCH("aniversario", F1667)), ISNUMBER(SEARCH("churrasco", F1667)), ISNUMBER(SEARCH("bolo", F1667)), ISNUMBER(SEARCH("SUPERMERCADO", F1667))), "6.1 Despesas Administrativas (Pessoal)", IF(OR(ISNUMBER(SEARCH("DLKNET", F1667)), ISNUMBER(SEARCH("TESTE", F1667))), "6.1 Despesas Administrativas (Gerais)", IFERROR(VLOOKUP(H1667, De_Para!A:B, 2, FALSE), "NÃO MAPEADO"))), IFERROR(VLOOKUP(H1667, De_Para!A:B, 2, FALSE), "NÃO MAPEADO"))</f>
        <v/>
      </c>
    </row>
    <row r="1668">
      <c r="A1668" s="2" t="inlineStr">
        <is>
          <t>68018</t>
        </is>
      </c>
      <c r="B1668" s="2" t="inlineStr">
        <is>
          <t>Sicoob</t>
        </is>
      </c>
      <c r="C1668" s="2" t="inlineStr">
        <is>
          <t>08/06/2026</t>
        </is>
      </c>
      <c r="D1668" s="2" t="inlineStr">
        <is>
          <t>08/06/2026</t>
        </is>
      </c>
      <c r="E1668" s="2" t="inlineStr">
        <is>
          <t>Dinheiro</t>
        </is>
      </c>
      <c r="F1668" s="2" t="inlineStr">
        <is>
          <t>Boleto "56295" do cliente "JANETE MOREIRA"</t>
        </is>
      </c>
      <c r="G1668" s="2" t="inlineStr">
        <is>
          <t>system</t>
        </is>
      </c>
      <c r="H1668" s="2" t="inlineStr">
        <is>
          <t>01.03.01 : Mensalidade</t>
        </is>
      </c>
      <c r="I1668" s="3" t="n">
        <v>105</v>
      </c>
      <c r="J1668" s="2" t="n"/>
      <c r="K1668" s="2">
        <f>IF(H1668="02.09 : Outras Saídas", IF(OR(ISNUMBER(SEARCH("CHEQUE COMPE SICREDI", F1668)), ISNUMBER(SEARCH("aniversario", F1668)), ISNUMBER(SEARCH("churrasco", F1668)), ISNUMBER(SEARCH("bolo", F1668)), ISNUMBER(SEARCH("SUPERMERCADO", F1668))), "6.1 Despesas Administrativas (Pessoal)", IF(OR(ISNUMBER(SEARCH("DLKNET", F1668)), ISNUMBER(SEARCH("TESTE", F1668))), "6.1 Despesas Administrativas (Gerais)", IFERROR(VLOOKUP(H1668, De_Para!A:B, 2, FALSE), "NÃO MAPEADO"))), IFERROR(VLOOKUP(H1668, De_Para!A:B, 2, FALSE), "NÃO MAPEADO"))</f>
        <v/>
      </c>
    </row>
    <row r="1669">
      <c r="A1669" s="2" t="inlineStr">
        <is>
          <t>68017</t>
        </is>
      </c>
      <c r="B1669" s="2" t="inlineStr">
        <is>
          <t>Sicoob</t>
        </is>
      </c>
      <c r="C1669" s="2" t="inlineStr">
        <is>
          <t>08/06/2026</t>
        </is>
      </c>
      <c r="D1669" s="2" t="inlineStr">
        <is>
          <t>08/06/2026</t>
        </is>
      </c>
      <c r="E1669" s="2" t="inlineStr">
        <is>
          <t>Dinheiro</t>
        </is>
      </c>
      <c r="F1669" s="2" t="inlineStr">
        <is>
          <t>Boleto "56229" do cliente "OTACIR FERREIRA DA SILVA"</t>
        </is>
      </c>
      <c r="G1669" s="2" t="inlineStr">
        <is>
          <t>system</t>
        </is>
      </c>
      <c r="H1669" s="2" t="inlineStr">
        <is>
          <t>02.03.02.01 : Cobrança Bancaria</t>
        </is>
      </c>
      <c r="I1669" s="2" t="n"/>
      <c r="J1669" s="3" t="n">
        <v>-0.88</v>
      </c>
      <c r="K1669" s="2">
        <f>IF(H1669="02.09 : Outras Saídas", IF(OR(ISNUMBER(SEARCH("CHEQUE COMPE SICREDI", F1669)), ISNUMBER(SEARCH("aniversario", F1669)), ISNUMBER(SEARCH("churrasco", F1669)), ISNUMBER(SEARCH("bolo", F1669)), ISNUMBER(SEARCH("SUPERMERCADO", F1669))), "6.1 Despesas Administrativas (Pessoal)", IF(OR(ISNUMBER(SEARCH("DLKNET", F1669)), ISNUMBER(SEARCH("TESTE", F1669))), "6.1 Despesas Administrativas (Gerais)", IFERROR(VLOOKUP(H1669, De_Para!A:B, 2, FALSE), "NÃO MAPEADO"))), IFERROR(VLOOKUP(H1669, De_Para!A:B, 2, FALSE), "NÃO MAPEADO"))</f>
        <v/>
      </c>
    </row>
    <row r="1670">
      <c r="A1670" s="2" t="inlineStr">
        <is>
          <t>68016</t>
        </is>
      </c>
      <c r="B1670" s="2" t="inlineStr">
        <is>
          <t>Sicoob</t>
        </is>
      </c>
      <c r="C1670" s="2" t="inlineStr">
        <is>
          <t>08/06/2026</t>
        </is>
      </c>
      <c r="D1670" s="2" t="inlineStr">
        <is>
          <t>08/06/2026</t>
        </is>
      </c>
      <c r="E1670" s="2" t="inlineStr">
        <is>
          <t>Dinheiro</t>
        </is>
      </c>
      <c r="F1670" s="2" t="inlineStr">
        <is>
          <t>Boleto "56229" do cliente "OTACIR FERREIRA DA SILVA"</t>
        </is>
      </c>
      <c r="G1670" s="2" t="inlineStr">
        <is>
          <t>system</t>
        </is>
      </c>
      <c r="H1670" s="2" t="inlineStr">
        <is>
          <t>01.01.01 : Mensalidade</t>
        </is>
      </c>
      <c r="I1670" s="3" t="n">
        <v>105</v>
      </c>
      <c r="J1670" s="2" t="n"/>
      <c r="K1670" s="2">
        <f>IF(H1670="02.09 : Outras Saídas", IF(OR(ISNUMBER(SEARCH("CHEQUE COMPE SICREDI", F1670)), ISNUMBER(SEARCH("aniversario", F1670)), ISNUMBER(SEARCH("churrasco", F1670)), ISNUMBER(SEARCH("bolo", F1670)), ISNUMBER(SEARCH("SUPERMERCADO", F1670))), "6.1 Despesas Administrativas (Pessoal)", IF(OR(ISNUMBER(SEARCH("DLKNET", F1670)), ISNUMBER(SEARCH("TESTE", F1670))), "6.1 Despesas Administrativas (Gerais)", IFERROR(VLOOKUP(H1670, De_Para!A:B, 2, FALSE), "NÃO MAPEADO"))), IFERROR(VLOOKUP(H1670, De_Para!A:B, 2, FALSE), "NÃO MAPEADO"))</f>
        <v/>
      </c>
    </row>
    <row r="1671">
      <c r="A1671" s="2" t="inlineStr">
        <is>
          <t>68015</t>
        </is>
      </c>
      <c r="B1671" s="2" t="inlineStr">
        <is>
          <t>Sicoob</t>
        </is>
      </c>
      <c r="C1671" s="2" t="inlineStr">
        <is>
          <t>08/06/2026</t>
        </is>
      </c>
      <c r="D1671" s="2" t="inlineStr">
        <is>
          <t>08/06/2026</t>
        </is>
      </c>
      <c r="E1671" s="2" t="inlineStr">
        <is>
          <t>Dinheiro</t>
        </is>
      </c>
      <c r="F1671" s="2" t="inlineStr">
        <is>
          <t>Boleto "56209" do cliente "SAVIO INOCENCIO GONÇALVES DOS SANTOS"</t>
        </is>
      </c>
      <c r="G1671" s="2" t="inlineStr">
        <is>
          <t>system</t>
        </is>
      </c>
      <c r="H1671" s="2" t="inlineStr">
        <is>
          <t>02.03.02.01 : Cobrança Bancaria</t>
        </is>
      </c>
      <c r="I1671" s="2" t="n"/>
      <c r="J1671" s="3" t="n">
        <v>-0.88</v>
      </c>
      <c r="K1671" s="2">
        <f>IF(H1671="02.09 : Outras Saídas", IF(OR(ISNUMBER(SEARCH("CHEQUE COMPE SICREDI", F1671)), ISNUMBER(SEARCH("aniversario", F1671)), ISNUMBER(SEARCH("churrasco", F1671)), ISNUMBER(SEARCH("bolo", F1671)), ISNUMBER(SEARCH("SUPERMERCADO", F1671))), "6.1 Despesas Administrativas (Pessoal)", IF(OR(ISNUMBER(SEARCH("DLKNET", F1671)), ISNUMBER(SEARCH("TESTE", F1671))), "6.1 Despesas Administrativas (Gerais)", IFERROR(VLOOKUP(H1671, De_Para!A:B, 2, FALSE), "NÃO MAPEADO"))), IFERROR(VLOOKUP(H1671, De_Para!A:B, 2, FALSE), "NÃO MAPEADO"))</f>
        <v/>
      </c>
    </row>
    <row r="1672">
      <c r="A1672" s="2" t="inlineStr">
        <is>
          <t>68014</t>
        </is>
      </c>
      <c r="B1672" s="2" t="inlineStr">
        <is>
          <t>Sicoob</t>
        </is>
      </c>
      <c r="C1672" s="2" t="inlineStr">
        <is>
          <t>08/06/2026</t>
        </is>
      </c>
      <c r="D1672" s="2" t="inlineStr">
        <is>
          <t>08/06/2026</t>
        </is>
      </c>
      <c r="E1672" s="2" t="inlineStr">
        <is>
          <t>Dinheiro</t>
        </is>
      </c>
      <c r="F1672" s="2" t="inlineStr">
        <is>
          <t>Boleto "56209" do cliente "SAVIO INOCENCIO GONÇALVES DOS SANTOS"</t>
        </is>
      </c>
      <c r="G1672" s="2" t="inlineStr">
        <is>
          <t>system</t>
        </is>
      </c>
      <c r="H1672" s="2" t="inlineStr">
        <is>
          <t>01.01.01 : Mensalidade</t>
        </is>
      </c>
      <c r="I1672" s="3" t="n">
        <v>105</v>
      </c>
      <c r="J1672" s="2" t="n"/>
      <c r="K1672" s="2">
        <f>IF(H1672="02.09 : Outras Saídas", IF(OR(ISNUMBER(SEARCH("CHEQUE COMPE SICREDI", F1672)), ISNUMBER(SEARCH("aniversario", F1672)), ISNUMBER(SEARCH("churrasco", F1672)), ISNUMBER(SEARCH("bolo", F1672)), ISNUMBER(SEARCH("SUPERMERCADO", F1672))), "6.1 Despesas Administrativas (Pessoal)", IF(OR(ISNUMBER(SEARCH("DLKNET", F1672)), ISNUMBER(SEARCH("TESTE", F1672))), "6.1 Despesas Administrativas (Gerais)", IFERROR(VLOOKUP(H1672, De_Para!A:B, 2, FALSE), "NÃO MAPEADO"))), IFERROR(VLOOKUP(H1672, De_Para!A:B, 2, FALSE), "NÃO MAPEADO"))</f>
        <v/>
      </c>
    </row>
    <row r="1673">
      <c r="A1673" s="2" t="inlineStr">
        <is>
          <t>68013</t>
        </is>
      </c>
      <c r="B1673" s="2" t="inlineStr">
        <is>
          <t>Sicoob</t>
        </is>
      </c>
      <c r="C1673" s="2" t="inlineStr">
        <is>
          <t>08/06/2026</t>
        </is>
      </c>
      <c r="D1673" s="2" t="inlineStr">
        <is>
          <t>08/06/2026</t>
        </is>
      </c>
      <c r="E1673" s="2" t="inlineStr">
        <is>
          <t>Dinheiro</t>
        </is>
      </c>
      <c r="F1673" s="2" t="inlineStr">
        <is>
          <t>Boleto "56189" do cliente "ILZA APARECIDA MARÇAL"</t>
        </is>
      </c>
      <c r="G1673" s="2" t="inlineStr">
        <is>
          <t>system</t>
        </is>
      </c>
      <c r="H1673" s="2" t="inlineStr">
        <is>
          <t>02.03.02.01 : Cobrança Bancaria</t>
        </is>
      </c>
      <c r="I1673" s="2" t="n"/>
      <c r="J1673" s="3" t="n">
        <v>-0.88</v>
      </c>
      <c r="K1673" s="2">
        <f>IF(H1673="02.09 : Outras Saídas", IF(OR(ISNUMBER(SEARCH("CHEQUE COMPE SICREDI", F1673)), ISNUMBER(SEARCH("aniversario", F1673)), ISNUMBER(SEARCH("churrasco", F1673)), ISNUMBER(SEARCH("bolo", F1673)), ISNUMBER(SEARCH("SUPERMERCADO", F1673))), "6.1 Despesas Administrativas (Pessoal)", IF(OR(ISNUMBER(SEARCH("DLKNET", F1673)), ISNUMBER(SEARCH("TESTE", F1673))), "6.1 Despesas Administrativas (Gerais)", IFERROR(VLOOKUP(H1673, De_Para!A:B, 2, FALSE), "NÃO MAPEADO"))), IFERROR(VLOOKUP(H1673, De_Para!A:B, 2, FALSE), "NÃO MAPEADO"))</f>
        <v/>
      </c>
    </row>
    <row r="1674">
      <c r="A1674" s="2" t="inlineStr">
        <is>
          <t>68012</t>
        </is>
      </c>
      <c r="B1674" s="2" t="inlineStr">
        <is>
          <t>Sicoob</t>
        </is>
      </c>
      <c r="C1674" s="2" t="inlineStr">
        <is>
          <t>08/06/2026</t>
        </is>
      </c>
      <c r="D1674" s="2" t="inlineStr">
        <is>
          <t>08/06/2026</t>
        </is>
      </c>
      <c r="E1674" s="2" t="inlineStr">
        <is>
          <t>Dinheiro</t>
        </is>
      </c>
      <c r="F1674" s="2" t="inlineStr">
        <is>
          <t>Boleto "56189" do cliente "ILZA APARECIDA MARÇAL"</t>
        </is>
      </c>
      <c r="G1674" s="2" t="inlineStr">
        <is>
          <t>system</t>
        </is>
      </c>
      <c r="H1674" s="2" t="inlineStr">
        <is>
          <t>01.01.01 : Mensalidade</t>
        </is>
      </c>
      <c r="I1674" s="3" t="n">
        <v>105</v>
      </c>
      <c r="J1674" s="2" t="n"/>
      <c r="K1674" s="2">
        <f>IF(H1674="02.09 : Outras Saídas", IF(OR(ISNUMBER(SEARCH("CHEQUE COMPE SICREDI", F1674)), ISNUMBER(SEARCH("aniversario", F1674)), ISNUMBER(SEARCH("churrasco", F1674)), ISNUMBER(SEARCH("bolo", F1674)), ISNUMBER(SEARCH("SUPERMERCADO", F1674))), "6.1 Despesas Administrativas (Pessoal)", IF(OR(ISNUMBER(SEARCH("DLKNET", F1674)), ISNUMBER(SEARCH("TESTE", F1674))), "6.1 Despesas Administrativas (Gerais)", IFERROR(VLOOKUP(H1674, De_Para!A:B, 2, FALSE), "NÃO MAPEADO"))), IFERROR(VLOOKUP(H1674, De_Para!A:B, 2, FALSE), "NÃO MAPEADO"))</f>
        <v/>
      </c>
    </row>
    <row r="1675">
      <c r="A1675" s="2" t="inlineStr">
        <is>
          <t>68011</t>
        </is>
      </c>
      <c r="B1675" s="2" t="inlineStr">
        <is>
          <t>Sicoob</t>
        </is>
      </c>
      <c r="C1675" s="2" t="inlineStr">
        <is>
          <t>08/06/2026</t>
        </is>
      </c>
      <c r="D1675" s="2" t="inlineStr">
        <is>
          <t>08/06/2026</t>
        </is>
      </c>
      <c r="E1675" s="2" t="inlineStr">
        <is>
          <t>Dinheiro</t>
        </is>
      </c>
      <c r="F1675" s="2" t="inlineStr">
        <is>
          <t>Boleto "55020" do cliente "SILVANA AURELIA DO VALE"</t>
        </is>
      </c>
      <c r="G1675" s="2" t="inlineStr">
        <is>
          <t>system</t>
        </is>
      </c>
      <c r="H1675" s="2" t="inlineStr">
        <is>
          <t>02.03.02.01 : Cobrança Bancaria</t>
        </is>
      </c>
      <c r="I1675" s="2" t="n"/>
      <c r="J1675" s="3" t="n">
        <v>-0.88</v>
      </c>
      <c r="K1675" s="2">
        <f>IF(H1675="02.09 : Outras Saídas", IF(OR(ISNUMBER(SEARCH("CHEQUE COMPE SICREDI", F1675)), ISNUMBER(SEARCH("aniversario", F1675)), ISNUMBER(SEARCH("churrasco", F1675)), ISNUMBER(SEARCH("bolo", F1675)), ISNUMBER(SEARCH("SUPERMERCADO", F1675))), "6.1 Despesas Administrativas (Pessoal)", IF(OR(ISNUMBER(SEARCH("DLKNET", F1675)), ISNUMBER(SEARCH("TESTE", F1675))), "6.1 Despesas Administrativas (Gerais)", IFERROR(VLOOKUP(H1675, De_Para!A:B, 2, FALSE), "NÃO MAPEADO"))), IFERROR(VLOOKUP(H1675, De_Para!A:B, 2, FALSE), "NÃO MAPEADO"))</f>
        <v/>
      </c>
    </row>
    <row r="1676">
      <c r="A1676" s="2" t="inlineStr">
        <is>
          <t>68010</t>
        </is>
      </c>
      <c r="B1676" s="2" t="inlineStr">
        <is>
          <t>Sicoob</t>
        </is>
      </c>
      <c r="C1676" s="2" t="inlineStr">
        <is>
          <t>08/06/2026</t>
        </is>
      </c>
      <c r="D1676" s="2" t="inlineStr">
        <is>
          <t>08/06/2026</t>
        </is>
      </c>
      <c r="E1676" s="2" t="inlineStr">
        <is>
          <t>Dinheiro</t>
        </is>
      </c>
      <c r="F1676" s="2" t="inlineStr">
        <is>
          <t>Boleto "55020" do cliente "SILVANA AURELIA DO VALE"</t>
        </is>
      </c>
      <c r="G1676" s="2" t="inlineStr">
        <is>
          <t>system</t>
        </is>
      </c>
      <c r="H1676" s="2" t="inlineStr">
        <is>
          <t>01.01.01 : Mensalidade</t>
        </is>
      </c>
      <c r="I1676" s="3" t="n">
        <v>105</v>
      </c>
      <c r="J1676" s="2" t="n"/>
      <c r="K1676" s="2">
        <f>IF(H1676="02.09 : Outras Saídas", IF(OR(ISNUMBER(SEARCH("CHEQUE COMPE SICREDI", F1676)), ISNUMBER(SEARCH("aniversario", F1676)), ISNUMBER(SEARCH("churrasco", F1676)), ISNUMBER(SEARCH("bolo", F1676)), ISNUMBER(SEARCH("SUPERMERCADO", F1676))), "6.1 Despesas Administrativas (Pessoal)", IF(OR(ISNUMBER(SEARCH("DLKNET", F1676)), ISNUMBER(SEARCH("TESTE", F1676))), "6.1 Despesas Administrativas (Gerais)", IFERROR(VLOOKUP(H1676, De_Para!A:B, 2, FALSE), "NÃO MAPEADO"))), IFERROR(VLOOKUP(H1676, De_Para!A:B, 2, FALSE), "NÃO MAPEADO"))</f>
        <v/>
      </c>
    </row>
    <row r="1677">
      <c r="A1677" s="2" t="inlineStr">
        <is>
          <t>68009</t>
        </is>
      </c>
      <c r="B1677" s="2" t="inlineStr">
        <is>
          <t>Sicoob</t>
        </is>
      </c>
      <c r="C1677" s="2" t="inlineStr">
        <is>
          <t>08/06/2026</t>
        </is>
      </c>
      <c r="D1677" s="2" t="inlineStr">
        <is>
          <t>08/06/2026</t>
        </is>
      </c>
      <c r="E1677" s="2" t="inlineStr">
        <is>
          <t>Dinheiro</t>
        </is>
      </c>
      <c r="F1677" s="2" t="inlineStr">
        <is>
          <t>Boleto "61329" do cliente "CLEITON FERREIRA"</t>
        </is>
      </c>
      <c r="G1677" s="2" t="inlineStr">
        <is>
          <t>system</t>
        </is>
      </c>
      <c r="H1677" s="2" t="inlineStr">
        <is>
          <t>02.03.02.01 : Cobrança Bancaria</t>
        </is>
      </c>
      <c r="I1677" s="2" t="n"/>
      <c r="J1677" s="3" t="n">
        <v>-0.88</v>
      </c>
      <c r="K1677" s="2">
        <f>IF(H1677="02.09 : Outras Saídas", IF(OR(ISNUMBER(SEARCH("CHEQUE COMPE SICREDI", F1677)), ISNUMBER(SEARCH("aniversario", F1677)), ISNUMBER(SEARCH("churrasco", F1677)), ISNUMBER(SEARCH("bolo", F1677)), ISNUMBER(SEARCH("SUPERMERCADO", F1677))), "6.1 Despesas Administrativas (Pessoal)", IF(OR(ISNUMBER(SEARCH("DLKNET", F1677)), ISNUMBER(SEARCH("TESTE", F1677))), "6.1 Despesas Administrativas (Gerais)", IFERROR(VLOOKUP(H1677, De_Para!A:B, 2, FALSE), "NÃO MAPEADO"))), IFERROR(VLOOKUP(H1677, De_Para!A:B, 2, FALSE), "NÃO MAPEADO"))</f>
        <v/>
      </c>
    </row>
    <row r="1678">
      <c r="A1678" s="2" t="inlineStr">
        <is>
          <t>68008</t>
        </is>
      </c>
      <c r="B1678" s="2" t="inlineStr">
        <is>
          <t>Sicoob</t>
        </is>
      </c>
      <c r="C1678" s="2" t="inlineStr">
        <is>
          <t>08/06/2026</t>
        </is>
      </c>
      <c r="D1678" s="2" t="inlineStr">
        <is>
          <t>08/06/2026</t>
        </is>
      </c>
      <c r="E1678" s="2" t="inlineStr">
        <is>
          <t>Dinheiro</t>
        </is>
      </c>
      <c r="F1678" s="2" t="inlineStr">
        <is>
          <t>Boleto "61329" do cliente "CLEITON FERREIRA"</t>
        </is>
      </c>
      <c r="G1678" s="2" t="inlineStr">
        <is>
          <t>system</t>
        </is>
      </c>
      <c r="H1678" s="2" t="inlineStr">
        <is>
          <t>01.01.01 : Mensalidade</t>
        </is>
      </c>
      <c r="I1678" s="3" t="n">
        <v>105</v>
      </c>
      <c r="J1678" s="2" t="n"/>
      <c r="K1678" s="2">
        <f>IF(H1678="02.09 : Outras Saídas", IF(OR(ISNUMBER(SEARCH("CHEQUE COMPE SICREDI", F1678)), ISNUMBER(SEARCH("aniversario", F1678)), ISNUMBER(SEARCH("churrasco", F1678)), ISNUMBER(SEARCH("bolo", F1678)), ISNUMBER(SEARCH("SUPERMERCADO", F1678))), "6.1 Despesas Administrativas (Pessoal)", IF(OR(ISNUMBER(SEARCH("DLKNET", F1678)), ISNUMBER(SEARCH("TESTE", F1678))), "6.1 Despesas Administrativas (Gerais)", IFERROR(VLOOKUP(H1678, De_Para!A:B, 2, FALSE), "NÃO MAPEADO"))), IFERROR(VLOOKUP(H1678, De_Para!A:B, 2, FALSE), "NÃO MAPEADO"))</f>
        <v/>
      </c>
    </row>
    <row r="1679">
      <c r="A1679" s="2" t="inlineStr">
        <is>
          <t>68007</t>
        </is>
      </c>
      <c r="B1679" s="2" t="inlineStr">
        <is>
          <t>Sicoob</t>
        </is>
      </c>
      <c r="C1679" s="2" t="inlineStr">
        <is>
          <t>08/06/2026</t>
        </is>
      </c>
      <c r="D1679" s="2" t="inlineStr">
        <is>
          <t>08/06/2026</t>
        </is>
      </c>
      <c r="E1679" s="2" t="inlineStr">
        <is>
          <t>Dinheiro</t>
        </is>
      </c>
      <c r="F1679" s="2" t="inlineStr">
        <is>
          <t>Boleto "66187" do cliente "HAQUILA DE OLIVEIRA ALVES"</t>
        </is>
      </c>
      <c r="G1679" s="2" t="inlineStr">
        <is>
          <t>system</t>
        </is>
      </c>
      <c r="H1679" s="2" t="inlineStr">
        <is>
          <t>02.03.02.01 : Cobrança Bancaria</t>
        </is>
      </c>
      <c r="I1679" s="2" t="n"/>
      <c r="J1679" s="3" t="n">
        <v>-0.88</v>
      </c>
      <c r="K1679" s="2">
        <f>IF(H1679="02.09 : Outras Saídas", IF(OR(ISNUMBER(SEARCH("CHEQUE COMPE SICREDI", F1679)), ISNUMBER(SEARCH("aniversario", F1679)), ISNUMBER(SEARCH("churrasco", F1679)), ISNUMBER(SEARCH("bolo", F1679)), ISNUMBER(SEARCH("SUPERMERCADO", F1679))), "6.1 Despesas Administrativas (Pessoal)", IF(OR(ISNUMBER(SEARCH("DLKNET", F1679)), ISNUMBER(SEARCH("TESTE", F1679))), "6.1 Despesas Administrativas (Gerais)", IFERROR(VLOOKUP(H1679, De_Para!A:B, 2, FALSE), "NÃO MAPEADO"))), IFERROR(VLOOKUP(H1679, De_Para!A:B, 2, FALSE), "NÃO MAPEADO"))</f>
        <v/>
      </c>
    </row>
    <row r="1680">
      <c r="A1680" s="2" t="inlineStr">
        <is>
          <t>68006</t>
        </is>
      </c>
      <c r="B1680" s="2" t="inlineStr">
        <is>
          <t>Sicoob</t>
        </is>
      </c>
      <c r="C1680" s="2" t="inlineStr">
        <is>
          <t>08/06/2026</t>
        </is>
      </c>
      <c r="D1680" s="2" t="inlineStr">
        <is>
          <t>08/06/2026</t>
        </is>
      </c>
      <c r="E1680" s="2" t="inlineStr">
        <is>
          <t>Dinheiro</t>
        </is>
      </c>
      <c r="F1680" s="2" t="inlineStr">
        <is>
          <t>Boleto "66187" do cliente "HAQUILA DE OLIVEIRA ALVES"</t>
        </is>
      </c>
      <c r="G1680" s="2" t="inlineStr">
        <is>
          <t>system</t>
        </is>
      </c>
      <c r="H1680" s="2" t="inlineStr">
        <is>
          <t>01.01.01 : Mensalidade</t>
        </is>
      </c>
      <c r="I1680" s="3" t="n">
        <v>104.9</v>
      </c>
      <c r="J1680" s="2" t="n"/>
      <c r="K1680" s="2">
        <f>IF(H1680="02.09 : Outras Saídas", IF(OR(ISNUMBER(SEARCH("CHEQUE COMPE SICREDI", F1680)), ISNUMBER(SEARCH("aniversario", F1680)), ISNUMBER(SEARCH("churrasco", F1680)), ISNUMBER(SEARCH("bolo", F1680)), ISNUMBER(SEARCH("SUPERMERCADO", F1680))), "6.1 Despesas Administrativas (Pessoal)", IF(OR(ISNUMBER(SEARCH("DLKNET", F1680)), ISNUMBER(SEARCH("TESTE", F1680))), "6.1 Despesas Administrativas (Gerais)", IFERROR(VLOOKUP(H1680, De_Para!A:B, 2, FALSE), "NÃO MAPEADO"))), IFERROR(VLOOKUP(H1680, De_Para!A:B, 2, FALSE), "NÃO MAPEADO"))</f>
        <v/>
      </c>
    </row>
    <row r="1681">
      <c r="A1681" s="2" t="inlineStr">
        <is>
          <t>68005</t>
        </is>
      </c>
      <c r="B1681" s="2" t="inlineStr">
        <is>
          <t>Sicoob</t>
        </is>
      </c>
      <c r="C1681" s="2" t="inlineStr">
        <is>
          <t>08/06/2026</t>
        </is>
      </c>
      <c r="D1681" s="2" t="inlineStr">
        <is>
          <t>08/06/2026</t>
        </is>
      </c>
      <c r="E1681" s="2" t="inlineStr">
        <is>
          <t>Dinheiro</t>
        </is>
      </c>
      <c r="F1681" s="2" t="inlineStr">
        <is>
          <t>Boleto "57557" do cliente "SERGIO ROBERTO ALEXANDRINO RODRIGUES"</t>
        </is>
      </c>
      <c r="G1681" s="2" t="inlineStr">
        <is>
          <t>system</t>
        </is>
      </c>
      <c r="H1681" s="2" t="inlineStr">
        <is>
          <t>02.03.02.01 : Cobrança Bancaria</t>
        </is>
      </c>
      <c r="I1681" s="2" t="n"/>
      <c r="J1681" s="3" t="n">
        <v>-0.88</v>
      </c>
      <c r="K1681" s="2">
        <f>IF(H1681="02.09 : Outras Saídas", IF(OR(ISNUMBER(SEARCH("CHEQUE COMPE SICREDI", F1681)), ISNUMBER(SEARCH("aniversario", F1681)), ISNUMBER(SEARCH("churrasco", F1681)), ISNUMBER(SEARCH("bolo", F1681)), ISNUMBER(SEARCH("SUPERMERCADO", F1681))), "6.1 Despesas Administrativas (Pessoal)", IF(OR(ISNUMBER(SEARCH("DLKNET", F1681)), ISNUMBER(SEARCH("TESTE", F1681))), "6.1 Despesas Administrativas (Gerais)", IFERROR(VLOOKUP(H1681, De_Para!A:B, 2, FALSE), "NÃO MAPEADO"))), IFERROR(VLOOKUP(H1681, De_Para!A:B, 2, FALSE), "NÃO MAPEADO"))</f>
        <v/>
      </c>
    </row>
    <row r="1682">
      <c r="A1682" s="2" t="inlineStr">
        <is>
          <t>68004</t>
        </is>
      </c>
      <c r="B1682" s="2" t="inlineStr">
        <is>
          <t>Sicoob</t>
        </is>
      </c>
      <c r="C1682" s="2" t="inlineStr">
        <is>
          <t>08/06/2026</t>
        </is>
      </c>
      <c r="D1682" s="2" t="inlineStr">
        <is>
          <t>08/06/2026</t>
        </is>
      </c>
      <c r="E1682" s="2" t="inlineStr">
        <is>
          <t>Dinheiro</t>
        </is>
      </c>
      <c r="F1682" s="2" t="inlineStr">
        <is>
          <t>Boleto "57557" do cliente "SERGIO ROBERTO ALEXANDRINO RODRIGUES"</t>
        </is>
      </c>
      <c r="G1682" s="2" t="inlineStr">
        <is>
          <t>system</t>
        </is>
      </c>
      <c r="H1682" s="2" t="inlineStr">
        <is>
          <t>01.01.01 : Mensalidade</t>
        </is>
      </c>
      <c r="I1682" s="3" t="n">
        <v>105</v>
      </c>
      <c r="J1682" s="2" t="n"/>
      <c r="K1682" s="2">
        <f>IF(H1682="02.09 : Outras Saídas", IF(OR(ISNUMBER(SEARCH("CHEQUE COMPE SICREDI", F1682)), ISNUMBER(SEARCH("aniversario", F1682)), ISNUMBER(SEARCH("churrasco", F1682)), ISNUMBER(SEARCH("bolo", F1682)), ISNUMBER(SEARCH("SUPERMERCADO", F1682))), "6.1 Despesas Administrativas (Pessoal)", IF(OR(ISNUMBER(SEARCH("DLKNET", F1682)), ISNUMBER(SEARCH("TESTE", F1682))), "6.1 Despesas Administrativas (Gerais)", IFERROR(VLOOKUP(H1682, De_Para!A:B, 2, FALSE), "NÃO MAPEADO"))), IFERROR(VLOOKUP(H1682, De_Para!A:B, 2, FALSE), "NÃO MAPEADO"))</f>
        <v/>
      </c>
    </row>
    <row r="1683">
      <c r="A1683" s="2" t="inlineStr">
        <is>
          <t>68003</t>
        </is>
      </c>
      <c r="B1683" s="2" t="inlineStr">
        <is>
          <t>Sicoob</t>
        </is>
      </c>
      <c r="C1683" s="2" t="inlineStr">
        <is>
          <t>08/06/2026</t>
        </is>
      </c>
      <c r="D1683" s="2" t="inlineStr">
        <is>
          <t>08/06/2026</t>
        </is>
      </c>
      <c r="E1683" s="2" t="inlineStr">
        <is>
          <t>Dinheiro</t>
        </is>
      </c>
      <c r="F1683" s="2" t="inlineStr">
        <is>
          <t>Boleto "57337" do cliente "MARIA DE LOURDES DA SILVA"</t>
        </is>
      </c>
      <c r="G1683" s="2" t="inlineStr">
        <is>
          <t>system</t>
        </is>
      </c>
      <c r="H1683" s="2" t="inlineStr">
        <is>
          <t>02.03.02.01 : Cobrança Bancaria</t>
        </is>
      </c>
      <c r="I1683" s="2" t="n"/>
      <c r="J1683" s="3" t="n">
        <v>-0.88</v>
      </c>
      <c r="K1683" s="2">
        <f>IF(H1683="02.09 : Outras Saídas", IF(OR(ISNUMBER(SEARCH("CHEQUE COMPE SICREDI", F1683)), ISNUMBER(SEARCH("aniversario", F1683)), ISNUMBER(SEARCH("churrasco", F1683)), ISNUMBER(SEARCH("bolo", F1683)), ISNUMBER(SEARCH("SUPERMERCADO", F1683))), "6.1 Despesas Administrativas (Pessoal)", IF(OR(ISNUMBER(SEARCH("DLKNET", F1683)), ISNUMBER(SEARCH("TESTE", F1683))), "6.1 Despesas Administrativas (Gerais)", IFERROR(VLOOKUP(H1683, De_Para!A:B, 2, FALSE), "NÃO MAPEADO"))), IFERROR(VLOOKUP(H1683, De_Para!A:B, 2, FALSE), "NÃO MAPEADO"))</f>
        <v/>
      </c>
    </row>
    <row r="1684">
      <c r="A1684" s="2" t="inlineStr">
        <is>
          <t>68002</t>
        </is>
      </c>
      <c r="B1684" s="2" t="inlineStr">
        <is>
          <t>Sicoob</t>
        </is>
      </c>
      <c r="C1684" s="2" t="inlineStr">
        <is>
          <t>08/06/2026</t>
        </is>
      </c>
      <c r="D1684" s="2" t="inlineStr">
        <is>
          <t>08/06/2026</t>
        </is>
      </c>
      <c r="E1684" s="2" t="inlineStr">
        <is>
          <t>Dinheiro</t>
        </is>
      </c>
      <c r="F1684" s="2" t="inlineStr">
        <is>
          <t>Boleto "57337" do cliente "MARIA DE LOURDES DA SILVA"</t>
        </is>
      </c>
      <c r="G1684" s="2" t="inlineStr">
        <is>
          <t>system</t>
        </is>
      </c>
      <c r="H1684" s="2" t="inlineStr">
        <is>
          <t>01.01.01 : Mensalidade</t>
        </is>
      </c>
      <c r="I1684" s="3" t="n">
        <v>100</v>
      </c>
      <c r="J1684" s="2" t="n"/>
      <c r="K1684" s="2">
        <f>IF(H1684="02.09 : Outras Saídas", IF(OR(ISNUMBER(SEARCH("CHEQUE COMPE SICREDI", F1684)), ISNUMBER(SEARCH("aniversario", F1684)), ISNUMBER(SEARCH("churrasco", F1684)), ISNUMBER(SEARCH("bolo", F1684)), ISNUMBER(SEARCH("SUPERMERCADO", F1684))), "6.1 Despesas Administrativas (Pessoal)", IF(OR(ISNUMBER(SEARCH("DLKNET", F1684)), ISNUMBER(SEARCH("TESTE", F1684))), "6.1 Despesas Administrativas (Gerais)", IFERROR(VLOOKUP(H1684, De_Para!A:B, 2, FALSE), "NÃO MAPEADO"))), IFERROR(VLOOKUP(H1684, De_Para!A:B, 2, FALSE), "NÃO MAPEADO"))</f>
        <v/>
      </c>
    </row>
    <row r="1685">
      <c r="A1685" s="2" t="inlineStr">
        <is>
          <t>68001</t>
        </is>
      </c>
      <c r="B1685" s="2" t="inlineStr">
        <is>
          <t>Sicoob</t>
        </is>
      </c>
      <c r="C1685" s="2" t="inlineStr">
        <is>
          <t>08/06/2026</t>
        </is>
      </c>
      <c r="D1685" s="2" t="inlineStr">
        <is>
          <t>08/06/2026</t>
        </is>
      </c>
      <c r="E1685" s="2" t="inlineStr">
        <is>
          <t>Dinheiro</t>
        </is>
      </c>
      <c r="F1685" s="2" t="inlineStr">
        <is>
          <t>Boleto "56078" do cliente "TEREZINHA CONCEIÇÃO DOS SANTOS"</t>
        </is>
      </c>
      <c r="G1685" s="2" t="inlineStr">
        <is>
          <t>system</t>
        </is>
      </c>
      <c r="H1685" s="2" t="inlineStr">
        <is>
          <t>02.03.02.01 : Cobrança Bancaria</t>
        </is>
      </c>
      <c r="I1685" s="2" t="n"/>
      <c r="J1685" s="3" t="n">
        <v>-0.88</v>
      </c>
      <c r="K1685" s="2">
        <f>IF(H1685="02.09 : Outras Saídas", IF(OR(ISNUMBER(SEARCH("CHEQUE COMPE SICREDI", F1685)), ISNUMBER(SEARCH("aniversario", F1685)), ISNUMBER(SEARCH("churrasco", F1685)), ISNUMBER(SEARCH("bolo", F1685)), ISNUMBER(SEARCH("SUPERMERCADO", F1685))), "6.1 Despesas Administrativas (Pessoal)", IF(OR(ISNUMBER(SEARCH("DLKNET", F1685)), ISNUMBER(SEARCH("TESTE", F1685))), "6.1 Despesas Administrativas (Gerais)", IFERROR(VLOOKUP(H1685, De_Para!A:B, 2, FALSE), "NÃO MAPEADO"))), IFERROR(VLOOKUP(H1685, De_Para!A:B, 2, FALSE), "NÃO MAPEADO"))</f>
        <v/>
      </c>
    </row>
    <row r="1686">
      <c r="A1686" s="2" t="inlineStr">
        <is>
          <t>68000</t>
        </is>
      </c>
      <c r="B1686" s="2" t="inlineStr">
        <is>
          <t>Sicoob</t>
        </is>
      </c>
      <c r="C1686" s="2" t="inlineStr">
        <is>
          <t>08/06/2026</t>
        </is>
      </c>
      <c r="D1686" s="2" t="inlineStr">
        <is>
          <t>08/06/2026</t>
        </is>
      </c>
      <c r="E1686" s="2" t="inlineStr">
        <is>
          <t>Dinheiro</t>
        </is>
      </c>
      <c r="F1686" s="2" t="inlineStr">
        <is>
          <t>Boleto "56078" do cliente "TEREZINHA CONCEIÇÃO DOS SANTOS"</t>
        </is>
      </c>
      <c r="G1686" s="2" t="inlineStr">
        <is>
          <t>system</t>
        </is>
      </c>
      <c r="H1686" s="2" t="inlineStr">
        <is>
          <t>01.01.01 : Mensalidade</t>
        </is>
      </c>
      <c r="I1686" s="3" t="n">
        <v>105</v>
      </c>
      <c r="J1686" s="2" t="n"/>
      <c r="K1686" s="2">
        <f>IF(H1686="02.09 : Outras Saídas", IF(OR(ISNUMBER(SEARCH("CHEQUE COMPE SICREDI", F1686)), ISNUMBER(SEARCH("aniversario", F1686)), ISNUMBER(SEARCH("churrasco", F1686)), ISNUMBER(SEARCH("bolo", F1686)), ISNUMBER(SEARCH("SUPERMERCADO", F1686))), "6.1 Despesas Administrativas (Pessoal)", IF(OR(ISNUMBER(SEARCH("DLKNET", F1686)), ISNUMBER(SEARCH("TESTE", F1686))), "6.1 Despesas Administrativas (Gerais)", IFERROR(VLOOKUP(H1686, De_Para!A:B, 2, FALSE), "NÃO MAPEADO"))), IFERROR(VLOOKUP(H1686, De_Para!A:B, 2, FALSE), "NÃO MAPEADO"))</f>
        <v/>
      </c>
    </row>
    <row r="1687">
      <c r="A1687" s="2" t="inlineStr">
        <is>
          <t>67999</t>
        </is>
      </c>
      <c r="B1687" s="2" t="inlineStr">
        <is>
          <t>Sicoob</t>
        </is>
      </c>
      <c r="C1687" s="2" t="inlineStr">
        <is>
          <t>08/06/2026</t>
        </is>
      </c>
      <c r="D1687" s="2" t="inlineStr">
        <is>
          <t>08/06/2026</t>
        </is>
      </c>
      <c r="E1687" s="2" t="inlineStr">
        <is>
          <t>Dinheiro</t>
        </is>
      </c>
      <c r="F1687" s="2" t="inlineStr">
        <is>
          <t>Boleto "56058" do cliente "EDILSON JOSE VIDAL"</t>
        </is>
      </c>
      <c r="G1687" s="2" t="inlineStr">
        <is>
          <t>system</t>
        </is>
      </c>
      <c r="H1687" s="2" t="inlineStr">
        <is>
          <t>02.03.02.01 : Cobrança Bancaria</t>
        </is>
      </c>
      <c r="I1687" s="2" t="n"/>
      <c r="J1687" s="3" t="n">
        <v>-0.88</v>
      </c>
      <c r="K1687" s="2">
        <f>IF(H1687="02.09 : Outras Saídas", IF(OR(ISNUMBER(SEARCH("CHEQUE COMPE SICREDI", F1687)), ISNUMBER(SEARCH("aniversario", F1687)), ISNUMBER(SEARCH("churrasco", F1687)), ISNUMBER(SEARCH("bolo", F1687)), ISNUMBER(SEARCH("SUPERMERCADO", F1687))), "6.1 Despesas Administrativas (Pessoal)", IF(OR(ISNUMBER(SEARCH("DLKNET", F1687)), ISNUMBER(SEARCH("TESTE", F1687))), "6.1 Despesas Administrativas (Gerais)", IFERROR(VLOOKUP(H1687, De_Para!A:B, 2, FALSE), "NÃO MAPEADO"))), IFERROR(VLOOKUP(H1687, De_Para!A:B, 2, FALSE), "NÃO MAPEADO"))</f>
        <v/>
      </c>
    </row>
    <row r="1688">
      <c r="A1688" s="2" t="inlineStr">
        <is>
          <t>67998</t>
        </is>
      </c>
      <c r="B1688" s="2" t="inlineStr">
        <is>
          <t>Sicoob</t>
        </is>
      </c>
      <c r="C1688" s="2" t="inlineStr">
        <is>
          <t>08/06/2026</t>
        </is>
      </c>
      <c r="D1688" s="2" t="inlineStr">
        <is>
          <t>08/06/2026</t>
        </is>
      </c>
      <c r="E1688" s="2" t="inlineStr">
        <is>
          <t>Dinheiro</t>
        </is>
      </c>
      <c r="F1688" s="2" t="inlineStr">
        <is>
          <t>Boleto "56058" do cliente "EDILSON JOSE VIDAL"</t>
        </is>
      </c>
      <c r="G1688" s="2" t="inlineStr">
        <is>
          <t>system</t>
        </is>
      </c>
      <c r="H1688" s="2" t="inlineStr">
        <is>
          <t>01.01.01 : Mensalidade</t>
        </is>
      </c>
      <c r="I1688" s="3" t="n">
        <v>110</v>
      </c>
      <c r="J1688" s="2" t="n"/>
      <c r="K1688" s="2">
        <f>IF(H1688="02.09 : Outras Saídas", IF(OR(ISNUMBER(SEARCH("CHEQUE COMPE SICREDI", F1688)), ISNUMBER(SEARCH("aniversario", F1688)), ISNUMBER(SEARCH("churrasco", F1688)), ISNUMBER(SEARCH("bolo", F1688)), ISNUMBER(SEARCH("SUPERMERCADO", F1688))), "6.1 Despesas Administrativas (Pessoal)", IF(OR(ISNUMBER(SEARCH("DLKNET", F1688)), ISNUMBER(SEARCH("TESTE", F1688))), "6.1 Despesas Administrativas (Gerais)", IFERROR(VLOOKUP(H1688, De_Para!A:B, 2, FALSE), "NÃO MAPEADO"))), IFERROR(VLOOKUP(H1688, De_Para!A:B, 2, FALSE), "NÃO MAPEADO"))</f>
        <v/>
      </c>
    </row>
    <row r="1689">
      <c r="A1689" s="2" t="inlineStr">
        <is>
          <t>67997</t>
        </is>
      </c>
      <c r="B1689" s="2" t="inlineStr">
        <is>
          <t>Sicoob</t>
        </is>
      </c>
      <c r="C1689" s="2" t="inlineStr">
        <is>
          <t>08/06/2026</t>
        </is>
      </c>
      <c r="D1689" s="2" t="inlineStr">
        <is>
          <t>08/06/2026</t>
        </is>
      </c>
      <c r="E1689" s="2" t="inlineStr">
        <is>
          <t>Dinheiro</t>
        </is>
      </c>
      <c r="F1689" s="2" t="inlineStr">
        <is>
          <t>Boleto "55725" do cliente "ARTUR FERNANDO ROCHA BAHR"</t>
        </is>
      </c>
      <c r="G1689" s="2" t="inlineStr">
        <is>
          <t>system</t>
        </is>
      </c>
      <c r="H1689" s="2" t="inlineStr">
        <is>
          <t>02.03.02.01 : Cobrança Bancaria</t>
        </is>
      </c>
      <c r="I1689" s="2" t="n"/>
      <c r="J1689" s="3" t="n">
        <v>-0.88</v>
      </c>
      <c r="K1689" s="2">
        <f>IF(H1689="02.09 : Outras Saídas", IF(OR(ISNUMBER(SEARCH("CHEQUE COMPE SICREDI", F1689)), ISNUMBER(SEARCH("aniversario", F1689)), ISNUMBER(SEARCH("churrasco", F1689)), ISNUMBER(SEARCH("bolo", F1689)), ISNUMBER(SEARCH("SUPERMERCADO", F1689))), "6.1 Despesas Administrativas (Pessoal)", IF(OR(ISNUMBER(SEARCH("DLKNET", F1689)), ISNUMBER(SEARCH("TESTE", F1689))), "6.1 Despesas Administrativas (Gerais)", IFERROR(VLOOKUP(H1689, De_Para!A:B, 2, FALSE), "NÃO MAPEADO"))), IFERROR(VLOOKUP(H1689, De_Para!A:B, 2, FALSE), "NÃO MAPEADO"))</f>
        <v/>
      </c>
    </row>
    <row r="1690">
      <c r="A1690" s="2" t="inlineStr">
        <is>
          <t>67996</t>
        </is>
      </c>
      <c r="B1690" s="2" t="inlineStr">
        <is>
          <t>Sicoob</t>
        </is>
      </c>
      <c r="C1690" s="2" t="inlineStr">
        <is>
          <t>08/06/2026</t>
        </is>
      </c>
      <c r="D1690" s="2" t="inlineStr">
        <is>
          <t>08/06/2026</t>
        </is>
      </c>
      <c r="E1690" s="2" t="inlineStr">
        <is>
          <t>Dinheiro</t>
        </is>
      </c>
      <c r="F1690" s="2" t="inlineStr">
        <is>
          <t>Boleto "55725" do cliente "ARTUR FERNANDO ROCHA BAHR"</t>
        </is>
      </c>
      <c r="G1690" s="2" t="inlineStr">
        <is>
          <t>system</t>
        </is>
      </c>
      <c r="H1690" s="2" t="inlineStr">
        <is>
          <t>01.01.01 : Mensalidade</t>
        </is>
      </c>
      <c r="I1690" s="3" t="n">
        <v>102.03</v>
      </c>
      <c r="J1690" s="2" t="n"/>
      <c r="K1690" s="2">
        <f>IF(H1690="02.09 : Outras Saídas", IF(OR(ISNUMBER(SEARCH("CHEQUE COMPE SICREDI", F1690)), ISNUMBER(SEARCH("aniversario", F1690)), ISNUMBER(SEARCH("churrasco", F1690)), ISNUMBER(SEARCH("bolo", F1690)), ISNUMBER(SEARCH("SUPERMERCADO", F1690))), "6.1 Despesas Administrativas (Pessoal)", IF(OR(ISNUMBER(SEARCH("DLKNET", F1690)), ISNUMBER(SEARCH("TESTE", F1690))), "6.1 Despesas Administrativas (Gerais)", IFERROR(VLOOKUP(H1690, De_Para!A:B, 2, FALSE), "NÃO MAPEADO"))), IFERROR(VLOOKUP(H1690, De_Para!A:B, 2, FALSE), "NÃO MAPEADO"))</f>
        <v/>
      </c>
    </row>
    <row r="1691">
      <c r="A1691" s="2" t="inlineStr">
        <is>
          <t>67995</t>
        </is>
      </c>
      <c r="B1691" s="2" t="inlineStr">
        <is>
          <t>Sicoob</t>
        </is>
      </c>
      <c r="C1691" s="2" t="inlineStr">
        <is>
          <t>08/06/2026</t>
        </is>
      </c>
      <c r="D1691" s="2" t="inlineStr">
        <is>
          <t>08/06/2026</t>
        </is>
      </c>
      <c r="E1691" s="2" t="inlineStr">
        <is>
          <t>Dinheiro</t>
        </is>
      </c>
      <c r="F1691" s="2" t="inlineStr">
        <is>
          <t>Boleto "63237" do cliente "PEDRO GOMES DE FARIA"</t>
        </is>
      </c>
      <c r="G1691" s="2" t="inlineStr">
        <is>
          <t>system</t>
        </is>
      </c>
      <c r="H1691" s="2" t="inlineStr">
        <is>
          <t>02.03.02.01 : Cobrança Bancaria</t>
        </is>
      </c>
      <c r="I1691" s="2" t="n"/>
      <c r="J1691" s="3" t="n">
        <v>-0.88</v>
      </c>
      <c r="K1691" s="2">
        <f>IF(H1691="02.09 : Outras Saídas", IF(OR(ISNUMBER(SEARCH("CHEQUE COMPE SICREDI", F1691)), ISNUMBER(SEARCH("aniversario", F1691)), ISNUMBER(SEARCH("churrasco", F1691)), ISNUMBER(SEARCH("bolo", F1691)), ISNUMBER(SEARCH("SUPERMERCADO", F1691))), "6.1 Despesas Administrativas (Pessoal)", IF(OR(ISNUMBER(SEARCH("DLKNET", F1691)), ISNUMBER(SEARCH("TESTE", F1691))), "6.1 Despesas Administrativas (Gerais)", IFERROR(VLOOKUP(H1691, De_Para!A:B, 2, FALSE), "NÃO MAPEADO"))), IFERROR(VLOOKUP(H1691, De_Para!A:B, 2, FALSE), "NÃO MAPEADO"))</f>
        <v/>
      </c>
    </row>
    <row r="1692">
      <c r="A1692" s="2" t="inlineStr">
        <is>
          <t>67994</t>
        </is>
      </c>
      <c r="B1692" s="2" t="inlineStr">
        <is>
          <t>Sicoob</t>
        </is>
      </c>
      <c r="C1692" s="2" t="inlineStr">
        <is>
          <t>08/06/2026</t>
        </is>
      </c>
      <c r="D1692" s="2" t="inlineStr">
        <is>
          <t>08/06/2026</t>
        </is>
      </c>
      <c r="E1692" s="2" t="inlineStr">
        <is>
          <t>Dinheiro</t>
        </is>
      </c>
      <c r="F1692" s="2" t="inlineStr">
        <is>
          <t>Boleto "63237" do cliente "PEDRO GOMES DE FARIA"</t>
        </is>
      </c>
      <c r="G1692" s="2" t="inlineStr">
        <is>
          <t>system</t>
        </is>
      </c>
      <c r="H1692" s="2" t="inlineStr">
        <is>
          <t>01.01.01 : Mensalidade</t>
        </is>
      </c>
      <c r="I1692" s="3" t="n">
        <v>99.90000000000001</v>
      </c>
      <c r="J1692" s="2" t="n"/>
      <c r="K1692" s="2">
        <f>IF(H1692="02.09 : Outras Saídas", IF(OR(ISNUMBER(SEARCH("CHEQUE COMPE SICREDI", F1692)), ISNUMBER(SEARCH("aniversario", F1692)), ISNUMBER(SEARCH("churrasco", F1692)), ISNUMBER(SEARCH("bolo", F1692)), ISNUMBER(SEARCH("SUPERMERCADO", F1692))), "6.1 Despesas Administrativas (Pessoal)", IF(OR(ISNUMBER(SEARCH("DLKNET", F1692)), ISNUMBER(SEARCH("TESTE", F1692))), "6.1 Despesas Administrativas (Gerais)", IFERROR(VLOOKUP(H1692, De_Para!A:B, 2, FALSE), "NÃO MAPEADO"))), IFERROR(VLOOKUP(H1692, De_Para!A:B, 2, FALSE), "NÃO MAPEADO"))</f>
        <v/>
      </c>
    </row>
    <row r="1693">
      <c r="A1693" s="2" t="inlineStr">
        <is>
          <t>67993</t>
        </is>
      </c>
      <c r="B1693" s="2" t="inlineStr">
        <is>
          <t>Sicoob</t>
        </is>
      </c>
      <c r="C1693" s="2" t="inlineStr">
        <is>
          <t>08/06/2026</t>
        </is>
      </c>
      <c r="D1693" s="2" t="inlineStr">
        <is>
          <t>08/06/2026</t>
        </is>
      </c>
      <c r="E1693" s="2" t="inlineStr">
        <is>
          <t>Dinheiro</t>
        </is>
      </c>
      <c r="F1693" s="2" t="inlineStr">
        <is>
          <t>Boleto "62620" do cliente "JOSE MARIA DOS SANTOS"</t>
        </is>
      </c>
      <c r="G1693" s="2" t="inlineStr">
        <is>
          <t>system</t>
        </is>
      </c>
      <c r="H1693" s="2" t="inlineStr">
        <is>
          <t>02.03.02.01 : Cobrança Bancaria</t>
        </is>
      </c>
      <c r="I1693" s="2" t="n"/>
      <c r="J1693" s="3" t="n">
        <v>-0.88</v>
      </c>
      <c r="K1693" s="2">
        <f>IF(H1693="02.09 : Outras Saídas", IF(OR(ISNUMBER(SEARCH("CHEQUE COMPE SICREDI", F1693)), ISNUMBER(SEARCH("aniversario", F1693)), ISNUMBER(SEARCH("churrasco", F1693)), ISNUMBER(SEARCH("bolo", F1693)), ISNUMBER(SEARCH("SUPERMERCADO", F1693))), "6.1 Despesas Administrativas (Pessoal)", IF(OR(ISNUMBER(SEARCH("DLKNET", F1693)), ISNUMBER(SEARCH("TESTE", F1693))), "6.1 Despesas Administrativas (Gerais)", IFERROR(VLOOKUP(H1693, De_Para!A:B, 2, FALSE), "NÃO MAPEADO"))), IFERROR(VLOOKUP(H1693, De_Para!A:B, 2, FALSE), "NÃO MAPEADO"))</f>
        <v/>
      </c>
    </row>
    <row r="1694">
      <c r="A1694" s="2" t="inlineStr">
        <is>
          <t>67992</t>
        </is>
      </c>
      <c r="B1694" s="2" t="inlineStr">
        <is>
          <t>Sicoob</t>
        </is>
      </c>
      <c r="C1694" s="2" t="inlineStr">
        <is>
          <t>08/06/2026</t>
        </is>
      </c>
      <c r="D1694" s="2" t="inlineStr">
        <is>
          <t>08/06/2026</t>
        </is>
      </c>
      <c r="E1694" s="2" t="inlineStr">
        <is>
          <t>Dinheiro</t>
        </is>
      </c>
      <c r="F1694" s="2" t="inlineStr">
        <is>
          <t>Boleto "62620" do cliente "JOSE MARIA DOS SANTOS"</t>
        </is>
      </c>
      <c r="G1694" s="2" t="inlineStr">
        <is>
          <t>system</t>
        </is>
      </c>
      <c r="H1694" s="2" t="inlineStr">
        <is>
          <t>01.01.01 : Mensalidade</t>
        </is>
      </c>
      <c r="I1694" s="3" t="n">
        <v>104.9</v>
      </c>
      <c r="J1694" s="2" t="n"/>
      <c r="K1694" s="2">
        <f>IF(H1694="02.09 : Outras Saídas", IF(OR(ISNUMBER(SEARCH("CHEQUE COMPE SICREDI", F1694)), ISNUMBER(SEARCH("aniversario", F1694)), ISNUMBER(SEARCH("churrasco", F1694)), ISNUMBER(SEARCH("bolo", F1694)), ISNUMBER(SEARCH("SUPERMERCADO", F1694))), "6.1 Despesas Administrativas (Pessoal)", IF(OR(ISNUMBER(SEARCH("DLKNET", F1694)), ISNUMBER(SEARCH("TESTE", F1694))), "6.1 Despesas Administrativas (Gerais)", IFERROR(VLOOKUP(H1694, De_Para!A:B, 2, FALSE), "NÃO MAPEADO"))), IFERROR(VLOOKUP(H1694, De_Para!A:B, 2, FALSE), "NÃO MAPEADO"))</f>
        <v/>
      </c>
    </row>
    <row r="1695">
      <c r="A1695" s="2" t="inlineStr">
        <is>
          <t>67991</t>
        </is>
      </c>
      <c r="B1695" s="2" t="inlineStr">
        <is>
          <t>Sicoob</t>
        </is>
      </c>
      <c r="C1695" s="2" t="inlineStr">
        <is>
          <t>08/06/2026</t>
        </is>
      </c>
      <c r="D1695" s="2" t="inlineStr">
        <is>
          <t>08/06/2026</t>
        </is>
      </c>
      <c r="E1695" s="2" t="inlineStr">
        <is>
          <t>Dinheiro</t>
        </is>
      </c>
      <c r="F1695" s="2" t="inlineStr">
        <is>
          <t>Boleto "69213" do cliente "IRENE RODRIGUES SILVERIO"</t>
        </is>
      </c>
      <c r="G1695" s="2" t="inlineStr">
        <is>
          <t>system</t>
        </is>
      </c>
      <c r="H1695" s="2" t="inlineStr">
        <is>
          <t>02.03.02.01 : Cobrança Bancaria</t>
        </is>
      </c>
      <c r="I1695" s="2" t="n"/>
      <c r="J1695" s="3" t="n">
        <v>-0.88</v>
      </c>
      <c r="K1695" s="2">
        <f>IF(H1695="02.09 : Outras Saídas", IF(OR(ISNUMBER(SEARCH("CHEQUE COMPE SICREDI", F1695)), ISNUMBER(SEARCH("aniversario", F1695)), ISNUMBER(SEARCH("churrasco", F1695)), ISNUMBER(SEARCH("bolo", F1695)), ISNUMBER(SEARCH("SUPERMERCADO", F1695))), "6.1 Despesas Administrativas (Pessoal)", IF(OR(ISNUMBER(SEARCH("DLKNET", F1695)), ISNUMBER(SEARCH("TESTE", F1695))), "6.1 Despesas Administrativas (Gerais)", IFERROR(VLOOKUP(H1695, De_Para!A:B, 2, FALSE), "NÃO MAPEADO"))), IFERROR(VLOOKUP(H1695, De_Para!A:B, 2, FALSE), "NÃO MAPEADO"))</f>
        <v/>
      </c>
    </row>
    <row r="1696">
      <c r="A1696" s="2" t="inlineStr">
        <is>
          <t>67990</t>
        </is>
      </c>
      <c r="B1696" s="2" t="inlineStr">
        <is>
          <t>Sicoob</t>
        </is>
      </c>
      <c r="C1696" s="2" t="inlineStr">
        <is>
          <t>08/06/2026</t>
        </is>
      </c>
      <c r="D1696" s="2" t="inlineStr">
        <is>
          <t>08/06/2026</t>
        </is>
      </c>
      <c r="E1696" s="2" t="inlineStr">
        <is>
          <t>Dinheiro</t>
        </is>
      </c>
      <c r="F1696" s="2" t="inlineStr">
        <is>
          <t>Boleto "69213" do cliente "IRENE RODRIGUES SILVERIO"</t>
        </is>
      </c>
      <c r="G1696" s="2" t="inlineStr">
        <is>
          <t>system</t>
        </is>
      </c>
      <c r="H1696" s="2" t="inlineStr">
        <is>
          <t>01.01.01 : Mensalidade</t>
        </is>
      </c>
      <c r="I1696" s="3" t="n">
        <v>83.33</v>
      </c>
      <c r="J1696" s="2" t="n"/>
      <c r="K1696" s="2">
        <f>IF(H1696="02.09 : Outras Saídas", IF(OR(ISNUMBER(SEARCH("CHEQUE COMPE SICREDI", F1696)), ISNUMBER(SEARCH("aniversario", F1696)), ISNUMBER(SEARCH("churrasco", F1696)), ISNUMBER(SEARCH("bolo", F1696)), ISNUMBER(SEARCH("SUPERMERCADO", F1696))), "6.1 Despesas Administrativas (Pessoal)", IF(OR(ISNUMBER(SEARCH("DLKNET", F1696)), ISNUMBER(SEARCH("TESTE", F1696))), "6.1 Despesas Administrativas (Gerais)", IFERROR(VLOOKUP(H1696, De_Para!A:B, 2, FALSE), "NÃO MAPEADO"))), IFERROR(VLOOKUP(H1696, De_Para!A:B, 2, FALSE), "NÃO MAPEADO"))</f>
        <v/>
      </c>
    </row>
    <row r="1697">
      <c r="A1697" s="2" t="inlineStr">
        <is>
          <t>67989</t>
        </is>
      </c>
      <c r="B1697" s="2" t="inlineStr">
        <is>
          <t>Sicoob</t>
        </is>
      </c>
      <c r="C1697" s="2" t="inlineStr">
        <is>
          <t>08/06/2026</t>
        </is>
      </c>
      <c r="D1697" s="2" t="inlineStr">
        <is>
          <t>08/06/2026</t>
        </is>
      </c>
      <c r="E1697" s="2" t="inlineStr">
        <is>
          <t>Dinheiro</t>
        </is>
      </c>
      <c r="F1697" s="2" t="inlineStr">
        <is>
          <t>Boleto "58640" do cliente "LUCAS FUSTINONI"</t>
        </is>
      </c>
      <c r="G1697" s="2" t="inlineStr">
        <is>
          <t>system</t>
        </is>
      </c>
      <c r="H1697" s="2" t="inlineStr">
        <is>
          <t>02.03.02.01 : Cobrança Bancaria</t>
        </is>
      </c>
      <c r="I1697" s="2" t="n"/>
      <c r="J1697" s="3" t="n">
        <v>-0.88</v>
      </c>
      <c r="K1697" s="2">
        <f>IF(H1697="02.09 : Outras Saídas", IF(OR(ISNUMBER(SEARCH("CHEQUE COMPE SICREDI", F1697)), ISNUMBER(SEARCH("aniversario", F1697)), ISNUMBER(SEARCH("churrasco", F1697)), ISNUMBER(SEARCH("bolo", F1697)), ISNUMBER(SEARCH("SUPERMERCADO", F1697))), "6.1 Despesas Administrativas (Pessoal)", IF(OR(ISNUMBER(SEARCH("DLKNET", F1697)), ISNUMBER(SEARCH("TESTE", F1697))), "6.1 Despesas Administrativas (Gerais)", IFERROR(VLOOKUP(H1697, De_Para!A:B, 2, FALSE), "NÃO MAPEADO"))), IFERROR(VLOOKUP(H1697, De_Para!A:B, 2, FALSE), "NÃO MAPEADO"))</f>
        <v/>
      </c>
    </row>
    <row r="1698">
      <c r="A1698" s="2" t="inlineStr">
        <is>
          <t>67988</t>
        </is>
      </c>
      <c r="B1698" s="2" t="inlineStr">
        <is>
          <t>Sicoob</t>
        </is>
      </c>
      <c r="C1698" s="2" t="inlineStr">
        <is>
          <t>08/06/2026</t>
        </is>
      </c>
      <c r="D1698" s="2" t="inlineStr">
        <is>
          <t>08/06/2026</t>
        </is>
      </c>
      <c r="E1698" s="2" t="inlineStr">
        <is>
          <t>Dinheiro</t>
        </is>
      </c>
      <c r="F1698" s="2" t="inlineStr">
        <is>
          <t>Boleto "58640" do cliente "LUCAS FUSTINONI"</t>
        </is>
      </c>
      <c r="G1698" s="2" t="inlineStr">
        <is>
          <t>system</t>
        </is>
      </c>
      <c r="H1698" s="2" t="inlineStr">
        <is>
          <t>01.01.01 : Mensalidade</t>
        </is>
      </c>
      <c r="I1698" s="3" t="n">
        <v>105</v>
      </c>
      <c r="J1698" s="2" t="n"/>
      <c r="K1698" s="2">
        <f>IF(H1698="02.09 : Outras Saídas", IF(OR(ISNUMBER(SEARCH("CHEQUE COMPE SICREDI", F1698)), ISNUMBER(SEARCH("aniversario", F1698)), ISNUMBER(SEARCH("churrasco", F1698)), ISNUMBER(SEARCH("bolo", F1698)), ISNUMBER(SEARCH("SUPERMERCADO", F1698))), "6.1 Despesas Administrativas (Pessoal)", IF(OR(ISNUMBER(SEARCH("DLKNET", F1698)), ISNUMBER(SEARCH("TESTE", F1698))), "6.1 Despesas Administrativas (Gerais)", IFERROR(VLOOKUP(H1698, De_Para!A:B, 2, FALSE), "NÃO MAPEADO"))), IFERROR(VLOOKUP(H1698, De_Para!A:B, 2, FALSE), "NÃO MAPEADO"))</f>
        <v/>
      </c>
    </row>
    <row r="1699">
      <c r="A1699" s="2" t="inlineStr">
        <is>
          <t>67987</t>
        </is>
      </c>
      <c r="B1699" s="2" t="inlineStr">
        <is>
          <t>Sicoob</t>
        </is>
      </c>
      <c r="C1699" s="2" t="inlineStr">
        <is>
          <t>08/06/2026</t>
        </is>
      </c>
      <c r="D1699" s="2" t="inlineStr">
        <is>
          <t>08/06/2026</t>
        </is>
      </c>
      <c r="E1699" s="2" t="inlineStr">
        <is>
          <t>Dinheiro</t>
        </is>
      </c>
      <c r="F1699" s="2" t="inlineStr">
        <is>
          <t>Boleto "58332" do cliente "DELCINO NABOR DA SILVA"</t>
        </is>
      </c>
      <c r="G1699" s="2" t="inlineStr">
        <is>
          <t>system</t>
        </is>
      </c>
      <c r="H1699" s="2" t="inlineStr">
        <is>
          <t>02.03.02.01 : Cobrança Bancaria</t>
        </is>
      </c>
      <c r="I1699" s="2" t="n"/>
      <c r="J1699" s="3" t="n">
        <v>-0.88</v>
      </c>
      <c r="K1699" s="2">
        <f>IF(H1699="02.09 : Outras Saídas", IF(OR(ISNUMBER(SEARCH("CHEQUE COMPE SICREDI", F1699)), ISNUMBER(SEARCH("aniversario", F1699)), ISNUMBER(SEARCH("churrasco", F1699)), ISNUMBER(SEARCH("bolo", F1699)), ISNUMBER(SEARCH("SUPERMERCADO", F1699))), "6.1 Despesas Administrativas (Pessoal)", IF(OR(ISNUMBER(SEARCH("DLKNET", F1699)), ISNUMBER(SEARCH("TESTE", F1699))), "6.1 Despesas Administrativas (Gerais)", IFERROR(VLOOKUP(H1699, De_Para!A:B, 2, FALSE), "NÃO MAPEADO"))), IFERROR(VLOOKUP(H1699, De_Para!A:B, 2, FALSE), "NÃO MAPEADO"))</f>
        <v/>
      </c>
    </row>
    <row r="1700">
      <c r="A1700" s="2" t="inlineStr">
        <is>
          <t>67986</t>
        </is>
      </c>
      <c r="B1700" s="2" t="inlineStr">
        <is>
          <t>Sicoob</t>
        </is>
      </c>
      <c r="C1700" s="2" t="inlineStr">
        <is>
          <t>08/06/2026</t>
        </is>
      </c>
      <c r="D1700" s="2" t="inlineStr">
        <is>
          <t>08/06/2026</t>
        </is>
      </c>
      <c r="E1700" s="2" t="inlineStr">
        <is>
          <t>Dinheiro</t>
        </is>
      </c>
      <c r="F1700" s="2" t="inlineStr">
        <is>
          <t>Boleto "58332" do cliente "DELCINO NABOR DA SILVA"</t>
        </is>
      </c>
      <c r="G1700" s="2" t="inlineStr">
        <is>
          <t>system</t>
        </is>
      </c>
      <c r="H1700" s="2" t="inlineStr">
        <is>
          <t>01.03.01 : Mensalidade</t>
        </is>
      </c>
      <c r="I1700" s="3" t="n">
        <v>105</v>
      </c>
      <c r="J1700" s="2" t="n"/>
      <c r="K1700" s="2">
        <f>IF(H1700="02.09 : Outras Saídas", IF(OR(ISNUMBER(SEARCH("CHEQUE COMPE SICREDI", F1700)), ISNUMBER(SEARCH("aniversario", F1700)), ISNUMBER(SEARCH("churrasco", F1700)), ISNUMBER(SEARCH("bolo", F1700)), ISNUMBER(SEARCH("SUPERMERCADO", F1700))), "6.1 Despesas Administrativas (Pessoal)", IF(OR(ISNUMBER(SEARCH("DLKNET", F1700)), ISNUMBER(SEARCH("TESTE", F1700))), "6.1 Despesas Administrativas (Gerais)", IFERROR(VLOOKUP(H1700, De_Para!A:B, 2, FALSE), "NÃO MAPEADO"))), IFERROR(VLOOKUP(H1700, De_Para!A:B, 2, FALSE), "NÃO MAPEADO"))</f>
        <v/>
      </c>
    </row>
    <row r="1701">
      <c r="A1701" s="2" t="inlineStr">
        <is>
          <t>67985</t>
        </is>
      </c>
      <c r="B1701" s="2" t="inlineStr">
        <is>
          <t>Sicoob</t>
        </is>
      </c>
      <c r="C1701" s="2" t="inlineStr">
        <is>
          <t>08/06/2026</t>
        </is>
      </c>
      <c r="D1701" s="2" t="inlineStr">
        <is>
          <t>08/06/2026</t>
        </is>
      </c>
      <c r="E1701" s="2" t="inlineStr">
        <is>
          <t>Dinheiro</t>
        </is>
      </c>
      <c r="F1701" s="2" t="inlineStr">
        <is>
          <t>Boleto "57436" do cliente "INES PEREIRA GUILMO"</t>
        </is>
      </c>
      <c r="G1701" s="2" t="inlineStr">
        <is>
          <t>system</t>
        </is>
      </c>
      <c r="H1701" s="2" t="inlineStr">
        <is>
          <t>02.03.02.01 : Cobrança Bancaria</t>
        </is>
      </c>
      <c r="I1701" s="2" t="n"/>
      <c r="J1701" s="3" t="n">
        <v>-0.88</v>
      </c>
      <c r="K1701" s="2">
        <f>IF(H1701="02.09 : Outras Saídas", IF(OR(ISNUMBER(SEARCH("CHEQUE COMPE SICREDI", F1701)), ISNUMBER(SEARCH("aniversario", F1701)), ISNUMBER(SEARCH("churrasco", F1701)), ISNUMBER(SEARCH("bolo", F1701)), ISNUMBER(SEARCH("SUPERMERCADO", F1701))), "6.1 Despesas Administrativas (Pessoal)", IF(OR(ISNUMBER(SEARCH("DLKNET", F1701)), ISNUMBER(SEARCH("TESTE", F1701))), "6.1 Despesas Administrativas (Gerais)", IFERROR(VLOOKUP(H1701, De_Para!A:B, 2, FALSE), "NÃO MAPEADO"))), IFERROR(VLOOKUP(H1701, De_Para!A:B, 2, FALSE), "NÃO MAPEADO"))</f>
        <v/>
      </c>
    </row>
    <row r="1702">
      <c r="A1702" s="2" t="inlineStr">
        <is>
          <t>67984</t>
        </is>
      </c>
      <c r="B1702" s="2" t="inlineStr">
        <is>
          <t>Sicoob</t>
        </is>
      </c>
      <c r="C1702" s="2" t="inlineStr">
        <is>
          <t>08/06/2026</t>
        </is>
      </c>
      <c r="D1702" s="2" t="inlineStr">
        <is>
          <t>08/06/2026</t>
        </is>
      </c>
      <c r="E1702" s="2" t="inlineStr">
        <is>
          <t>Dinheiro</t>
        </is>
      </c>
      <c r="F1702" s="2" t="inlineStr">
        <is>
          <t>Boleto "57436" do cliente "INES PEREIRA GUILMO"</t>
        </is>
      </c>
      <c r="G1702" s="2" t="inlineStr">
        <is>
          <t>system</t>
        </is>
      </c>
      <c r="H1702" s="2" t="inlineStr">
        <is>
          <t>01.01.01 : Mensalidade</t>
        </is>
      </c>
      <c r="I1702" s="3" t="n">
        <v>105</v>
      </c>
      <c r="J1702" s="2" t="n"/>
      <c r="K1702" s="2">
        <f>IF(H1702="02.09 : Outras Saídas", IF(OR(ISNUMBER(SEARCH("CHEQUE COMPE SICREDI", F1702)), ISNUMBER(SEARCH("aniversario", F1702)), ISNUMBER(SEARCH("churrasco", F1702)), ISNUMBER(SEARCH("bolo", F1702)), ISNUMBER(SEARCH("SUPERMERCADO", F1702))), "6.1 Despesas Administrativas (Pessoal)", IF(OR(ISNUMBER(SEARCH("DLKNET", F1702)), ISNUMBER(SEARCH("TESTE", F1702))), "6.1 Despesas Administrativas (Gerais)", IFERROR(VLOOKUP(H1702, De_Para!A:B, 2, FALSE), "NÃO MAPEADO"))), IFERROR(VLOOKUP(H1702, De_Para!A:B, 2, FALSE), "NÃO MAPEADO"))</f>
        <v/>
      </c>
    </row>
    <row r="1703">
      <c r="A1703" s="2" t="inlineStr">
        <is>
          <t>67983</t>
        </is>
      </c>
      <c r="B1703" s="2" t="inlineStr">
        <is>
          <t>Sicoob</t>
        </is>
      </c>
      <c r="C1703" s="2" t="inlineStr">
        <is>
          <t>08/06/2026</t>
        </is>
      </c>
      <c r="D1703" s="2" t="inlineStr">
        <is>
          <t>08/06/2026</t>
        </is>
      </c>
      <c r="E1703" s="2" t="inlineStr">
        <is>
          <t>Dinheiro</t>
        </is>
      </c>
      <c r="F1703" s="2" t="inlineStr">
        <is>
          <t>Boleto "56179" do cliente "VALDETE DE OLINDA DA CUNHA"</t>
        </is>
      </c>
      <c r="G1703" s="2" t="inlineStr">
        <is>
          <t>system</t>
        </is>
      </c>
      <c r="H1703" s="2" t="inlineStr">
        <is>
          <t>02.03.02.01 : Cobrança Bancaria</t>
        </is>
      </c>
      <c r="I1703" s="2" t="n"/>
      <c r="J1703" s="3" t="n">
        <v>-0.88</v>
      </c>
      <c r="K1703" s="2">
        <f>IF(H1703="02.09 : Outras Saídas", IF(OR(ISNUMBER(SEARCH("CHEQUE COMPE SICREDI", F1703)), ISNUMBER(SEARCH("aniversario", F1703)), ISNUMBER(SEARCH("churrasco", F1703)), ISNUMBER(SEARCH("bolo", F1703)), ISNUMBER(SEARCH("SUPERMERCADO", F1703))), "6.1 Despesas Administrativas (Pessoal)", IF(OR(ISNUMBER(SEARCH("DLKNET", F1703)), ISNUMBER(SEARCH("TESTE", F1703))), "6.1 Despesas Administrativas (Gerais)", IFERROR(VLOOKUP(H1703, De_Para!A:B, 2, FALSE), "NÃO MAPEADO"))), IFERROR(VLOOKUP(H1703, De_Para!A:B, 2, FALSE), "NÃO MAPEADO"))</f>
        <v/>
      </c>
    </row>
    <row r="1704">
      <c r="A1704" s="2" t="inlineStr">
        <is>
          <t>67982</t>
        </is>
      </c>
      <c r="B1704" s="2" t="inlineStr">
        <is>
          <t>Sicoob</t>
        </is>
      </c>
      <c r="C1704" s="2" t="inlineStr">
        <is>
          <t>08/06/2026</t>
        </is>
      </c>
      <c r="D1704" s="2" t="inlineStr">
        <is>
          <t>08/06/2026</t>
        </is>
      </c>
      <c r="E1704" s="2" t="inlineStr">
        <is>
          <t>Dinheiro</t>
        </is>
      </c>
      <c r="F1704" s="2" t="inlineStr">
        <is>
          <t>Boleto "56179" do cliente "VALDETE DE OLINDA DA CUNHA"</t>
        </is>
      </c>
      <c r="G1704" s="2" t="inlineStr">
        <is>
          <t>system</t>
        </is>
      </c>
      <c r="H1704" s="2" t="inlineStr">
        <is>
          <t>01.01.01 : Mensalidade</t>
        </is>
      </c>
      <c r="I1704" s="3" t="n">
        <v>100</v>
      </c>
      <c r="J1704" s="2" t="n"/>
      <c r="K1704" s="2">
        <f>IF(H1704="02.09 : Outras Saídas", IF(OR(ISNUMBER(SEARCH("CHEQUE COMPE SICREDI", F1704)), ISNUMBER(SEARCH("aniversario", F1704)), ISNUMBER(SEARCH("churrasco", F1704)), ISNUMBER(SEARCH("bolo", F1704)), ISNUMBER(SEARCH("SUPERMERCADO", F1704))), "6.1 Despesas Administrativas (Pessoal)", IF(OR(ISNUMBER(SEARCH("DLKNET", F1704)), ISNUMBER(SEARCH("TESTE", F1704))), "6.1 Despesas Administrativas (Gerais)", IFERROR(VLOOKUP(H1704, De_Para!A:B, 2, FALSE), "NÃO MAPEADO"))), IFERROR(VLOOKUP(H1704, De_Para!A:B, 2, FALSE), "NÃO MAPEADO"))</f>
        <v/>
      </c>
    </row>
    <row r="1705">
      <c r="A1705" s="2" t="inlineStr">
        <is>
          <t>67981</t>
        </is>
      </c>
      <c r="B1705" s="2" t="inlineStr">
        <is>
          <t>Sicoob</t>
        </is>
      </c>
      <c r="C1705" s="2" t="inlineStr">
        <is>
          <t>08/06/2026</t>
        </is>
      </c>
      <c r="D1705" s="2" t="inlineStr">
        <is>
          <t>08/06/2026</t>
        </is>
      </c>
      <c r="E1705" s="2" t="inlineStr">
        <is>
          <t>Dinheiro</t>
        </is>
      </c>
      <c r="F1705" s="2" t="inlineStr">
        <is>
          <t>Boleto "68758" do cliente "JOSE RODRIGUES DA SILVA"</t>
        </is>
      </c>
      <c r="G1705" s="2" t="inlineStr">
        <is>
          <t>system</t>
        </is>
      </c>
      <c r="H1705" s="2" t="inlineStr">
        <is>
          <t>02.03.02.01 : Cobrança Bancaria</t>
        </is>
      </c>
      <c r="I1705" s="2" t="n"/>
      <c r="J1705" s="3" t="n">
        <v>-0.88</v>
      </c>
      <c r="K1705" s="2">
        <f>IF(H1705="02.09 : Outras Saídas", IF(OR(ISNUMBER(SEARCH("CHEQUE COMPE SICREDI", F1705)), ISNUMBER(SEARCH("aniversario", F1705)), ISNUMBER(SEARCH("churrasco", F1705)), ISNUMBER(SEARCH("bolo", F1705)), ISNUMBER(SEARCH("SUPERMERCADO", F1705))), "6.1 Despesas Administrativas (Pessoal)", IF(OR(ISNUMBER(SEARCH("DLKNET", F1705)), ISNUMBER(SEARCH("TESTE", F1705))), "6.1 Despesas Administrativas (Gerais)", IFERROR(VLOOKUP(H1705, De_Para!A:B, 2, FALSE), "NÃO MAPEADO"))), IFERROR(VLOOKUP(H1705, De_Para!A:B, 2, FALSE), "NÃO MAPEADO"))</f>
        <v/>
      </c>
    </row>
    <row r="1706">
      <c r="A1706" s="2" t="inlineStr">
        <is>
          <t>67980</t>
        </is>
      </c>
      <c r="B1706" s="2" t="inlineStr">
        <is>
          <t>Sicoob</t>
        </is>
      </c>
      <c r="C1706" s="2" t="inlineStr">
        <is>
          <t>08/06/2026</t>
        </is>
      </c>
      <c r="D1706" s="2" t="inlineStr">
        <is>
          <t>08/06/2026</t>
        </is>
      </c>
      <c r="E1706" s="2" t="inlineStr">
        <is>
          <t>Dinheiro</t>
        </is>
      </c>
      <c r="F1706" s="2" t="inlineStr">
        <is>
          <t>Boleto "68758" do cliente "JOSE RODRIGUES DA SILVA"</t>
        </is>
      </c>
      <c r="G1706" s="2" t="inlineStr">
        <is>
          <t>system</t>
        </is>
      </c>
      <c r="H1706" s="2" t="inlineStr">
        <is>
          <t>01.03.01 : Mensalidade</t>
        </is>
      </c>
      <c r="I1706" s="3" t="n">
        <v>107.16</v>
      </c>
      <c r="J1706" s="2" t="n"/>
      <c r="K1706" s="2">
        <f>IF(H1706="02.09 : Outras Saídas", IF(OR(ISNUMBER(SEARCH("CHEQUE COMPE SICREDI", F1706)), ISNUMBER(SEARCH("aniversario", F1706)), ISNUMBER(SEARCH("churrasco", F1706)), ISNUMBER(SEARCH("bolo", F1706)), ISNUMBER(SEARCH("SUPERMERCADO", F1706))), "6.1 Despesas Administrativas (Pessoal)", IF(OR(ISNUMBER(SEARCH("DLKNET", F1706)), ISNUMBER(SEARCH("TESTE", F1706))), "6.1 Despesas Administrativas (Gerais)", IFERROR(VLOOKUP(H1706, De_Para!A:B, 2, FALSE), "NÃO MAPEADO"))), IFERROR(VLOOKUP(H1706, De_Para!A:B, 2, FALSE), "NÃO MAPEADO"))</f>
        <v/>
      </c>
    </row>
    <row r="1707">
      <c r="A1707" s="2" t="inlineStr">
        <is>
          <t>67979</t>
        </is>
      </c>
      <c r="B1707" s="2" t="inlineStr">
        <is>
          <t>Sicoob</t>
        </is>
      </c>
      <c r="C1707" s="2" t="inlineStr">
        <is>
          <t>08/06/2026</t>
        </is>
      </c>
      <c r="D1707" s="2" t="inlineStr">
        <is>
          <t>08/06/2026</t>
        </is>
      </c>
      <c r="E1707" s="2" t="inlineStr">
        <is>
          <t>Dinheiro</t>
        </is>
      </c>
      <c r="F1707" s="2" t="inlineStr">
        <is>
          <t>Boleto "67445" do cliente "ELIANA MESSIAS SANTOS"</t>
        </is>
      </c>
      <c r="G1707" s="2" t="inlineStr">
        <is>
          <t>system</t>
        </is>
      </c>
      <c r="H1707" s="2" t="inlineStr">
        <is>
          <t>02.03.02.01 : Cobrança Bancaria</t>
        </is>
      </c>
      <c r="I1707" s="2" t="n"/>
      <c r="J1707" s="3" t="n">
        <v>-0.88</v>
      </c>
      <c r="K1707" s="2">
        <f>IF(H1707="02.09 : Outras Saídas", IF(OR(ISNUMBER(SEARCH("CHEQUE COMPE SICREDI", F1707)), ISNUMBER(SEARCH("aniversario", F1707)), ISNUMBER(SEARCH("churrasco", F1707)), ISNUMBER(SEARCH("bolo", F1707)), ISNUMBER(SEARCH("SUPERMERCADO", F1707))), "6.1 Despesas Administrativas (Pessoal)", IF(OR(ISNUMBER(SEARCH("DLKNET", F1707)), ISNUMBER(SEARCH("TESTE", F1707))), "6.1 Despesas Administrativas (Gerais)", IFERROR(VLOOKUP(H1707, De_Para!A:B, 2, FALSE), "NÃO MAPEADO"))), IFERROR(VLOOKUP(H1707, De_Para!A:B, 2, FALSE), "NÃO MAPEADO"))</f>
        <v/>
      </c>
    </row>
    <row r="1708">
      <c r="A1708" s="2" t="inlineStr">
        <is>
          <t>67978</t>
        </is>
      </c>
      <c r="B1708" s="2" t="inlineStr">
        <is>
          <t>Sicoob</t>
        </is>
      </c>
      <c r="C1708" s="2" t="inlineStr">
        <is>
          <t>08/06/2026</t>
        </is>
      </c>
      <c r="D1708" s="2" t="inlineStr">
        <is>
          <t>08/06/2026</t>
        </is>
      </c>
      <c r="E1708" s="2" t="inlineStr">
        <is>
          <t>Dinheiro</t>
        </is>
      </c>
      <c r="F1708" s="2" t="inlineStr">
        <is>
          <t>Boleto "67445" do cliente "ELIANA MESSIAS SANTOS"</t>
        </is>
      </c>
      <c r="G1708" s="2" t="inlineStr">
        <is>
          <t>system</t>
        </is>
      </c>
      <c r="H1708" s="2" t="inlineStr">
        <is>
          <t>01.01.01 : Mensalidade</t>
        </is>
      </c>
      <c r="I1708" s="3" t="n">
        <v>109.9</v>
      </c>
      <c r="J1708" s="2" t="n"/>
      <c r="K1708" s="2">
        <f>IF(H1708="02.09 : Outras Saídas", IF(OR(ISNUMBER(SEARCH("CHEQUE COMPE SICREDI", F1708)), ISNUMBER(SEARCH("aniversario", F1708)), ISNUMBER(SEARCH("churrasco", F1708)), ISNUMBER(SEARCH("bolo", F1708)), ISNUMBER(SEARCH("SUPERMERCADO", F1708))), "6.1 Despesas Administrativas (Pessoal)", IF(OR(ISNUMBER(SEARCH("DLKNET", F1708)), ISNUMBER(SEARCH("TESTE", F1708))), "6.1 Despesas Administrativas (Gerais)", IFERROR(VLOOKUP(H1708, De_Para!A:B, 2, FALSE), "NÃO MAPEADO"))), IFERROR(VLOOKUP(H1708, De_Para!A:B, 2, FALSE), "NÃO MAPEADO"))</f>
        <v/>
      </c>
    </row>
    <row r="1709">
      <c r="A1709" s="2" t="inlineStr">
        <is>
          <t>67977</t>
        </is>
      </c>
      <c r="B1709" s="2" t="inlineStr">
        <is>
          <t>Sicoob</t>
        </is>
      </c>
      <c r="C1709" s="2" t="inlineStr">
        <is>
          <t>08/06/2026</t>
        </is>
      </c>
      <c r="D1709" s="2" t="inlineStr">
        <is>
          <t>08/06/2026</t>
        </is>
      </c>
      <c r="E1709" s="2" t="inlineStr">
        <is>
          <t>Dinheiro</t>
        </is>
      </c>
      <c r="F1709" s="2" t="inlineStr">
        <is>
          <t>Boleto "66983" do cliente "MARIA NAIR PEREIRA DA SILVA"</t>
        </is>
      </c>
      <c r="G1709" s="2" t="inlineStr">
        <is>
          <t>system</t>
        </is>
      </c>
      <c r="H1709" s="2" t="inlineStr">
        <is>
          <t>02.03.02.01 : Cobrança Bancaria</t>
        </is>
      </c>
      <c r="I1709" s="2" t="n"/>
      <c r="J1709" s="3" t="n">
        <v>-0.88</v>
      </c>
      <c r="K1709" s="2">
        <f>IF(H1709="02.09 : Outras Saídas", IF(OR(ISNUMBER(SEARCH("CHEQUE COMPE SICREDI", F1709)), ISNUMBER(SEARCH("aniversario", F1709)), ISNUMBER(SEARCH("churrasco", F1709)), ISNUMBER(SEARCH("bolo", F1709)), ISNUMBER(SEARCH("SUPERMERCADO", F1709))), "6.1 Despesas Administrativas (Pessoal)", IF(OR(ISNUMBER(SEARCH("DLKNET", F1709)), ISNUMBER(SEARCH("TESTE", F1709))), "6.1 Despesas Administrativas (Gerais)", IFERROR(VLOOKUP(H1709, De_Para!A:B, 2, FALSE), "NÃO MAPEADO"))), IFERROR(VLOOKUP(H1709, De_Para!A:B, 2, FALSE), "NÃO MAPEADO"))</f>
        <v/>
      </c>
    </row>
    <row r="1710">
      <c r="A1710" s="2" t="inlineStr">
        <is>
          <t>67976</t>
        </is>
      </c>
      <c r="B1710" s="2" t="inlineStr">
        <is>
          <t>Sicoob</t>
        </is>
      </c>
      <c r="C1710" s="2" t="inlineStr">
        <is>
          <t>08/06/2026</t>
        </is>
      </c>
      <c r="D1710" s="2" t="inlineStr">
        <is>
          <t>08/06/2026</t>
        </is>
      </c>
      <c r="E1710" s="2" t="inlineStr">
        <is>
          <t>Dinheiro</t>
        </is>
      </c>
      <c r="F1710" s="2" t="inlineStr">
        <is>
          <t>Boleto "66983" do cliente "MARIA NAIR PEREIRA DA SILVA"</t>
        </is>
      </c>
      <c r="G1710" s="2" t="inlineStr">
        <is>
          <t>system</t>
        </is>
      </c>
      <c r="H1710" s="2" t="inlineStr">
        <is>
          <t>01.03.01 : Mensalidade</t>
        </is>
      </c>
      <c r="I1710" s="3" t="n">
        <v>105</v>
      </c>
      <c r="J1710" s="2" t="n"/>
      <c r="K1710" s="2">
        <f>IF(H1710="02.09 : Outras Saídas", IF(OR(ISNUMBER(SEARCH("CHEQUE COMPE SICREDI", F1710)), ISNUMBER(SEARCH("aniversario", F1710)), ISNUMBER(SEARCH("churrasco", F1710)), ISNUMBER(SEARCH("bolo", F1710)), ISNUMBER(SEARCH("SUPERMERCADO", F1710))), "6.1 Despesas Administrativas (Pessoal)", IF(OR(ISNUMBER(SEARCH("DLKNET", F1710)), ISNUMBER(SEARCH("TESTE", F1710))), "6.1 Despesas Administrativas (Gerais)", IFERROR(VLOOKUP(H1710, De_Para!A:B, 2, FALSE), "NÃO MAPEADO"))), IFERROR(VLOOKUP(H1710, De_Para!A:B, 2, FALSE), "NÃO MAPEADO"))</f>
        <v/>
      </c>
    </row>
    <row r="1711">
      <c r="A1711" s="2" t="inlineStr">
        <is>
          <t>67975</t>
        </is>
      </c>
      <c r="B1711" s="2" t="inlineStr">
        <is>
          <t>Sicoob</t>
        </is>
      </c>
      <c r="C1711" s="2" t="inlineStr">
        <is>
          <t>08/06/2026</t>
        </is>
      </c>
      <c r="D1711" s="2" t="inlineStr">
        <is>
          <t>08/06/2026</t>
        </is>
      </c>
      <c r="E1711" s="2" t="inlineStr">
        <is>
          <t>Dinheiro</t>
        </is>
      </c>
      <c r="F1711" s="2" t="inlineStr">
        <is>
          <t>Boleto "66733" do cliente "ZILDA BARBOSA DOS SANTOS GONÇALVES"</t>
        </is>
      </c>
      <c r="G1711" s="2" t="inlineStr">
        <is>
          <t>system</t>
        </is>
      </c>
      <c r="H1711" s="2" t="inlineStr">
        <is>
          <t>02.03.02.01 : Cobrança Bancaria</t>
        </is>
      </c>
      <c r="I1711" s="2" t="n"/>
      <c r="J1711" s="3" t="n">
        <v>-0.88</v>
      </c>
      <c r="K1711" s="2">
        <f>IF(H1711="02.09 : Outras Saídas", IF(OR(ISNUMBER(SEARCH("CHEQUE COMPE SICREDI", F1711)), ISNUMBER(SEARCH("aniversario", F1711)), ISNUMBER(SEARCH("churrasco", F1711)), ISNUMBER(SEARCH("bolo", F1711)), ISNUMBER(SEARCH("SUPERMERCADO", F1711))), "6.1 Despesas Administrativas (Pessoal)", IF(OR(ISNUMBER(SEARCH("DLKNET", F1711)), ISNUMBER(SEARCH("TESTE", F1711))), "6.1 Despesas Administrativas (Gerais)", IFERROR(VLOOKUP(H1711, De_Para!A:B, 2, FALSE), "NÃO MAPEADO"))), IFERROR(VLOOKUP(H1711, De_Para!A:B, 2, FALSE), "NÃO MAPEADO"))</f>
        <v/>
      </c>
    </row>
    <row r="1712">
      <c r="A1712" s="2" t="inlineStr">
        <is>
          <t>67974</t>
        </is>
      </c>
      <c r="B1712" s="2" t="inlineStr">
        <is>
          <t>Sicoob</t>
        </is>
      </c>
      <c r="C1712" s="2" t="inlineStr">
        <is>
          <t>08/06/2026</t>
        </is>
      </c>
      <c r="D1712" s="2" t="inlineStr">
        <is>
          <t>08/06/2026</t>
        </is>
      </c>
      <c r="E1712" s="2" t="inlineStr">
        <is>
          <t>Dinheiro</t>
        </is>
      </c>
      <c r="F1712" s="2" t="inlineStr">
        <is>
          <t>Boleto "66733" do cliente "ZILDA BARBOSA DOS SANTOS GONÇALVES"</t>
        </is>
      </c>
      <c r="G1712" s="2" t="inlineStr">
        <is>
          <t>system</t>
        </is>
      </c>
      <c r="H1712" s="2" t="inlineStr">
        <is>
          <t>01.03.01 : Mensalidade</t>
        </is>
      </c>
      <c r="I1712" s="3" t="n">
        <v>107.16</v>
      </c>
      <c r="J1712" s="2" t="n"/>
      <c r="K1712" s="2">
        <f>IF(H1712="02.09 : Outras Saídas", IF(OR(ISNUMBER(SEARCH("CHEQUE COMPE SICREDI", F1712)), ISNUMBER(SEARCH("aniversario", F1712)), ISNUMBER(SEARCH("churrasco", F1712)), ISNUMBER(SEARCH("bolo", F1712)), ISNUMBER(SEARCH("SUPERMERCADO", F1712))), "6.1 Despesas Administrativas (Pessoal)", IF(OR(ISNUMBER(SEARCH("DLKNET", F1712)), ISNUMBER(SEARCH("TESTE", F1712))), "6.1 Despesas Administrativas (Gerais)", IFERROR(VLOOKUP(H1712, De_Para!A:B, 2, FALSE), "NÃO MAPEADO"))), IFERROR(VLOOKUP(H1712, De_Para!A:B, 2, FALSE), "NÃO MAPEADO"))</f>
        <v/>
      </c>
    </row>
    <row r="1713">
      <c r="A1713" s="2" t="inlineStr">
        <is>
          <t>67973</t>
        </is>
      </c>
      <c r="B1713" s="2" t="inlineStr">
        <is>
          <t>Sicoob</t>
        </is>
      </c>
      <c r="C1713" s="2" t="inlineStr">
        <is>
          <t>08/06/2026</t>
        </is>
      </c>
      <c r="D1713" s="2" t="inlineStr">
        <is>
          <t>08/06/2026</t>
        </is>
      </c>
      <c r="E1713" s="2" t="inlineStr">
        <is>
          <t>Dinheiro</t>
        </is>
      </c>
      <c r="F1713" s="2" t="inlineStr">
        <is>
          <t>Boleto "66618" do cliente "JOSEANE CONSULIN SAI"</t>
        </is>
      </c>
      <c r="G1713" s="2" t="inlineStr">
        <is>
          <t>system</t>
        </is>
      </c>
      <c r="H1713" s="2" t="inlineStr">
        <is>
          <t>02.03.02.01 : Cobrança Bancaria</t>
        </is>
      </c>
      <c r="I1713" s="2" t="n"/>
      <c r="J1713" s="3" t="n">
        <v>-0.88</v>
      </c>
      <c r="K1713" s="2">
        <f>IF(H1713="02.09 : Outras Saídas", IF(OR(ISNUMBER(SEARCH("CHEQUE COMPE SICREDI", F1713)), ISNUMBER(SEARCH("aniversario", F1713)), ISNUMBER(SEARCH("churrasco", F1713)), ISNUMBER(SEARCH("bolo", F1713)), ISNUMBER(SEARCH("SUPERMERCADO", F1713))), "6.1 Despesas Administrativas (Pessoal)", IF(OR(ISNUMBER(SEARCH("DLKNET", F1713)), ISNUMBER(SEARCH("TESTE", F1713))), "6.1 Despesas Administrativas (Gerais)", IFERROR(VLOOKUP(H1713, De_Para!A:B, 2, FALSE), "NÃO MAPEADO"))), IFERROR(VLOOKUP(H1713, De_Para!A:B, 2, FALSE), "NÃO MAPEADO"))</f>
        <v/>
      </c>
    </row>
    <row r="1714">
      <c r="A1714" s="2" t="inlineStr">
        <is>
          <t>67972</t>
        </is>
      </c>
      <c r="B1714" s="2" t="inlineStr">
        <is>
          <t>Sicoob</t>
        </is>
      </c>
      <c r="C1714" s="2" t="inlineStr">
        <is>
          <t>08/06/2026</t>
        </is>
      </c>
      <c r="D1714" s="2" t="inlineStr">
        <is>
          <t>08/06/2026</t>
        </is>
      </c>
      <c r="E1714" s="2" t="inlineStr">
        <is>
          <t>Dinheiro</t>
        </is>
      </c>
      <c r="F1714" s="2" t="inlineStr">
        <is>
          <t>Boleto "66618" do cliente "JOSEANE CONSULIN SAI"</t>
        </is>
      </c>
      <c r="G1714" s="2" t="inlineStr">
        <is>
          <t>system</t>
        </is>
      </c>
      <c r="H1714" s="2" t="inlineStr">
        <is>
          <t>01.01.01 : Mensalidade</t>
        </is>
      </c>
      <c r="I1714" s="3" t="n">
        <v>109.9</v>
      </c>
      <c r="J1714" s="2" t="n"/>
      <c r="K1714" s="2">
        <f>IF(H1714="02.09 : Outras Saídas", IF(OR(ISNUMBER(SEARCH("CHEQUE COMPE SICREDI", F1714)), ISNUMBER(SEARCH("aniversario", F1714)), ISNUMBER(SEARCH("churrasco", F1714)), ISNUMBER(SEARCH("bolo", F1714)), ISNUMBER(SEARCH("SUPERMERCADO", F1714))), "6.1 Despesas Administrativas (Pessoal)", IF(OR(ISNUMBER(SEARCH("DLKNET", F1714)), ISNUMBER(SEARCH("TESTE", F1714))), "6.1 Despesas Administrativas (Gerais)", IFERROR(VLOOKUP(H1714, De_Para!A:B, 2, FALSE), "NÃO MAPEADO"))), IFERROR(VLOOKUP(H1714, De_Para!A:B, 2, FALSE), "NÃO MAPEADO"))</f>
        <v/>
      </c>
    </row>
    <row r="1715">
      <c r="A1715" s="2" t="inlineStr">
        <is>
          <t>67971</t>
        </is>
      </c>
      <c r="B1715" s="2" t="inlineStr">
        <is>
          <t>Sicoob</t>
        </is>
      </c>
      <c r="C1715" s="2" t="inlineStr">
        <is>
          <t>08/06/2026</t>
        </is>
      </c>
      <c r="D1715" s="2" t="inlineStr">
        <is>
          <t>08/06/2026</t>
        </is>
      </c>
      <c r="E1715" s="2" t="inlineStr">
        <is>
          <t>Dinheiro</t>
        </is>
      </c>
      <c r="F1715" s="2" t="inlineStr">
        <is>
          <t>Boleto "62619" do cliente "JOSE MARIA DOS SANTOS"</t>
        </is>
      </c>
      <c r="G1715" s="2" t="inlineStr">
        <is>
          <t>system</t>
        </is>
      </c>
      <c r="H1715" s="2" t="inlineStr">
        <is>
          <t>02.03.02.01 : Cobrança Bancaria</t>
        </is>
      </c>
      <c r="I1715" s="2" t="n"/>
      <c r="J1715" s="3" t="n">
        <v>-0.88</v>
      </c>
      <c r="K1715" s="2">
        <f>IF(H1715="02.09 : Outras Saídas", IF(OR(ISNUMBER(SEARCH("CHEQUE COMPE SICREDI", F1715)), ISNUMBER(SEARCH("aniversario", F1715)), ISNUMBER(SEARCH("churrasco", F1715)), ISNUMBER(SEARCH("bolo", F1715)), ISNUMBER(SEARCH("SUPERMERCADO", F1715))), "6.1 Despesas Administrativas (Pessoal)", IF(OR(ISNUMBER(SEARCH("DLKNET", F1715)), ISNUMBER(SEARCH("TESTE", F1715))), "6.1 Despesas Administrativas (Gerais)", IFERROR(VLOOKUP(H1715, De_Para!A:B, 2, FALSE), "NÃO MAPEADO"))), IFERROR(VLOOKUP(H1715, De_Para!A:B, 2, FALSE), "NÃO MAPEADO"))</f>
        <v/>
      </c>
    </row>
    <row r="1716">
      <c r="A1716" s="2" t="inlineStr">
        <is>
          <t>67970</t>
        </is>
      </c>
      <c r="B1716" s="2" t="inlineStr">
        <is>
          <t>Sicoob</t>
        </is>
      </c>
      <c r="C1716" s="2" t="inlineStr">
        <is>
          <t>08/06/2026</t>
        </is>
      </c>
      <c r="D1716" s="2" t="inlineStr">
        <is>
          <t>08/06/2026</t>
        </is>
      </c>
      <c r="E1716" s="2" t="inlineStr">
        <is>
          <t>Dinheiro</t>
        </is>
      </c>
      <c r="F1716" s="2" t="inlineStr">
        <is>
          <t>Boleto "62619" do cliente "JOSE MARIA DOS SANTOS"</t>
        </is>
      </c>
      <c r="G1716" s="2" t="inlineStr">
        <is>
          <t>system</t>
        </is>
      </c>
      <c r="H1716" s="2" t="inlineStr">
        <is>
          <t>01.01.01 : Mensalidade</t>
        </is>
      </c>
      <c r="I1716" s="3" t="n">
        <v>107.93</v>
      </c>
      <c r="J1716" s="2" t="n"/>
      <c r="K1716" s="2">
        <f>IF(H1716="02.09 : Outras Saídas", IF(OR(ISNUMBER(SEARCH("CHEQUE COMPE SICREDI", F1716)), ISNUMBER(SEARCH("aniversario", F1716)), ISNUMBER(SEARCH("churrasco", F1716)), ISNUMBER(SEARCH("bolo", F1716)), ISNUMBER(SEARCH("SUPERMERCADO", F1716))), "6.1 Despesas Administrativas (Pessoal)", IF(OR(ISNUMBER(SEARCH("DLKNET", F1716)), ISNUMBER(SEARCH("TESTE", F1716))), "6.1 Despesas Administrativas (Gerais)", IFERROR(VLOOKUP(H1716, De_Para!A:B, 2, FALSE), "NÃO MAPEADO"))), IFERROR(VLOOKUP(H1716, De_Para!A:B, 2, FALSE), "NÃO MAPEADO"))</f>
        <v/>
      </c>
    </row>
    <row r="1717">
      <c r="A1717" s="2" t="inlineStr">
        <is>
          <t>67969</t>
        </is>
      </c>
      <c r="B1717" s="2" t="inlineStr">
        <is>
          <t>Sicoob</t>
        </is>
      </c>
      <c r="C1717" s="2" t="inlineStr">
        <is>
          <t>08/06/2026</t>
        </is>
      </c>
      <c r="D1717" s="2" t="inlineStr">
        <is>
          <t>08/06/2026</t>
        </is>
      </c>
      <c r="E1717" s="2" t="inlineStr">
        <is>
          <t>Dinheiro</t>
        </is>
      </c>
      <c r="F1717" s="2" t="inlineStr">
        <is>
          <t>Boleto "60528" do cliente "DIANE  DA ROCHA"</t>
        </is>
      </c>
      <c r="G1717" s="2" t="inlineStr">
        <is>
          <t>system</t>
        </is>
      </c>
      <c r="H1717" s="2" t="inlineStr">
        <is>
          <t>02.03.02.01 : Cobrança Bancaria</t>
        </is>
      </c>
      <c r="I1717" s="2" t="n"/>
      <c r="J1717" s="3" t="n">
        <v>-0.88</v>
      </c>
      <c r="K1717" s="2">
        <f>IF(H1717="02.09 : Outras Saídas", IF(OR(ISNUMBER(SEARCH("CHEQUE COMPE SICREDI", F1717)), ISNUMBER(SEARCH("aniversario", F1717)), ISNUMBER(SEARCH("churrasco", F1717)), ISNUMBER(SEARCH("bolo", F1717)), ISNUMBER(SEARCH("SUPERMERCADO", F1717))), "6.1 Despesas Administrativas (Pessoal)", IF(OR(ISNUMBER(SEARCH("DLKNET", F1717)), ISNUMBER(SEARCH("TESTE", F1717))), "6.1 Despesas Administrativas (Gerais)", IFERROR(VLOOKUP(H1717, De_Para!A:B, 2, FALSE), "NÃO MAPEADO"))), IFERROR(VLOOKUP(H1717, De_Para!A:B, 2, FALSE), "NÃO MAPEADO"))</f>
        <v/>
      </c>
    </row>
    <row r="1718">
      <c r="A1718" s="2" t="inlineStr">
        <is>
          <t>67968</t>
        </is>
      </c>
      <c r="B1718" s="2" t="inlineStr">
        <is>
          <t>Sicoob</t>
        </is>
      </c>
      <c r="C1718" s="2" t="inlineStr">
        <is>
          <t>08/06/2026</t>
        </is>
      </c>
      <c r="D1718" s="2" t="inlineStr">
        <is>
          <t>08/06/2026</t>
        </is>
      </c>
      <c r="E1718" s="2" t="inlineStr">
        <is>
          <t>Dinheiro</t>
        </is>
      </c>
      <c r="F1718" s="2" t="inlineStr">
        <is>
          <t>Boleto "60528" do cliente "DIANE  DA ROCHA"</t>
        </is>
      </c>
      <c r="G1718" s="2" t="inlineStr">
        <is>
          <t>system</t>
        </is>
      </c>
      <c r="H1718" s="2" t="inlineStr">
        <is>
          <t>01.01.01 : Mensalidade</t>
        </is>
      </c>
      <c r="I1718" s="3" t="n">
        <v>110</v>
      </c>
      <c r="J1718" s="2" t="n"/>
      <c r="K1718" s="2">
        <f>IF(H1718="02.09 : Outras Saídas", IF(OR(ISNUMBER(SEARCH("CHEQUE COMPE SICREDI", F1718)), ISNUMBER(SEARCH("aniversario", F1718)), ISNUMBER(SEARCH("churrasco", F1718)), ISNUMBER(SEARCH("bolo", F1718)), ISNUMBER(SEARCH("SUPERMERCADO", F1718))), "6.1 Despesas Administrativas (Pessoal)", IF(OR(ISNUMBER(SEARCH("DLKNET", F1718)), ISNUMBER(SEARCH("TESTE", F1718))), "6.1 Despesas Administrativas (Gerais)", IFERROR(VLOOKUP(H1718, De_Para!A:B, 2, FALSE), "NÃO MAPEADO"))), IFERROR(VLOOKUP(H1718, De_Para!A:B, 2, FALSE), "NÃO MAPEADO"))</f>
        <v/>
      </c>
    </row>
    <row r="1719">
      <c r="A1719" s="2" t="inlineStr">
        <is>
          <t>67967</t>
        </is>
      </c>
      <c r="B1719" s="2" t="inlineStr">
        <is>
          <t>Sicoob</t>
        </is>
      </c>
      <c r="C1719" s="2" t="inlineStr">
        <is>
          <t>08/06/2026</t>
        </is>
      </c>
      <c r="D1719" s="2" t="inlineStr">
        <is>
          <t>08/06/2026</t>
        </is>
      </c>
      <c r="E1719" s="2" t="inlineStr">
        <is>
          <t>Dinheiro</t>
        </is>
      </c>
      <c r="F1719" s="2" t="inlineStr">
        <is>
          <t>Boleto "59408" do cliente "EDINA PAULA FRANÇA"</t>
        </is>
      </c>
      <c r="G1719" s="2" t="inlineStr">
        <is>
          <t>system</t>
        </is>
      </c>
      <c r="H1719" s="2" t="inlineStr">
        <is>
          <t>02.03.02.01 : Cobrança Bancaria</t>
        </is>
      </c>
      <c r="I1719" s="2" t="n"/>
      <c r="J1719" s="3" t="n">
        <v>-0.88</v>
      </c>
      <c r="K1719" s="2">
        <f>IF(H1719="02.09 : Outras Saídas", IF(OR(ISNUMBER(SEARCH("CHEQUE COMPE SICREDI", F1719)), ISNUMBER(SEARCH("aniversario", F1719)), ISNUMBER(SEARCH("churrasco", F1719)), ISNUMBER(SEARCH("bolo", F1719)), ISNUMBER(SEARCH("SUPERMERCADO", F1719))), "6.1 Despesas Administrativas (Pessoal)", IF(OR(ISNUMBER(SEARCH("DLKNET", F1719)), ISNUMBER(SEARCH("TESTE", F1719))), "6.1 Despesas Administrativas (Gerais)", IFERROR(VLOOKUP(H1719, De_Para!A:B, 2, FALSE), "NÃO MAPEADO"))), IFERROR(VLOOKUP(H1719, De_Para!A:B, 2, FALSE), "NÃO MAPEADO"))</f>
        <v/>
      </c>
    </row>
    <row r="1720">
      <c r="A1720" s="2" t="inlineStr">
        <is>
          <t>67966</t>
        </is>
      </c>
      <c r="B1720" s="2" t="inlineStr">
        <is>
          <t>Sicoob</t>
        </is>
      </c>
      <c r="C1720" s="2" t="inlineStr">
        <is>
          <t>08/06/2026</t>
        </is>
      </c>
      <c r="D1720" s="2" t="inlineStr">
        <is>
          <t>08/06/2026</t>
        </is>
      </c>
      <c r="E1720" s="2" t="inlineStr">
        <is>
          <t>Dinheiro</t>
        </is>
      </c>
      <c r="F1720" s="2" t="inlineStr">
        <is>
          <t>Boleto "59408" do cliente "EDINA PAULA FRANÇA"</t>
        </is>
      </c>
      <c r="G1720" s="2" t="inlineStr">
        <is>
          <t>system</t>
        </is>
      </c>
      <c r="H1720" s="2" t="inlineStr">
        <is>
          <t>01.01.01 : Mensalidade</t>
        </is>
      </c>
      <c r="I1720" s="3" t="n">
        <v>112.45</v>
      </c>
      <c r="J1720" s="2" t="n"/>
      <c r="K1720" s="2">
        <f>IF(H1720="02.09 : Outras Saídas", IF(OR(ISNUMBER(SEARCH("CHEQUE COMPE SICREDI", F1720)), ISNUMBER(SEARCH("aniversario", F1720)), ISNUMBER(SEARCH("churrasco", F1720)), ISNUMBER(SEARCH("bolo", F1720)), ISNUMBER(SEARCH("SUPERMERCADO", F1720))), "6.1 Despesas Administrativas (Pessoal)", IF(OR(ISNUMBER(SEARCH("DLKNET", F1720)), ISNUMBER(SEARCH("TESTE", F1720))), "6.1 Despesas Administrativas (Gerais)", IFERROR(VLOOKUP(H1720, De_Para!A:B, 2, FALSE), "NÃO MAPEADO"))), IFERROR(VLOOKUP(H1720, De_Para!A:B, 2, FALSE), "NÃO MAPEADO"))</f>
        <v/>
      </c>
    </row>
    <row r="1721">
      <c r="A1721" s="2" t="inlineStr">
        <is>
          <t>67965</t>
        </is>
      </c>
      <c r="B1721" s="2" t="inlineStr">
        <is>
          <t>Sicoob</t>
        </is>
      </c>
      <c r="C1721" s="2" t="inlineStr">
        <is>
          <t>08/06/2026</t>
        </is>
      </c>
      <c r="D1721" s="2" t="inlineStr">
        <is>
          <t>08/06/2026</t>
        </is>
      </c>
      <c r="E1721" s="2" t="inlineStr">
        <is>
          <t>Dinheiro</t>
        </is>
      </c>
      <c r="F1721" s="2" t="inlineStr">
        <is>
          <t>Boleto "55978" do cliente "VALDECIR SABINO GRACIANO"</t>
        </is>
      </c>
      <c r="G1721" s="2" t="inlineStr">
        <is>
          <t>system</t>
        </is>
      </c>
      <c r="H1721" s="2" t="inlineStr">
        <is>
          <t>02.03.02.01 : Cobrança Bancaria</t>
        </is>
      </c>
      <c r="I1721" s="2" t="n"/>
      <c r="J1721" s="3" t="n">
        <v>-0.88</v>
      </c>
      <c r="K1721" s="2">
        <f>IF(H1721="02.09 : Outras Saídas", IF(OR(ISNUMBER(SEARCH("CHEQUE COMPE SICREDI", F1721)), ISNUMBER(SEARCH("aniversario", F1721)), ISNUMBER(SEARCH("churrasco", F1721)), ISNUMBER(SEARCH("bolo", F1721)), ISNUMBER(SEARCH("SUPERMERCADO", F1721))), "6.1 Despesas Administrativas (Pessoal)", IF(OR(ISNUMBER(SEARCH("DLKNET", F1721)), ISNUMBER(SEARCH("TESTE", F1721))), "6.1 Despesas Administrativas (Gerais)", IFERROR(VLOOKUP(H1721, De_Para!A:B, 2, FALSE), "NÃO MAPEADO"))), IFERROR(VLOOKUP(H1721, De_Para!A:B, 2, FALSE), "NÃO MAPEADO"))</f>
        <v/>
      </c>
    </row>
    <row r="1722">
      <c r="A1722" s="2" t="inlineStr">
        <is>
          <t>67964</t>
        </is>
      </c>
      <c r="B1722" s="2" t="inlineStr">
        <is>
          <t>Sicoob</t>
        </is>
      </c>
      <c r="C1722" s="2" t="inlineStr">
        <is>
          <t>08/06/2026</t>
        </is>
      </c>
      <c r="D1722" s="2" t="inlineStr">
        <is>
          <t>08/06/2026</t>
        </is>
      </c>
      <c r="E1722" s="2" t="inlineStr">
        <is>
          <t>Dinheiro</t>
        </is>
      </c>
      <c r="F1722" s="2" t="inlineStr">
        <is>
          <t>Boleto "55978" do cliente "VALDECIR SABINO GRACIANO"</t>
        </is>
      </c>
      <c r="G1722" s="2" t="inlineStr">
        <is>
          <t>system</t>
        </is>
      </c>
      <c r="H1722" s="2" t="inlineStr">
        <is>
          <t>01.01.01 : Mensalidade</t>
        </is>
      </c>
      <c r="I1722" s="3" t="n">
        <v>100</v>
      </c>
      <c r="J1722" s="2" t="n"/>
      <c r="K1722" s="2">
        <f>IF(H1722="02.09 : Outras Saídas", IF(OR(ISNUMBER(SEARCH("CHEQUE COMPE SICREDI", F1722)), ISNUMBER(SEARCH("aniversario", F1722)), ISNUMBER(SEARCH("churrasco", F1722)), ISNUMBER(SEARCH("bolo", F1722)), ISNUMBER(SEARCH("SUPERMERCADO", F1722))), "6.1 Despesas Administrativas (Pessoal)", IF(OR(ISNUMBER(SEARCH("DLKNET", F1722)), ISNUMBER(SEARCH("TESTE", F1722))), "6.1 Despesas Administrativas (Gerais)", IFERROR(VLOOKUP(H1722, De_Para!A:B, 2, FALSE), "NÃO MAPEADO"))), IFERROR(VLOOKUP(H1722, De_Para!A:B, 2, FALSE), "NÃO MAPEADO"))</f>
        <v/>
      </c>
    </row>
    <row r="1723">
      <c r="A1723" s="2" t="inlineStr">
        <is>
          <t>67963</t>
        </is>
      </c>
      <c r="B1723" s="2" t="inlineStr">
        <is>
          <t>Sicredi SNI</t>
        </is>
      </c>
      <c r="C1723" s="2" t="inlineStr">
        <is>
          <t>08/06/2026</t>
        </is>
      </c>
      <c r="D1723" s="2" t="inlineStr">
        <is>
          <t>08/06/2026</t>
        </is>
      </c>
      <c r="E1723" s="2" t="inlineStr">
        <is>
          <t>PIX</t>
        </is>
      </c>
      <c r="F1723" s="2" t="inlineStr">
        <is>
          <t>Boleto "65534" do cliente "LEANDRO FERREIRA BORGES"</t>
        </is>
      </c>
      <c r="G1723" s="2" t="inlineStr">
        <is>
          <t>system</t>
        </is>
      </c>
      <c r="H1723" s="2" t="inlineStr">
        <is>
          <t>02.03.02.01 : Cobrança Bancaria</t>
        </is>
      </c>
      <c r="I1723" s="2" t="n"/>
      <c r="J1723" s="3" t="n">
        <v>-0.49</v>
      </c>
      <c r="K1723" s="2">
        <f>IF(H1723="02.09 : Outras Saídas", IF(OR(ISNUMBER(SEARCH("CHEQUE COMPE SICREDI", F1723)), ISNUMBER(SEARCH("aniversario", F1723)), ISNUMBER(SEARCH("churrasco", F1723)), ISNUMBER(SEARCH("bolo", F1723)), ISNUMBER(SEARCH("SUPERMERCADO", F1723))), "6.1 Despesas Administrativas (Pessoal)", IF(OR(ISNUMBER(SEARCH("DLKNET", F1723)), ISNUMBER(SEARCH("TESTE", F1723))), "6.1 Despesas Administrativas (Gerais)", IFERROR(VLOOKUP(H1723, De_Para!A:B, 2, FALSE), "NÃO MAPEADO"))), IFERROR(VLOOKUP(H1723, De_Para!A:B, 2, FALSE), "NÃO MAPEADO"))</f>
        <v/>
      </c>
    </row>
    <row r="1724">
      <c r="A1724" s="2" t="inlineStr">
        <is>
          <t>67962</t>
        </is>
      </c>
      <c r="B1724" s="2" t="inlineStr">
        <is>
          <t>Sicredi SNI</t>
        </is>
      </c>
      <c r="C1724" s="2" t="inlineStr">
        <is>
          <t>08/06/2026</t>
        </is>
      </c>
      <c r="D1724" s="2" t="inlineStr">
        <is>
          <t>08/06/2026</t>
        </is>
      </c>
      <c r="E1724" s="2" t="inlineStr">
        <is>
          <t>PIX</t>
        </is>
      </c>
      <c r="F1724" s="2" t="inlineStr">
        <is>
          <t>Boleto "65534" do cliente "LEANDRO FERREIRA BORGES"</t>
        </is>
      </c>
      <c r="G1724" s="2" t="inlineStr">
        <is>
          <t>system</t>
        </is>
      </c>
      <c r="H1724" s="2" t="inlineStr">
        <is>
          <t>01.01.01 : Mensalidade</t>
        </is>
      </c>
      <c r="I1724" s="3" t="n">
        <v>109.9</v>
      </c>
      <c r="J1724" s="2" t="n"/>
      <c r="K1724" s="2">
        <f>IF(H1724="02.09 : Outras Saídas", IF(OR(ISNUMBER(SEARCH("CHEQUE COMPE SICREDI", F1724)), ISNUMBER(SEARCH("aniversario", F1724)), ISNUMBER(SEARCH("churrasco", F1724)), ISNUMBER(SEARCH("bolo", F1724)), ISNUMBER(SEARCH("SUPERMERCADO", F1724))), "6.1 Despesas Administrativas (Pessoal)", IF(OR(ISNUMBER(SEARCH("DLKNET", F1724)), ISNUMBER(SEARCH("TESTE", F1724))), "6.1 Despesas Administrativas (Gerais)", IFERROR(VLOOKUP(H1724, De_Para!A:B, 2, FALSE), "NÃO MAPEADO"))), IFERROR(VLOOKUP(H1724, De_Para!A:B, 2, FALSE), "NÃO MAPEADO"))</f>
        <v/>
      </c>
    </row>
    <row r="1725">
      <c r="A1725" s="2" t="inlineStr">
        <is>
          <t>67961</t>
        </is>
      </c>
      <c r="B1725" s="2" t="inlineStr">
        <is>
          <t>Sicredi SNI</t>
        </is>
      </c>
      <c r="C1725" s="2" t="inlineStr">
        <is>
          <t>08/06/2026</t>
        </is>
      </c>
      <c r="D1725" s="2" t="inlineStr">
        <is>
          <t>08/06/2026</t>
        </is>
      </c>
      <c r="E1725" s="2" t="inlineStr">
        <is>
          <t>PIX</t>
        </is>
      </c>
      <c r="F1725" s="2" t="inlineStr">
        <is>
          <t>Boleto "56723" do cliente "JOSIMAR ANTONIO DIOGO"</t>
        </is>
      </c>
      <c r="G1725" s="2" t="inlineStr">
        <is>
          <t>system</t>
        </is>
      </c>
      <c r="H1725" s="2" t="inlineStr">
        <is>
          <t>02.03.02.01 : Cobrança Bancaria</t>
        </is>
      </c>
      <c r="I1725" s="2" t="n"/>
      <c r="J1725" s="3" t="n">
        <v>-0.49</v>
      </c>
      <c r="K1725" s="2">
        <f>IF(H1725="02.09 : Outras Saídas", IF(OR(ISNUMBER(SEARCH("CHEQUE COMPE SICREDI", F1725)), ISNUMBER(SEARCH("aniversario", F1725)), ISNUMBER(SEARCH("churrasco", F1725)), ISNUMBER(SEARCH("bolo", F1725)), ISNUMBER(SEARCH("SUPERMERCADO", F1725))), "6.1 Despesas Administrativas (Pessoal)", IF(OR(ISNUMBER(SEARCH("DLKNET", F1725)), ISNUMBER(SEARCH("TESTE", F1725))), "6.1 Despesas Administrativas (Gerais)", IFERROR(VLOOKUP(H1725, De_Para!A:B, 2, FALSE), "NÃO MAPEADO"))), IFERROR(VLOOKUP(H1725, De_Para!A:B, 2, FALSE), "NÃO MAPEADO"))</f>
        <v/>
      </c>
    </row>
    <row r="1726">
      <c r="A1726" s="2" t="inlineStr">
        <is>
          <t>67960</t>
        </is>
      </c>
      <c r="B1726" s="2" t="inlineStr">
        <is>
          <t>Sicredi SNI</t>
        </is>
      </c>
      <c r="C1726" s="2" t="inlineStr">
        <is>
          <t>08/06/2026</t>
        </is>
      </c>
      <c r="D1726" s="2" t="inlineStr">
        <is>
          <t>08/06/2026</t>
        </is>
      </c>
      <c r="E1726" s="2" t="inlineStr">
        <is>
          <t>PIX</t>
        </is>
      </c>
      <c r="F1726" s="2" t="inlineStr">
        <is>
          <t>Boleto "56723" do cliente "JOSIMAR ANTONIO DIOGO"</t>
        </is>
      </c>
      <c r="G1726" s="2" t="inlineStr">
        <is>
          <t>system</t>
        </is>
      </c>
      <c r="H1726" s="2" t="inlineStr">
        <is>
          <t>01.01.01 : Mensalidade</t>
        </is>
      </c>
      <c r="I1726" s="3" t="n">
        <v>107.2</v>
      </c>
      <c r="J1726" s="2" t="n"/>
      <c r="K1726" s="2">
        <f>IF(H1726="02.09 : Outras Saídas", IF(OR(ISNUMBER(SEARCH("CHEQUE COMPE SICREDI", F1726)), ISNUMBER(SEARCH("aniversario", F1726)), ISNUMBER(SEARCH("churrasco", F1726)), ISNUMBER(SEARCH("bolo", F1726)), ISNUMBER(SEARCH("SUPERMERCADO", F1726))), "6.1 Despesas Administrativas (Pessoal)", IF(OR(ISNUMBER(SEARCH("DLKNET", F1726)), ISNUMBER(SEARCH("TESTE", F1726))), "6.1 Despesas Administrativas (Gerais)", IFERROR(VLOOKUP(H1726, De_Para!A:B, 2, FALSE), "NÃO MAPEADO"))), IFERROR(VLOOKUP(H1726, De_Para!A:B, 2, FALSE), "NÃO MAPEADO"))</f>
        <v/>
      </c>
    </row>
    <row r="1727">
      <c r="A1727" s="2" t="inlineStr">
        <is>
          <t>67959</t>
        </is>
      </c>
      <c r="B1727" s="2" t="inlineStr">
        <is>
          <t>Sicredi SNI</t>
        </is>
      </c>
      <c r="C1727" s="2" t="inlineStr">
        <is>
          <t>08/06/2026</t>
        </is>
      </c>
      <c r="D1727" s="2" t="inlineStr">
        <is>
          <t>08/06/2026</t>
        </is>
      </c>
      <c r="E1727" s="2" t="inlineStr">
        <is>
          <t>PIX</t>
        </is>
      </c>
      <c r="F1727" s="2" t="inlineStr">
        <is>
          <t>Boleto "56585" do cliente "HELENA MARIA ALVES DESIDÉRIO"</t>
        </is>
      </c>
      <c r="G1727" s="2" t="inlineStr">
        <is>
          <t>system</t>
        </is>
      </c>
      <c r="H1727" s="2" t="inlineStr">
        <is>
          <t>02.03.02.01 : Cobrança Bancaria</t>
        </is>
      </c>
      <c r="I1727" s="2" t="n"/>
      <c r="J1727" s="3" t="n">
        <v>-0.49</v>
      </c>
      <c r="K1727" s="2">
        <f>IF(H1727="02.09 : Outras Saídas", IF(OR(ISNUMBER(SEARCH("CHEQUE COMPE SICREDI", F1727)), ISNUMBER(SEARCH("aniversario", F1727)), ISNUMBER(SEARCH("churrasco", F1727)), ISNUMBER(SEARCH("bolo", F1727)), ISNUMBER(SEARCH("SUPERMERCADO", F1727))), "6.1 Despesas Administrativas (Pessoal)", IF(OR(ISNUMBER(SEARCH("DLKNET", F1727)), ISNUMBER(SEARCH("TESTE", F1727))), "6.1 Despesas Administrativas (Gerais)", IFERROR(VLOOKUP(H1727, De_Para!A:B, 2, FALSE), "NÃO MAPEADO"))), IFERROR(VLOOKUP(H1727, De_Para!A:B, 2, FALSE), "NÃO MAPEADO"))</f>
        <v/>
      </c>
    </row>
    <row r="1728">
      <c r="A1728" s="2" t="inlineStr">
        <is>
          <t>67958</t>
        </is>
      </c>
      <c r="B1728" s="2" t="inlineStr">
        <is>
          <t>Sicredi SNI</t>
        </is>
      </c>
      <c r="C1728" s="2" t="inlineStr">
        <is>
          <t>08/06/2026</t>
        </is>
      </c>
      <c r="D1728" s="2" t="inlineStr">
        <is>
          <t>08/06/2026</t>
        </is>
      </c>
      <c r="E1728" s="2" t="inlineStr">
        <is>
          <t>PIX</t>
        </is>
      </c>
      <c r="F1728" s="2" t="inlineStr">
        <is>
          <t>Boleto "56585" do cliente "HELENA MARIA ALVES DESIDÉRIO"</t>
        </is>
      </c>
      <c r="G1728" s="2" t="inlineStr">
        <is>
          <t>system</t>
        </is>
      </c>
      <c r="H1728" s="2" t="inlineStr">
        <is>
          <t>01.01.01 : Mensalidade</t>
        </is>
      </c>
      <c r="I1728" s="3" t="n">
        <v>105</v>
      </c>
      <c r="J1728" s="2" t="n"/>
      <c r="K1728" s="2">
        <f>IF(H1728="02.09 : Outras Saídas", IF(OR(ISNUMBER(SEARCH("CHEQUE COMPE SICREDI", F1728)), ISNUMBER(SEARCH("aniversario", F1728)), ISNUMBER(SEARCH("churrasco", F1728)), ISNUMBER(SEARCH("bolo", F1728)), ISNUMBER(SEARCH("SUPERMERCADO", F1728))), "6.1 Despesas Administrativas (Pessoal)", IF(OR(ISNUMBER(SEARCH("DLKNET", F1728)), ISNUMBER(SEARCH("TESTE", F1728))), "6.1 Despesas Administrativas (Gerais)", IFERROR(VLOOKUP(H1728, De_Para!A:B, 2, FALSE), "NÃO MAPEADO"))), IFERROR(VLOOKUP(H1728, De_Para!A:B, 2, FALSE), "NÃO MAPEADO"))</f>
        <v/>
      </c>
    </row>
    <row r="1729">
      <c r="A1729" s="2" t="inlineStr">
        <is>
          <t>67957</t>
        </is>
      </c>
      <c r="B1729" s="2" t="inlineStr">
        <is>
          <t>Sicredi SNI</t>
        </is>
      </c>
      <c r="C1729" s="2" t="inlineStr">
        <is>
          <t>08/06/2026</t>
        </is>
      </c>
      <c r="D1729" s="2" t="inlineStr">
        <is>
          <t>08/06/2026</t>
        </is>
      </c>
      <c r="E1729" s="2" t="inlineStr">
        <is>
          <t>PIX</t>
        </is>
      </c>
      <c r="F1729" s="2" t="inlineStr">
        <is>
          <t>Boleto "66972" do cliente "ALEXANDRE KENKE"</t>
        </is>
      </c>
      <c r="G1729" s="2" t="inlineStr">
        <is>
          <t>system</t>
        </is>
      </c>
      <c r="H1729" s="2" t="inlineStr">
        <is>
          <t>02.03.02.01 : Cobrança Bancaria</t>
        </is>
      </c>
      <c r="I1729" s="2" t="n"/>
      <c r="J1729" s="3" t="n">
        <v>-0.49</v>
      </c>
      <c r="K1729" s="2">
        <f>IF(H1729="02.09 : Outras Saídas", IF(OR(ISNUMBER(SEARCH("CHEQUE COMPE SICREDI", F1729)), ISNUMBER(SEARCH("aniversario", F1729)), ISNUMBER(SEARCH("churrasco", F1729)), ISNUMBER(SEARCH("bolo", F1729)), ISNUMBER(SEARCH("SUPERMERCADO", F1729))), "6.1 Despesas Administrativas (Pessoal)", IF(OR(ISNUMBER(SEARCH("DLKNET", F1729)), ISNUMBER(SEARCH("TESTE", F1729))), "6.1 Despesas Administrativas (Gerais)", IFERROR(VLOOKUP(H1729, De_Para!A:B, 2, FALSE), "NÃO MAPEADO"))), IFERROR(VLOOKUP(H1729, De_Para!A:B, 2, FALSE), "NÃO MAPEADO"))</f>
        <v/>
      </c>
    </row>
    <row r="1730">
      <c r="A1730" s="2" t="inlineStr">
        <is>
          <t>67956</t>
        </is>
      </c>
      <c r="B1730" s="2" t="inlineStr">
        <is>
          <t>Sicredi SNI</t>
        </is>
      </c>
      <c r="C1730" s="2" t="inlineStr">
        <is>
          <t>08/06/2026</t>
        </is>
      </c>
      <c r="D1730" s="2" t="inlineStr">
        <is>
          <t>08/06/2026</t>
        </is>
      </c>
      <c r="E1730" s="2" t="inlineStr">
        <is>
          <t>PIX</t>
        </is>
      </c>
      <c r="F1730" s="2" t="inlineStr">
        <is>
          <t>Boleto "66972" do cliente "ALEXANDRE KENKE"</t>
        </is>
      </c>
      <c r="G1730" s="2" t="inlineStr">
        <is>
          <t>system</t>
        </is>
      </c>
      <c r="H1730" s="2" t="inlineStr">
        <is>
          <t>01.01.01 : Mensalidade</t>
        </is>
      </c>
      <c r="I1730" s="3" t="n">
        <v>104.9</v>
      </c>
      <c r="J1730" s="2" t="n"/>
      <c r="K1730" s="2">
        <f>IF(H1730="02.09 : Outras Saídas", IF(OR(ISNUMBER(SEARCH("CHEQUE COMPE SICREDI", F1730)), ISNUMBER(SEARCH("aniversario", F1730)), ISNUMBER(SEARCH("churrasco", F1730)), ISNUMBER(SEARCH("bolo", F1730)), ISNUMBER(SEARCH("SUPERMERCADO", F1730))), "6.1 Despesas Administrativas (Pessoal)", IF(OR(ISNUMBER(SEARCH("DLKNET", F1730)), ISNUMBER(SEARCH("TESTE", F1730))), "6.1 Despesas Administrativas (Gerais)", IFERROR(VLOOKUP(H1730, De_Para!A:B, 2, FALSE), "NÃO MAPEADO"))), IFERROR(VLOOKUP(H1730, De_Para!A:B, 2, FALSE), "NÃO MAPEADO"))</f>
        <v/>
      </c>
    </row>
    <row r="1731">
      <c r="A1731" s="2" t="inlineStr">
        <is>
          <t>67955</t>
        </is>
      </c>
      <c r="B1731" s="2" t="inlineStr">
        <is>
          <t>Sicredi SNI</t>
        </is>
      </c>
      <c r="C1731" s="2" t="inlineStr">
        <is>
          <t>08/06/2026</t>
        </is>
      </c>
      <c r="D1731" s="2" t="inlineStr">
        <is>
          <t>08/06/2026</t>
        </is>
      </c>
      <c r="E1731" s="2" t="inlineStr">
        <is>
          <t>PIX</t>
        </is>
      </c>
      <c r="F1731" s="2" t="inlineStr">
        <is>
          <t>Boleto "55818" do cliente "CRISTIANO DE PAULA"</t>
        </is>
      </c>
      <c r="G1731" s="2" t="inlineStr">
        <is>
          <t>system</t>
        </is>
      </c>
      <c r="H1731" s="2" t="inlineStr">
        <is>
          <t>02.03.02.01 : Cobrança Bancaria</t>
        </is>
      </c>
      <c r="I1731" s="2" t="n"/>
      <c r="J1731" s="3" t="n">
        <v>-0.49</v>
      </c>
      <c r="K1731" s="2">
        <f>IF(H1731="02.09 : Outras Saídas", IF(OR(ISNUMBER(SEARCH("CHEQUE COMPE SICREDI", F1731)), ISNUMBER(SEARCH("aniversario", F1731)), ISNUMBER(SEARCH("churrasco", F1731)), ISNUMBER(SEARCH("bolo", F1731)), ISNUMBER(SEARCH("SUPERMERCADO", F1731))), "6.1 Despesas Administrativas (Pessoal)", IF(OR(ISNUMBER(SEARCH("DLKNET", F1731)), ISNUMBER(SEARCH("TESTE", F1731))), "6.1 Despesas Administrativas (Gerais)", IFERROR(VLOOKUP(H1731, De_Para!A:B, 2, FALSE), "NÃO MAPEADO"))), IFERROR(VLOOKUP(H1731, De_Para!A:B, 2, FALSE), "NÃO MAPEADO"))</f>
        <v/>
      </c>
    </row>
    <row r="1732">
      <c r="A1732" s="2" t="inlineStr">
        <is>
          <t>67954</t>
        </is>
      </c>
      <c r="B1732" s="2" t="inlineStr">
        <is>
          <t>Sicredi SNI</t>
        </is>
      </c>
      <c r="C1732" s="2" t="inlineStr">
        <is>
          <t>08/06/2026</t>
        </is>
      </c>
      <c r="D1732" s="2" t="inlineStr">
        <is>
          <t>08/06/2026</t>
        </is>
      </c>
      <c r="E1732" s="2" t="inlineStr">
        <is>
          <t>PIX</t>
        </is>
      </c>
      <c r="F1732" s="2" t="inlineStr">
        <is>
          <t>Boleto "55818" do cliente "CRISTIANO DE PAULA"</t>
        </is>
      </c>
      <c r="G1732" s="2" t="inlineStr">
        <is>
          <t>system</t>
        </is>
      </c>
      <c r="H1732" s="2" t="inlineStr">
        <is>
          <t>01.01.01 : Mensalidade</t>
        </is>
      </c>
      <c r="I1732" s="3" t="n">
        <v>105</v>
      </c>
      <c r="J1732" s="2" t="n"/>
      <c r="K1732" s="2">
        <f>IF(H1732="02.09 : Outras Saídas", IF(OR(ISNUMBER(SEARCH("CHEQUE COMPE SICREDI", F1732)), ISNUMBER(SEARCH("aniversario", F1732)), ISNUMBER(SEARCH("churrasco", F1732)), ISNUMBER(SEARCH("bolo", F1732)), ISNUMBER(SEARCH("SUPERMERCADO", F1732))), "6.1 Despesas Administrativas (Pessoal)", IF(OR(ISNUMBER(SEARCH("DLKNET", F1732)), ISNUMBER(SEARCH("TESTE", F1732))), "6.1 Despesas Administrativas (Gerais)", IFERROR(VLOOKUP(H1732, De_Para!A:B, 2, FALSE), "NÃO MAPEADO"))), IFERROR(VLOOKUP(H1732, De_Para!A:B, 2, FALSE), "NÃO MAPEADO"))</f>
        <v/>
      </c>
    </row>
    <row r="1733">
      <c r="A1733" s="2" t="inlineStr">
        <is>
          <t>67953</t>
        </is>
      </c>
      <c r="B1733" s="2" t="inlineStr">
        <is>
          <t>Sicredi SNI</t>
        </is>
      </c>
      <c r="C1733" s="2" t="inlineStr">
        <is>
          <t>08/06/2026</t>
        </is>
      </c>
      <c r="D1733" s="2" t="inlineStr">
        <is>
          <t>08/06/2026</t>
        </is>
      </c>
      <c r="E1733" s="2" t="inlineStr">
        <is>
          <t>Dinheiro</t>
        </is>
      </c>
      <c r="F1733" s="2" t="inlineStr">
        <is>
          <t>Boleto "62804" do cliente "MARCIO DOS SANTOS"</t>
        </is>
      </c>
      <c r="G1733" s="2" t="inlineStr">
        <is>
          <t>system</t>
        </is>
      </c>
      <c r="H1733" s="2" t="inlineStr">
        <is>
          <t>02.03.02.01 : Cobrança Bancaria</t>
        </is>
      </c>
      <c r="I1733" s="2" t="n"/>
      <c r="J1733" s="3" t="n">
        <v>-1.08</v>
      </c>
      <c r="K1733" s="2">
        <f>IF(H1733="02.09 : Outras Saídas", IF(OR(ISNUMBER(SEARCH("CHEQUE COMPE SICREDI", F1733)), ISNUMBER(SEARCH("aniversario", F1733)), ISNUMBER(SEARCH("churrasco", F1733)), ISNUMBER(SEARCH("bolo", F1733)), ISNUMBER(SEARCH("SUPERMERCADO", F1733))), "6.1 Despesas Administrativas (Pessoal)", IF(OR(ISNUMBER(SEARCH("DLKNET", F1733)), ISNUMBER(SEARCH("TESTE", F1733))), "6.1 Despesas Administrativas (Gerais)", IFERROR(VLOOKUP(H1733, De_Para!A:B, 2, FALSE), "NÃO MAPEADO"))), IFERROR(VLOOKUP(H1733, De_Para!A:B, 2, FALSE), "NÃO MAPEADO"))</f>
        <v/>
      </c>
    </row>
    <row r="1734">
      <c r="A1734" s="2" t="inlineStr">
        <is>
          <t>67952</t>
        </is>
      </c>
      <c r="B1734" s="2" t="inlineStr">
        <is>
          <t>Sicredi SNI</t>
        </is>
      </c>
      <c r="C1734" s="2" t="inlineStr">
        <is>
          <t>08/06/2026</t>
        </is>
      </c>
      <c r="D1734" s="2" t="inlineStr">
        <is>
          <t>08/06/2026</t>
        </is>
      </c>
      <c r="E1734" s="2" t="inlineStr">
        <is>
          <t>Dinheiro</t>
        </is>
      </c>
      <c r="F1734" s="2" t="inlineStr">
        <is>
          <t>Boleto "62804" do cliente "MARCIO DOS SANTOS"</t>
        </is>
      </c>
      <c r="G1734" s="2" t="inlineStr">
        <is>
          <t>system</t>
        </is>
      </c>
      <c r="H1734" s="2" t="inlineStr">
        <is>
          <t>01.01.01 : Mensalidade</t>
        </is>
      </c>
      <c r="I1734" s="3" t="n">
        <v>104.9</v>
      </c>
      <c r="J1734" s="2" t="n"/>
      <c r="K1734" s="2">
        <f>IF(H1734="02.09 : Outras Saídas", IF(OR(ISNUMBER(SEARCH("CHEQUE COMPE SICREDI", F1734)), ISNUMBER(SEARCH("aniversario", F1734)), ISNUMBER(SEARCH("churrasco", F1734)), ISNUMBER(SEARCH("bolo", F1734)), ISNUMBER(SEARCH("SUPERMERCADO", F1734))), "6.1 Despesas Administrativas (Pessoal)", IF(OR(ISNUMBER(SEARCH("DLKNET", F1734)), ISNUMBER(SEARCH("TESTE", F1734))), "6.1 Despesas Administrativas (Gerais)", IFERROR(VLOOKUP(H1734, De_Para!A:B, 2, FALSE), "NÃO MAPEADO"))), IFERROR(VLOOKUP(H1734, De_Para!A:B, 2, FALSE), "NÃO MAPEADO"))</f>
        <v/>
      </c>
    </row>
    <row r="1735">
      <c r="A1735" s="2" t="inlineStr">
        <is>
          <t>67951</t>
        </is>
      </c>
      <c r="B1735" s="2" t="inlineStr">
        <is>
          <t>Sicredi SNI</t>
        </is>
      </c>
      <c r="C1735" s="2" t="inlineStr">
        <is>
          <t>08/06/2026</t>
        </is>
      </c>
      <c r="D1735" s="2" t="inlineStr">
        <is>
          <t>08/06/2026</t>
        </is>
      </c>
      <c r="E1735" s="2" t="inlineStr">
        <is>
          <t>Dinheiro</t>
        </is>
      </c>
      <c r="F1735" s="2" t="inlineStr">
        <is>
          <t>Boleto "62794" do cliente "IRENE RODRIGUES SILVERIO"</t>
        </is>
      </c>
      <c r="G1735" s="2" t="inlineStr">
        <is>
          <t>system</t>
        </is>
      </c>
      <c r="H1735" s="2" t="inlineStr">
        <is>
          <t>02.03.02.01 : Cobrança Bancaria</t>
        </is>
      </c>
      <c r="I1735" s="2" t="n"/>
      <c r="J1735" s="3" t="n">
        <v>-1.08</v>
      </c>
      <c r="K1735" s="2">
        <f>IF(H1735="02.09 : Outras Saídas", IF(OR(ISNUMBER(SEARCH("CHEQUE COMPE SICREDI", F1735)), ISNUMBER(SEARCH("aniversario", F1735)), ISNUMBER(SEARCH("churrasco", F1735)), ISNUMBER(SEARCH("bolo", F1735)), ISNUMBER(SEARCH("SUPERMERCADO", F1735))), "6.1 Despesas Administrativas (Pessoal)", IF(OR(ISNUMBER(SEARCH("DLKNET", F1735)), ISNUMBER(SEARCH("TESTE", F1735))), "6.1 Despesas Administrativas (Gerais)", IFERROR(VLOOKUP(H1735, De_Para!A:B, 2, FALSE), "NÃO MAPEADO"))), IFERROR(VLOOKUP(H1735, De_Para!A:B, 2, FALSE), "NÃO MAPEADO"))</f>
        <v/>
      </c>
    </row>
    <row r="1736">
      <c r="A1736" s="2" t="inlineStr">
        <is>
          <t>67950</t>
        </is>
      </c>
      <c r="B1736" s="2" t="inlineStr">
        <is>
          <t>Sicredi SNI</t>
        </is>
      </c>
      <c r="C1736" s="2" t="inlineStr">
        <is>
          <t>08/06/2026</t>
        </is>
      </c>
      <c r="D1736" s="2" t="inlineStr">
        <is>
          <t>08/06/2026</t>
        </is>
      </c>
      <c r="E1736" s="2" t="inlineStr">
        <is>
          <t>Dinheiro</t>
        </is>
      </c>
      <c r="F1736" s="2" t="inlineStr">
        <is>
          <t>Boleto "62794" do cliente "IRENE RODRIGUES SILVERIO"</t>
        </is>
      </c>
      <c r="G1736" s="2" t="inlineStr">
        <is>
          <t>system</t>
        </is>
      </c>
      <c r="H1736" s="2" t="inlineStr">
        <is>
          <t>01.01.01 : Mensalidade</t>
        </is>
      </c>
      <c r="I1736" s="3" t="n">
        <v>104.9</v>
      </c>
      <c r="J1736" s="2" t="n"/>
      <c r="K1736" s="2">
        <f>IF(H1736="02.09 : Outras Saídas", IF(OR(ISNUMBER(SEARCH("CHEQUE COMPE SICREDI", F1736)), ISNUMBER(SEARCH("aniversario", F1736)), ISNUMBER(SEARCH("churrasco", F1736)), ISNUMBER(SEARCH("bolo", F1736)), ISNUMBER(SEARCH("SUPERMERCADO", F1736))), "6.1 Despesas Administrativas (Pessoal)", IF(OR(ISNUMBER(SEARCH("DLKNET", F1736)), ISNUMBER(SEARCH("TESTE", F1736))), "6.1 Despesas Administrativas (Gerais)", IFERROR(VLOOKUP(H1736, De_Para!A:B, 2, FALSE), "NÃO MAPEADO"))), IFERROR(VLOOKUP(H1736, De_Para!A:B, 2, FALSE), "NÃO MAPEADO"))</f>
        <v/>
      </c>
    </row>
    <row r="1737">
      <c r="A1737" s="2" t="inlineStr">
        <is>
          <t>67949</t>
        </is>
      </c>
      <c r="B1737" s="2" t="inlineStr">
        <is>
          <t>Sicredi SNI</t>
        </is>
      </c>
      <c r="C1737" s="2" t="inlineStr">
        <is>
          <t>08/06/2026</t>
        </is>
      </c>
      <c r="D1737" s="2" t="inlineStr">
        <is>
          <t>08/06/2026</t>
        </is>
      </c>
      <c r="E1737" s="2" t="inlineStr">
        <is>
          <t>Dinheiro</t>
        </is>
      </c>
      <c r="F1737" s="2" t="inlineStr">
        <is>
          <t>Boleto "60540" do cliente "MARIA MARCELINA DUARTE"</t>
        </is>
      </c>
      <c r="G1737" s="2" t="inlineStr">
        <is>
          <t>system</t>
        </is>
      </c>
      <c r="H1737" s="2" t="inlineStr">
        <is>
          <t>02.03.02.01 : Cobrança Bancaria</t>
        </is>
      </c>
      <c r="I1737" s="2" t="n"/>
      <c r="J1737" s="3" t="n">
        <v>-1.08</v>
      </c>
      <c r="K1737" s="2">
        <f>IF(H1737="02.09 : Outras Saídas", IF(OR(ISNUMBER(SEARCH("CHEQUE COMPE SICREDI", F1737)), ISNUMBER(SEARCH("aniversario", F1737)), ISNUMBER(SEARCH("churrasco", F1737)), ISNUMBER(SEARCH("bolo", F1737)), ISNUMBER(SEARCH("SUPERMERCADO", F1737))), "6.1 Despesas Administrativas (Pessoal)", IF(OR(ISNUMBER(SEARCH("DLKNET", F1737)), ISNUMBER(SEARCH("TESTE", F1737))), "6.1 Despesas Administrativas (Gerais)", IFERROR(VLOOKUP(H1737, De_Para!A:B, 2, FALSE), "NÃO MAPEADO"))), IFERROR(VLOOKUP(H1737, De_Para!A:B, 2, FALSE), "NÃO MAPEADO"))</f>
        <v/>
      </c>
    </row>
    <row r="1738">
      <c r="A1738" s="2" t="inlineStr">
        <is>
          <t>67948</t>
        </is>
      </c>
      <c r="B1738" s="2" t="inlineStr">
        <is>
          <t>Sicredi SNI</t>
        </is>
      </c>
      <c r="C1738" s="2" t="inlineStr">
        <is>
          <t>08/06/2026</t>
        </is>
      </c>
      <c r="D1738" s="2" t="inlineStr">
        <is>
          <t>08/06/2026</t>
        </is>
      </c>
      <c r="E1738" s="2" t="inlineStr">
        <is>
          <t>Dinheiro</t>
        </is>
      </c>
      <c r="F1738" s="2" t="inlineStr">
        <is>
          <t>Boleto "60540" do cliente "MARIA MARCELINA DUARTE"</t>
        </is>
      </c>
      <c r="G1738" s="2" t="inlineStr">
        <is>
          <t>system</t>
        </is>
      </c>
      <c r="H1738" s="2" t="inlineStr">
        <is>
          <t>01.01.01 : Mensalidade</t>
        </is>
      </c>
      <c r="I1738" s="3" t="n">
        <v>107.19</v>
      </c>
      <c r="J1738" s="2" t="n"/>
      <c r="K1738" s="2">
        <f>IF(H1738="02.09 : Outras Saídas", IF(OR(ISNUMBER(SEARCH("CHEQUE COMPE SICREDI", F1738)), ISNUMBER(SEARCH("aniversario", F1738)), ISNUMBER(SEARCH("churrasco", F1738)), ISNUMBER(SEARCH("bolo", F1738)), ISNUMBER(SEARCH("SUPERMERCADO", F1738))), "6.1 Despesas Administrativas (Pessoal)", IF(OR(ISNUMBER(SEARCH("DLKNET", F1738)), ISNUMBER(SEARCH("TESTE", F1738))), "6.1 Despesas Administrativas (Gerais)", IFERROR(VLOOKUP(H1738, De_Para!A:B, 2, FALSE), "NÃO MAPEADO"))), IFERROR(VLOOKUP(H1738, De_Para!A:B, 2, FALSE), "NÃO MAPEADO"))</f>
        <v/>
      </c>
    </row>
    <row r="1739">
      <c r="A1739" s="2" t="inlineStr">
        <is>
          <t>67947</t>
        </is>
      </c>
      <c r="B1739" s="2" t="inlineStr">
        <is>
          <t>Sicredi SNI</t>
        </is>
      </c>
      <c r="C1739" s="2" t="inlineStr">
        <is>
          <t>08/06/2026</t>
        </is>
      </c>
      <c r="D1739" s="2" t="inlineStr">
        <is>
          <t>08/06/2026</t>
        </is>
      </c>
      <c r="E1739" s="2" t="inlineStr">
        <is>
          <t>Dinheiro</t>
        </is>
      </c>
      <c r="F1739" s="2" t="inlineStr">
        <is>
          <t>Boleto "57657" do cliente "GILMAR PEDROSO DE LIMA"</t>
        </is>
      </c>
      <c r="G1739" s="2" t="inlineStr">
        <is>
          <t>system</t>
        </is>
      </c>
      <c r="H1739" s="2" t="inlineStr">
        <is>
          <t>02.03.02.01 : Cobrança Bancaria</t>
        </is>
      </c>
      <c r="I1739" s="2" t="n"/>
      <c r="J1739" s="3" t="n">
        <v>-1.08</v>
      </c>
      <c r="K1739" s="2">
        <f>IF(H1739="02.09 : Outras Saídas", IF(OR(ISNUMBER(SEARCH("CHEQUE COMPE SICREDI", F1739)), ISNUMBER(SEARCH("aniversario", F1739)), ISNUMBER(SEARCH("churrasco", F1739)), ISNUMBER(SEARCH("bolo", F1739)), ISNUMBER(SEARCH("SUPERMERCADO", F1739))), "6.1 Despesas Administrativas (Pessoal)", IF(OR(ISNUMBER(SEARCH("DLKNET", F1739)), ISNUMBER(SEARCH("TESTE", F1739))), "6.1 Despesas Administrativas (Gerais)", IFERROR(VLOOKUP(H1739, De_Para!A:B, 2, FALSE), "NÃO MAPEADO"))), IFERROR(VLOOKUP(H1739, De_Para!A:B, 2, FALSE), "NÃO MAPEADO"))</f>
        <v/>
      </c>
    </row>
    <row r="1740">
      <c r="A1740" s="2" t="inlineStr">
        <is>
          <t>67946</t>
        </is>
      </c>
      <c r="B1740" s="2" t="inlineStr">
        <is>
          <t>Sicredi SNI</t>
        </is>
      </c>
      <c r="C1740" s="2" t="inlineStr">
        <is>
          <t>08/06/2026</t>
        </is>
      </c>
      <c r="D1740" s="2" t="inlineStr">
        <is>
          <t>08/06/2026</t>
        </is>
      </c>
      <c r="E1740" s="2" t="inlineStr">
        <is>
          <t>Dinheiro</t>
        </is>
      </c>
      <c r="F1740" s="2" t="inlineStr">
        <is>
          <t>Boleto "57657" do cliente "GILMAR PEDROSO DE LIMA"</t>
        </is>
      </c>
      <c r="G1740" s="2" t="inlineStr">
        <is>
          <t>system</t>
        </is>
      </c>
      <c r="H1740" s="2" t="inlineStr">
        <is>
          <t>01.01.01 : Mensalidade</t>
        </is>
      </c>
      <c r="I1740" s="3" t="n">
        <v>105</v>
      </c>
      <c r="J1740" s="2" t="n"/>
      <c r="K1740" s="2">
        <f>IF(H1740="02.09 : Outras Saídas", IF(OR(ISNUMBER(SEARCH("CHEQUE COMPE SICREDI", F1740)), ISNUMBER(SEARCH("aniversario", F1740)), ISNUMBER(SEARCH("churrasco", F1740)), ISNUMBER(SEARCH("bolo", F1740)), ISNUMBER(SEARCH("SUPERMERCADO", F1740))), "6.1 Despesas Administrativas (Pessoal)", IF(OR(ISNUMBER(SEARCH("DLKNET", F1740)), ISNUMBER(SEARCH("TESTE", F1740))), "6.1 Despesas Administrativas (Gerais)", IFERROR(VLOOKUP(H1740, De_Para!A:B, 2, FALSE), "NÃO MAPEADO"))), IFERROR(VLOOKUP(H1740, De_Para!A:B, 2, FALSE), "NÃO MAPEADO"))</f>
        <v/>
      </c>
    </row>
    <row r="1741">
      <c r="A1741" s="2" t="inlineStr">
        <is>
          <t>67945</t>
        </is>
      </c>
      <c r="B1741" s="2" t="inlineStr">
        <is>
          <t>Sicredi SNI</t>
        </is>
      </c>
      <c r="C1741" s="2" t="inlineStr">
        <is>
          <t>08/06/2026</t>
        </is>
      </c>
      <c r="D1741" s="2" t="inlineStr">
        <is>
          <t>08/06/2026</t>
        </is>
      </c>
      <c r="E1741" s="2" t="inlineStr">
        <is>
          <t>PIX</t>
        </is>
      </c>
      <c r="F1741" s="2" t="inlineStr">
        <is>
          <t>Boleto "66823" do cliente "HERNANDES VENANCIO CAMARGO"</t>
        </is>
      </c>
      <c r="G1741" s="2" t="inlineStr">
        <is>
          <t>system</t>
        </is>
      </c>
      <c r="H1741" s="2" t="inlineStr">
        <is>
          <t>02.03.02.01 : Cobrança Bancaria</t>
        </is>
      </c>
      <c r="I1741" s="2" t="n"/>
      <c r="J1741" s="3" t="n">
        <v>-0.49</v>
      </c>
      <c r="K1741" s="2">
        <f>IF(H1741="02.09 : Outras Saídas", IF(OR(ISNUMBER(SEARCH("CHEQUE COMPE SICREDI", F1741)), ISNUMBER(SEARCH("aniversario", F1741)), ISNUMBER(SEARCH("churrasco", F1741)), ISNUMBER(SEARCH("bolo", F1741)), ISNUMBER(SEARCH("SUPERMERCADO", F1741))), "6.1 Despesas Administrativas (Pessoal)", IF(OR(ISNUMBER(SEARCH("DLKNET", F1741)), ISNUMBER(SEARCH("TESTE", F1741))), "6.1 Despesas Administrativas (Gerais)", IFERROR(VLOOKUP(H1741, De_Para!A:B, 2, FALSE), "NÃO MAPEADO"))), IFERROR(VLOOKUP(H1741, De_Para!A:B, 2, FALSE), "NÃO MAPEADO"))</f>
        <v/>
      </c>
    </row>
    <row r="1742">
      <c r="A1742" s="2" t="inlineStr">
        <is>
          <t>67944</t>
        </is>
      </c>
      <c r="B1742" s="2" t="inlineStr">
        <is>
          <t>Sicredi SNI</t>
        </is>
      </c>
      <c r="C1742" s="2" t="inlineStr">
        <is>
          <t>08/06/2026</t>
        </is>
      </c>
      <c r="D1742" s="2" t="inlineStr">
        <is>
          <t>08/06/2026</t>
        </is>
      </c>
      <c r="E1742" s="2" t="inlineStr">
        <is>
          <t>PIX</t>
        </is>
      </c>
      <c r="F1742" s="2" t="inlineStr">
        <is>
          <t>Boleto "66823" do cliente "HERNANDES VENANCIO CAMARGO"</t>
        </is>
      </c>
      <c r="G1742" s="2" t="inlineStr">
        <is>
          <t>system</t>
        </is>
      </c>
      <c r="H1742" s="2" t="inlineStr">
        <is>
          <t>01.01.01 : Mensalidade</t>
        </is>
      </c>
      <c r="I1742" s="3" t="n">
        <v>99.90000000000001</v>
      </c>
      <c r="J1742" s="2" t="n"/>
      <c r="K1742" s="2">
        <f>IF(H1742="02.09 : Outras Saídas", IF(OR(ISNUMBER(SEARCH("CHEQUE COMPE SICREDI", F1742)), ISNUMBER(SEARCH("aniversario", F1742)), ISNUMBER(SEARCH("churrasco", F1742)), ISNUMBER(SEARCH("bolo", F1742)), ISNUMBER(SEARCH("SUPERMERCADO", F1742))), "6.1 Despesas Administrativas (Pessoal)", IF(OR(ISNUMBER(SEARCH("DLKNET", F1742)), ISNUMBER(SEARCH("TESTE", F1742))), "6.1 Despesas Administrativas (Gerais)", IFERROR(VLOOKUP(H1742, De_Para!A:B, 2, FALSE), "NÃO MAPEADO"))), IFERROR(VLOOKUP(H1742, De_Para!A:B, 2, FALSE), "NÃO MAPEADO"))</f>
        <v/>
      </c>
    </row>
    <row r="1743">
      <c r="A1743" s="2" t="inlineStr">
        <is>
          <t>67943</t>
        </is>
      </c>
      <c r="B1743" s="2" t="inlineStr">
        <is>
          <t>Sicredi SNI</t>
        </is>
      </c>
      <c r="C1743" s="2" t="inlineStr">
        <is>
          <t>07/06/2026</t>
        </is>
      </c>
      <c r="D1743" s="2" t="inlineStr">
        <is>
          <t>07/06/2026</t>
        </is>
      </c>
      <c r="E1743" s="2" t="inlineStr">
        <is>
          <t>PIX</t>
        </is>
      </c>
      <c r="F1743" s="2" t="inlineStr">
        <is>
          <t>Boleto "58145" do cliente "LILIANE ELLIS FARINCHO ABRANTES"</t>
        </is>
      </c>
      <c r="G1743" s="2" t="inlineStr">
        <is>
          <t>system</t>
        </is>
      </c>
      <c r="H1743" s="2" t="inlineStr">
        <is>
          <t>02.03.02.01 : Cobrança Bancaria</t>
        </is>
      </c>
      <c r="I1743" s="2" t="n"/>
      <c r="J1743" s="3" t="n">
        <v>-0.49</v>
      </c>
      <c r="K1743" s="2">
        <f>IF(H1743="02.09 : Outras Saídas", IF(OR(ISNUMBER(SEARCH("CHEQUE COMPE SICREDI", F1743)), ISNUMBER(SEARCH("aniversario", F1743)), ISNUMBER(SEARCH("churrasco", F1743)), ISNUMBER(SEARCH("bolo", F1743)), ISNUMBER(SEARCH("SUPERMERCADO", F1743))), "6.1 Despesas Administrativas (Pessoal)", IF(OR(ISNUMBER(SEARCH("DLKNET", F1743)), ISNUMBER(SEARCH("TESTE", F1743))), "6.1 Despesas Administrativas (Gerais)", IFERROR(VLOOKUP(H1743, De_Para!A:B, 2, FALSE), "NÃO MAPEADO"))), IFERROR(VLOOKUP(H1743, De_Para!A:B, 2, FALSE), "NÃO MAPEADO"))</f>
        <v/>
      </c>
    </row>
    <row r="1744">
      <c r="A1744" s="2" t="inlineStr">
        <is>
          <t>67942</t>
        </is>
      </c>
      <c r="B1744" s="2" t="inlineStr">
        <is>
          <t>Sicredi SNI</t>
        </is>
      </c>
      <c r="C1744" s="2" t="inlineStr">
        <is>
          <t>07/06/2026</t>
        </is>
      </c>
      <c r="D1744" s="2" t="inlineStr">
        <is>
          <t>07/06/2026</t>
        </is>
      </c>
      <c r="E1744" s="2" t="inlineStr">
        <is>
          <t>PIX</t>
        </is>
      </c>
      <c r="F1744" s="2" t="inlineStr">
        <is>
          <t>Boleto "58145" do cliente "LILIANE ELLIS FARINCHO ABRANTES"</t>
        </is>
      </c>
      <c r="G1744" s="2" t="inlineStr">
        <is>
          <t>system</t>
        </is>
      </c>
      <c r="H1744" s="2" t="inlineStr">
        <is>
          <t>01.01.01 : Mensalidade</t>
        </is>
      </c>
      <c r="I1744" s="3" t="n">
        <v>105</v>
      </c>
      <c r="J1744" s="2" t="n"/>
      <c r="K1744" s="2">
        <f>IF(H1744="02.09 : Outras Saídas", IF(OR(ISNUMBER(SEARCH("CHEQUE COMPE SICREDI", F1744)), ISNUMBER(SEARCH("aniversario", F1744)), ISNUMBER(SEARCH("churrasco", F1744)), ISNUMBER(SEARCH("bolo", F1744)), ISNUMBER(SEARCH("SUPERMERCADO", F1744))), "6.1 Despesas Administrativas (Pessoal)", IF(OR(ISNUMBER(SEARCH("DLKNET", F1744)), ISNUMBER(SEARCH("TESTE", F1744))), "6.1 Despesas Administrativas (Gerais)", IFERROR(VLOOKUP(H1744, De_Para!A:B, 2, FALSE), "NÃO MAPEADO"))), IFERROR(VLOOKUP(H1744, De_Para!A:B, 2, FALSE), "NÃO MAPEADO"))</f>
        <v/>
      </c>
    </row>
    <row r="1745">
      <c r="A1745" s="2" t="inlineStr">
        <is>
          <t>67941</t>
        </is>
      </c>
      <c r="B1745" s="2" t="inlineStr">
        <is>
          <t>Sicredi SNI</t>
        </is>
      </c>
      <c r="C1745" s="2" t="inlineStr">
        <is>
          <t>07/06/2026</t>
        </is>
      </c>
      <c r="D1745" s="2" t="inlineStr">
        <is>
          <t>07/06/2026</t>
        </is>
      </c>
      <c r="E1745" s="2" t="inlineStr">
        <is>
          <t>PIX</t>
        </is>
      </c>
      <c r="F1745" s="2" t="inlineStr">
        <is>
          <t>Boleto "59990" do cliente "MARIA HELENA XAVIER GABRIEL"</t>
        </is>
      </c>
      <c r="G1745" s="2" t="inlineStr">
        <is>
          <t>system</t>
        </is>
      </c>
      <c r="H1745" s="2" t="inlineStr">
        <is>
          <t>02.03.02.01 : Cobrança Bancaria</t>
        </is>
      </c>
      <c r="I1745" s="2" t="n"/>
      <c r="J1745" s="3" t="n">
        <v>-0.49</v>
      </c>
      <c r="K1745" s="2">
        <f>IF(H1745="02.09 : Outras Saídas", IF(OR(ISNUMBER(SEARCH("CHEQUE COMPE SICREDI", F1745)), ISNUMBER(SEARCH("aniversario", F1745)), ISNUMBER(SEARCH("churrasco", F1745)), ISNUMBER(SEARCH("bolo", F1745)), ISNUMBER(SEARCH("SUPERMERCADO", F1745))), "6.1 Despesas Administrativas (Pessoal)", IF(OR(ISNUMBER(SEARCH("DLKNET", F1745)), ISNUMBER(SEARCH("TESTE", F1745))), "6.1 Despesas Administrativas (Gerais)", IFERROR(VLOOKUP(H1745, De_Para!A:B, 2, FALSE), "NÃO MAPEADO"))), IFERROR(VLOOKUP(H1745, De_Para!A:B, 2, FALSE), "NÃO MAPEADO"))</f>
        <v/>
      </c>
    </row>
    <row r="1746">
      <c r="A1746" s="2" t="inlineStr">
        <is>
          <t>67940</t>
        </is>
      </c>
      <c r="B1746" s="2" t="inlineStr">
        <is>
          <t>Sicredi SNI</t>
        </is>
      </c>
      <c r="C1746" s="2" t="inlineStr">
        <is>
          <t>07/06/2026</t>
        </is>
      </c>
      <c r="D1746" s="2" t="inlineStr">
        <is>
          <t>07/06/2026</t>
        </is>
      </c>
      <c r="E1746" s="2" t="inlineStr">
        <is>
          <t>PIX</t>
        </is>
      </c>
      <c r="F1746" s="2" t="inlineStr">
        <is>
          <t>Boleto "59990" do cliente "MARIA HELENA XAVIER GABRIEL"</t>
        </is>
      </c>
      <c r="G1746" s="2" t="inlineStr">
        <is>
          <t>system</t>
        </is>
      </c>
      <c r="H1746" s="2" t="inlineStr">
        <is>
          <t>01.01.01 : Mensalidade</t>
        </is>
      </c>
      <c r="I1746" s="3" t="n">
        <v>107.38</v>
      </c>
      <c r="J1746" s="2" t="n"/>
      <c r="K1746" s="2">
        <f>IF(H1746="02.09 : Outras Saídas", IF(OR(ISNUMBER(SEARCH("CHEQUE COMPE SICREDI", F1746)), ISNUMBER(SEARCH("aniversario", F1746)), ISNUMBER(SEARCH("churrasco", F1746)), ISNUMBER(SEARCH("bolo", F1746)), ISNUMBER(SEARCH("SUPERMERCADO", F1746))), "6.1 Despesas Administrativas (Pessoal)", IF(OR(ISNUMBER(SEARCH("DLKNET", F1746)), ISNUMBER(SEARCH("TESTE", F1746))), "6.1 Despesas Administrativas (Gerais)", IFERROR(VLOOKUP(H1746, De_Para!A:B, 2, FALSE), "NÃO MAPEADO"))), IFERROR(VLOOKUP(H1746, De_Para!A:B, 2, FALSE), "NÃO MAPEADO"))</f>
        <v/>
      </c>
    </row>
    <row r="1747">
      <c r="A1747" s="2" t="inlineStr">
        <is>
          <t>67939</t>
        </is>
      </c>
      <c r="B1747" s="2" t="inlineStr">
        <is>
          <t>Sicredi SNI</t>
        </is>
      </c>
      <c r="C1747" s="2" t="inlineStr">
        <is>
          <t>07/06/2026</t>
        </is>
      </c>
      <c r="D1747" s="2" t="inlineStr">
        <is>
          <t>07/06/2026</t>
        </is>
      </c>
      <c r="E1747" s="2" t="inlineStr">
        <is>
          <t>PIX</t>
        </is>
      </c>
      <c r="F1747" s="2" t="inlineStr">
        <is>
          <t>Boleto "64650" do cliente "SUELEN CRISTINA DE OLIVEIRA"</t>
        </is>
      </c>
      <c r="G1747" s="2" t="inlineStr">
        <is>
          <t>system</t>
        </is>
      </c>
      <c r="H1747" s="2" t="inlineStr">
        <is>
          <t>02.03.02.01 : Cobrança Bancaria</t>
        </is>
      </c>
      <c r="I1747" s="2" t="n"/>
      <c r="J1747" s="3" t="n">
        <v>-0.49</v>
      </c>
      <c r="K1747" s="2">
        <f>IF(H1747="02.09 : Outras Saídas", IF(OR(ISNUMBER(SEARCH("CHEQUE COMPE SICREDI", F1747)), ISNUMBER(SEARCH("aniversario", F1747)), ISNUMBER(SEARCH("churrasco", F1747)), ISNUMBER(SEARCH("bolo", F1747)), ISNUMBER(SEARCH("SUPERMERCADO", F1747))), "6.1 Despesas Administrativas (Pessoal)", IF(OR(ISNUMBER(SEARCH("DLKNET", F1747)), ISNUMBER(SEARCH("TESTE", F1747))), "6.1 Despesas Administrativas (Gerais)", IFERROR(VLOOKUP(H1747, De_Para!A:B, 2, FALSE), "NÃO MAPEADO"))), IFERROR(VLOOKUP(H1747, De_Para!A:B, 2, FALSE), "NÃO MAPEADO"))</f>
        <v/>
      </c>
    </row>
    <row r="1748">
      <c r="A1748" s="2" t="inlineStr">
        <is>
          <t>67938</t>
        </is>
      </c>
      <c r="B1748" s="2" t="inlineStr">
        <is>
          <t>Sicredi SNI</t>
        </is>
      </c>
      <c r="C1748" s="2" t="inlineStr">
        <is>
          <t>07/06/2026</t>
        </is>
      </c>
      <c r="D1748" s="2" t="inlineStr">
        <is>
          <t>07/06/2026</t>
        </is>
      </c>
      <c r="E1748" s="2" t="inlineStr">
        <is>
          <t>PIX</t>
        </is>
      </c>
      <c r="F1748" s="2" t="inlineStr">
        <is>
          <t>Boleto "64650" do cliente "SUELEN CRISTINA DE OLIVEIRA"</t>
        </is>
      </c>
      <c r="G1748" s="2" t="inlineStr">
        <is>
          <t>system</t>
        </is>
      </c>
      <c r="H1748" s="2" t="inlineStr">
        <is>
          <t>01.01.01 : Mensalidade</t>
        </is>
      </c>
      <c r="I1748" s="3" t="n">
        <v>109.9</v>
      </c>
      <c r="J1748" s="2" t="n"/>
      <c r="K1748" s="2">
        <f>IF(H1748="02.09 : Outras Saídas", IF(OR(ISNUMBER(SEARCH("CHEQUE COMPE SICREDI", F1748)), ISNUMBER(SEARCH("aniversario", F1748)), ISNUMBER(SEARCH("churrasco", F1748)), ISNUMBER(SEARCH("bolo", F1748)), ISNUMBER(SEARCH("SUPERMERCADO", F1748))), "6.1 Despesas Administrativas (Pessoal)", IF(OR(ISNUMBER(SEARCH("DLKNET", F1748)), ISNUMBER(SEARCH("TESTE", F1748))), "6.1 Despesas Administrativas (Gerais)", IFERROR(VLOOKUP(H1748, De_Para!A:B, 2, FALSE), "NÃO MAPEADO"))), IFERROR(VLOOKUP(H1748, De_Para!A:B, 2, FALSE), "NÃO MAPEADO"))</f>
        <v/>
      </c>
    </row>
    <row r="1749">
      <c r="A1749" s="2" t="inlineStr">
        <is>
          <t>67937</t>
        </is>
      </c>
      <c r="B1749" s="2" t="inlineStr">
        <is>
          <t>Sicredi SNI</t>
        </is>
      </c>
      <c r="C1749" s="2" t="inlineStr">
        <is>
          <t>07/06/2026</t>
        </is>
      </c>
      <c r="D1749" s="2" t="inlineStr">
        <is>
          <t>07/06/2026</t>
        </is>
      </c>
      <c r="E1749" s="2" t="inlineStr">
        <is>
          <t>PIX</t>
        </is>
      </c>
      <c r="F1749" s="2" t="inlineStr">
        <is>
          <t>Boleto "62123" do cliente "CLEUZA APARECIDA CARDOSO MONTANHEIRO"</t>
        </is>
      </c>
      <c r="G1749" s="2" t="inlineStr">
        <is>
          <t>system</t>
        </is>
      </c>
      <c r="H1749" s="2" t="inlineStr">
        <is>
          <t>02.03.02.01 : Cobrança Bancaria</t>
        </is>
      </c>
      <c r="I1749" s="2" t="n"/>
      <c r="J1749" s="3" t="n">
        <v>-0.49</v>
      </c>
      <c r="K1749" s="2">
        <f>IF(H1749="02.09 : Outras Saídas", IF(OR(ISNUMBER(SEARCH("CHEQUE COMPE SICREDI", F1749)), ISNUMBER(SEARCH("aniversario", F1749)), ISNUMBER(SEARCH("churrasco", F1749)), ISNUMBER(SEARCH("bolo", F1749)), ISNUMBER(SEARCH("SUPERMERCADO", F1749))), "6.1 Despesas Administrativas (Pessoal)", IF(OR(ISNUMBER(SEARCH("DLKNET", F1749)), ISNUMBER(SEARCH("TESTE", F1749))), "6.1 Despesas Administrativas (Gerais)", IFERROR(VLOOKUP(H1749, De_Para!A:B, 2, FALSE), "NÃO MAPEADO"))), IFERROR(VLOOKUP(H1749, De_Para!A:B, 2, FALSE), "NÃO MAPEADO"))</f>
        <v/>
      </c>
    </row>
    <row r="1750">
      <c r="A1750" s="2" t="inlineStr">
        <is>
          <t>67936</t>
        </is>
      </c>
      <c r="B1750" s="2" t="inlineStr">
        <is>
          <t>Sicredi SNI</t>
        </is>
      </c>
      <c r="C1750" s="2" t="inlineStr">
        <is>
          <t>07/06/2026</t>
        </is>
      </c>
      <c r="D1750" s="2" t="inlineStr">
        <is>
          <t>07/06/2026</t>
        </is>
      </c>
      <c r="E1750" s="2" t="inlineStr">
        <is>
          <t>PIX</t>
        </is>
      </c>
      <c r="F1750" s="2" t="inlineStr">
        <is>
          <t>Boleto "62123" do cliente "CLEUZA APARECIDA CARDOSO MONTANHEIRO"</t>
        </is>
      </c>
      <c r="G1750" s="2" t="inlineStr">
        <is>
          <t>system</t>
        </is>
      </c>
      <c r="H1750" s="2" t="inlineStr">
        <is>
          <t>01.03.01 : Mensalidade</t>
        </is>
      </c>
      <c r="I1750" s="3" t="n">
        <v>105</v>
      </c>
      <c r="J1750" s="2" t="n"/>
      <c r="K1750" s="2">
        <f>IF(H1750="02.09 : Outras Saídas", IF(OR(ISNUMBER(SEARCH("CHEQUE COMPE SICREDI", F1750)), ISNUMBER(SEARCH("aniversario", F1750)), ISNUMBER(SEARCH("churrasco", F1750)), ISNUMBER(SEARCH("bolo", F1750)), ISNUMBER(SEARCH("SUPERMERCADO", F1750))), "6.1 Despesas Administrativas (Pessoal)", IF(OR(ISNUMBER(SEARCH("DLKNET", F1750)), ISNUMBER(SEARCH("TESTE", F1750))), "6.1 Despesas Administrativas (Gerais)", IFERROR(VLOOKUP(H1750, De_Para!A:B, 2, FALSE), "NÃO MAPEADO"))), IFERROR(VLOOKUP(H1750, De_Para!A:B, 2, FALSE), "NÃO MAPEADO"))</f>
        <v/>
      </c>
    </row>
    <row r="1751">
      <c r="A1751" s="2" t="inlineStr">
        <is>
          <t>67935</t>
        </is>
      </c>
      <c r="B1751" s="2" t="inlineStr">
        <is>
          <t>Sicredi SNI</t>
        </is>
      </c>
      <c r="C1751" s="2" t="inlineStr">
        <is>
          <t>07/06/2026</t>
        </is>
      </c>
      <c r="D1751" s="2" t="inlineStr">
        <is>
          <t>07/06/2026</t>
        </is>
      </c>
      <c r="E1751" s="2" t="inlineStr">
        <is>
          <t>PIX</t>
        </is>
      </c>
      <c r="F1751" s="2" t="inlineStr">
        <is>
          <t>Boleto "69038" do cliente "MARIELE DE FATIMA DOS SANTOS CONDE"</t>
        </is>
      </c>
      <c r="G1751" s="2" t="inlineStr">
        <is>
          <t>system</t>
        </is>
      </c>
      <c r="H1751" s="2" t="inlineStr">
        <is>
          <t>02.03.02.01 : Cobrança Bancaria</t>
        </is>
      </c>
      <c r="I1751" s="2" t="n"/>
      <c r="J1751" s="3" t="n">
        <v>-0.49</v>
      </c>
      <c r="K1751" s="2">
        <f>IF(H1751="02.09 : Outras Saídas", IF(OR(ISNUMBER(SEARCH("CHEQUE COMPE SICREDI", F1751)), ISNUMBER(SEARCH("aniversario", F1751)), ISNUMBER(SEARCH("churrasco", F1751)), ISNUMBER(SEARCH("bolo", F1751)), ISNUMBER(SEARCH("SUPERMERCADO", F1751))), "6.1 Despesas Administrativas (Pessoal)", IF(OR(ISNUMBER(SEARCH("DLKNET", F1751)), ISNUMBER(SEARCH("TESTE", F1751))), "6.1 Despesas Administrativas (Gerais)", IFERROR(VLOOKUP(H1751, De_Para!A:B, 2, FALSE), "NÃO MAPEADO"))), IFERROR(VLOOKUP(H1751, De_Para!A:B, 2, FALSE), "NÃO MAPEADO"))</f>
        <v/>
      </c>
    </row>
    <row r="1752">
      <c r="A1752" s="2" t="inlineStr">
        <is>
          <t>67934</t>
        </is>
      </c>
      <c r="B1752" s="2" t="inlineStr">
        <is>
          <t>Sicredi SNI</t>
        </is>
      </c>
      <c r="C1752" s="2" t="inlineStr">
        <is>
          <t>07/06/2026</t>
        </is>
      </c>
      <c r="D1752" s="2" t="inlineStr">
        <is>
          <t>07/06/2026</t>
        </is>
      </c>
      <c r="E1752" s="2" t="inlineStr">
        <is>
          <t>PIX</t>
        </is>
      </c>
      <c r="F1752" s="2" t="inlineStr">
        <is>
          <t>Boleto "69038" do cliente "MARIELE DE FATIMA DOS SANTOS CONDE"</t>
        </is>
      </c>
      <c r="G1752" s="2" t="inlineStr">
        <is>
          <t>system</t>
        </is>
      </c>
      <c r="H1752" s="2" t="inlineStr">
        <is>
          <t>01.01.01 : Mensalidade</t>
        </is>
      </c>
      <c r="I1752" s="3" t="n">
        <v>100</v>
      </c>
      <c r="J1752" s="2" t="n"/>
      <c r="K1752" s="2">
        <f>IF(H1752="02.09 : Outras Saídas", IF(OR(ISNUMBER(SEARCH("CHEQUE COMPE SICREDI", F1752)), ISNUMBER(SEARCH("aniversario", F1752)), ISNUMBER(SEARCH("churrasco", F1752)), ISNUMBER(SEARCH("bolo", F1752)), ISNUMBER(SEARCH("SUPERMERCADO", F1752))), "6.1 Despesas Administrativas (Pessoal)", IF(OR(ISNUMBER(SEARCH("DLKNET", F1752)), ISNUMBER(SEARCH("TESTE", F1752))), "6.1 Despesas Administrativas (Gerais)", IFERROR(VLOOKUP(H1752, De_Para!A:B, 2, FALSE), "NÃO MAPEADO"))), IFERROR(VLOOKUP(H1752, De_Para!A:B, 2, FALSE), "NÃO MAPEADO"))</f>
        <v/>
      </c>
    </row>
    <row r="1753">
      <c r="A1753" s="2" t="inlineStr">
        <is>
          <t>67933</t>
        </is>
      </c>
      <c r="B1753" s="2" t="inlineStr">
        <is>
          <t>Sicredi SNI</t>
        </is>
      </c>
      <c r="C1753" s="2" t="inlineStr">
        <is>
          <t>07/06/2026</t>
        </is>
      </c>
      <c r="D1753" s="2" t="inlineStr">
        <is>
          <t>07/06/2026</t>
        </is>
      </c>
      <c r="E1753" s="2" t="inlineStr">
        <is>
          <t>PIX</t>
        </is>
      </c>
      <c r="F1753" s="2" t="inlineStr">
        <is>
          <t>Boleto "63311" do cliente "IOLANDA FERNANDES LOPES KHATTABI"</t>
        </is>
      </c>
      <c r="G1753" s="2" t="inlineStr">
        <is>
          <t>system</t>
        </is>
      </c>
      <c r="H1753" s="2" t="inlineStr">
        <is>
          <t>02.03.02.01 : Cobrança Bancaria</t>
        </is>
      </c>
      <c r="I1753" s="2" t="n"/>
      <c r="J1753" s="3" t="n">
        <v>-0.49</v>
      </c>
      <c r="K1753" s="2">
        <f>IF(H1753="02.09 : Outras Saídas", IF(OR(ISNUMBER(SEARCH("CHEQUE COMPE SICREDI", F1753)), ISNUMBER(SEARCH("aniversario", F1753)), ISNUMBER(SEARCH("churrasco", F1753)), ISNUMBER(SEARCH("bolo", F1753)), ISNUMBER(SEARCH("SUPERMERCADO", F1753))), "6.1 Despesas Administrativas (Pessoal)", IF(OR(ISNUMBER(SEARCH("DLKNET", F1753)), ISNUMBER(SEARCH("TESTE", F1753))), "6.1 Despesas Administrativas (Gerais)", IFERROR(VLOOKUP(H1753, De_Para!A:B, 2, FALSE), "NÃO MAPEADO"))), IFERROR(VLOOKUP(H1753, De_Para!A:B, 2, FALSE), "NÃO MAPEADO"))</f>
        <v/>
      </c>
    </row>
    <row r="1754">
      <c r="A1754" s="2" t="inlineStr">
        <is>
          <t>67932</t>
        </is>
      </c>
      <c r="B1754" s="2" t="inlineStr">
        <is>
          <t>Sicredi SNI</t>
        </is>
      </c>
      <c r="C1754" s="2" t="inlineStr">
        <is>
          <t>07/06/2026</t>
        </is>
      </c>
      <c r="D1754" s="2" t="inlineStr">
        <is>
          <t>07/06/2026</t>
        </is>
      </c>
      <c r="E1754" s="2" t="inlineStr">
        <is>
          <t>PIX</t>
        </is>
      </c>
      <c r="F1754" s="2" t="inlineStr">
        <is>
          <t>Boleto "63311" do cliente "IOLANDA FERNANDES LOPES KHATTABI"</t>
        </is>
      </c>
      <c r="G1754" s="2" t="inlineStr">
        <is>
          <t>system</t>
        </is>
      </c>
      <c r="H1754" s="2" t="inlineStr">
        <is>
          <t>01.01.01 : Mensalidade</t>
        </is>
      </c>
      <c r="I1754" s="3" t="n">
        <v>104.9</v>
      </c>
      <c r="J1754" s="2" t="n"/>
      <c r="K1754" s="2">
        <f>IF(H1754="02.09 : Outras Saídas", IF(OR(ISNUMBER(SEARCH("CHEQUE COMPE SICREDI", F1754)), ISNUMBER(SEARCH("aniversario", F1754)), ISNUMBER(SEARCH("churrasco", F1754)), ISNUMBER(SEARCH("bolo", F1754)), ISNUMBER(SEARCH("SUPERMERCADO", F1754))), "6.1 Despesas Administrativas (Pessoal)", IF(OR(ISNUMBER(SEARCH("DLKNET", F1754)), ISNUMBER(SEARCH("TESTE", F1754))), "6.1 Despesas Administrativas (Gerais)", IFERROR(VLOOKUP(H1754, De_Para!A:B, 2, FALSE), "NÃO MAPEADO"))), IFERROR(VLOOKUP(H1754, De_Para!A:B, 2, FALSE), "NÃO MAPEADO"))</f>
        <v/>
      </c>
    </row>
    <row r="1755">
      <c r="A1755" s="2" t="inlineStr">
        <is>
          <t>67931</t>
        </is>
      </c>
      <c r="B1755" s="2" t="inlineStr">
        <is>
          <t>Sicredi SNI</t>
        </is>
      </c>
      <c r="C1755" s="2" t="inlineStr">
        <is>
          <t>07/06/2026</t>
        </is>
      </c>
      <c r="D1755" s="2" t="inlineStr">
        <is>
          <t>07/06/2026</t>
        </is>
      </c>
      <c r="E1755" s="2" t="inlineStr">
        <is>
          <t>PIX</t>
        </is>
      </c>
      <c r="F1755" s="2" t="inlineStr">
        <is>
          <t>Boleto "62942" do cliente "JOAO VITOR DE BARROS"</t>
        </is>
      </c>
      <c r="G1755" s="2" t="inlineStr">
        <is>
          <t>system</t>
        </is>
      </c>
      <c r="H1755" s="2" t="inlineStr">
        <is>
          <t>02.03.02.01 : Cobrança Bancaria</t>
        </is>
      </c>
      <c r="I1755" s="2" t="n"/>
      <c r="J1755" s="3" t="n">
        <v>-0.49</v>
      </c>
      <c r="K1755" s="2">
        <f>IF(H1755="02.09 : Outras Saídas", IF(OR(ISNUMBER(SEARCH("CHEQUE COMPE SICREDI", F1755)), ISNUMBER(SEARCH("aniversario", F1755)), ISNUMBER(SEARCH("churrasco", F1755)), ISNUMBER(SEARCH("bolo", F1755)), ISNUMBER(SEARCH("SUPERMERCADO", F1755))), "6.1 Despesas Administrativas (Pessoal)", IF(OR(ISNUMBER(SEARCH("DLKNET", F1755)), ISNUMBER(SEARCH("TESTE", F1755))), "6.1 Despesas Administrativas (Gerais)", IFERROR(VLOOKUP(H1755, De_Para!A:B, 2, FALSE), "NÃO MAPEADO"))), IFERROR(VLOOKUP(H1755, De_Para!A:B, 2, FALSE), "NÃO MAPEADO"))</f>
        <v/>
      </c>
    </row>
    <row r="1756">
      <c r="A1756" s="2" t="inlineStr">
        <is>
          <t>67930</t>
        </is>
      </c>
      <c r="B1756" s="2" t="inlineStr">
        <is>
          <t>Sicredi SNI</t>
        </is>
      </c>
      <c r="C1756" s="2" t="inlineStr">
        <is>
          <t>07/06/2026</t>
        </is>
      </c>
      <c r="D1756" s="2" t="inlineStr">
        <is>
          <t>07/06/2026</t>
        </is>
      </c>
      <c r="E1756" s="2" t="inlineStr">
        <is>
          <t>PIX</t>
        </is>
      </c>
      <c r="F1756" s="2" t="inlineStr">
        <is>
          <t>Boleto "62942" do cliente "JOAO VITOR DE BARROS"</t>
        </is>
      </c>
      <c r="G1756" s="2" t="inlineStr">
        <is>
          <t>system</t>
        </is>
      </c>
      <c r="H1756" s="2" t="inlineStr">
        <is>
          <t>01.01.01 : Mensalidade</t>
        </is>
      </c>
      <c r="I1756" s="3" t="n">
        <v>109.9</v>
      </c>
      <c r="J1756" s="2" t="n"/>
      <c r="K1756" s="2">
        <f>IF(H1756="02.09 : Outras Saídas", IF(OR(ISNUMBER(SEARCH("CHEQUE COMPE SICREDI", F1756)), ISNUMBER(SEARCH("aniversario", F1756)), ISNUMBER(SEARCH("churrasco", F1756)), ISNUMBER(SEARCH("bolo", F1756)), ISNUMBER(SEARCH("SUPERMERCADO", F1756))), "6.1 Despesas Administrativas (Pessoal)", IF(OR(ISNUMBER(SEARCH("DLKNET", F1756)), ISNUMBER(SEARCH("TESTE", F1756))), "6.1 Despesas Administrativas (Gerais)", IFERROR(VLOOKUP(H1756, De_Para!A:B, 2, FALSE), "NÃO MAPEADO"))), IFERROR(VLOOKUP(H1756, De_Para!A:B, 2, FALSE), "NÃO MAPEADO"))</f>
        <v/>
      </c>
    </row>
    <row r="1757">
      <c r="A1757" s="2" t="inlineStr">
        <is>
          <t>67929</t>
        </is>
      </c>
      <c r="B1757" s="2" t="inlineStr">
        <is>
          <t>Sicredi SNI</t>
        </is>
      </c>
      <c r="C1757" s="2" t="inlineStr">
        <is>
          <t>07/06/2026</t>
        </is>
      </c>
      <c r="D1757" s="2" t="inlineStr">
        <is>
          <t>07/06/2026</t>
        </is>
      </c>
      <c r="E1757" s="2" t="inlineStr">
        <is>
          <t>PIX</t>
        </is>
      </c>
      <c r="F1757" s="2" t="inlineStr">
        <is>
          <t>Boleto "64870" do cliente "GUSTAVO ANTONIO MARIANO"</t>
        </is>
      </c>
      <c r="G1757" s="2" t="inlineStr">
        <is>
          <t>system</t>
        </is>
      </c>
      <c r="H1757" s="2" t="inlineStr">
        <is>
          <t>02.03.02.01 : Cobrança Bancaria</t>
        </is>
      </c>
      <c r="I1757" s="2" t="n"/>
      <c r="J1757" s="3" t="n">
        <v>-0.49</v>
      </c>
      <c r="K1757" s="2">
        <f>IF(H1757="02.09 : Outras Saídas", IF(OR(ISNUMBER(SEARCH("CHEQUE COMPE SICREDI", F1757)), ISNUMBER(SEARCH("aniversario", F1757)), ISNUMBER(SEARCH("churrasco", F1757)), ISNUMBER(SEARCH("bolo", F1757)), ISNUMBER(SEARCH("SUPERMERCADO", F1757))), "6.1 Despesas Administrativas (Pessoal)", IF(OR(ISNUMBER(SEARCH("DLKNET", F1757)), ISNUMBER(SEARCH("TESTE", F1757))), "6.1 Despesas Administrativas (Gerais)", IFERROR(VLOOKUP(H1757, De_Para!A:B, 2, FALSE), "NÃO MAPEADO"))), IFERROR(VLOOKUP(H1757, De_Para!A:B, 2, FALSE), "NÃO MAPEADO"))</f>
        <v/>
      </c>
    </row>
    <row r="1758">
      <c r="A1758" s="2" t="inlineStr">
        <is>
          <t>67928</t>
        </is>
      </c>
      <c r="B1758" s="2" t="inlineStr">
        <is>
          <t>Sicredi SNI</t>
        </is>
      </c>
      <c r="C1758" s="2" t="inlineStr">
        <is>
          <t>07/06/2026</t>
        </is>
      </c>
      <c r="D1758" s="2" t="inlineStr">
        <is>
          <t>07/06/2026</t>
        </is>
      </c>
      <c r="E1758" s="2" t="inlineStr">
        <is>
          <t>PIX</t>
        </is>
      </c>
      <c r="F1758" s="2" t="inlineStr">
        <is>
          <t>Boleto "64870" do cliente "GUSTAVO ANTONIO MARIANO"</t>
        </is>
      </c>
      <c r="G1758" s="2" t="inlineStr">
        <is>
          <t>system</t>
        </is>
      </c>
      <c r="H1758" s="2" t="inlineStr">
        <is>
          <t>01.01.01 : Mensalidade</t>
        </is>
      </c>
      <c r="I1758" s="3" t="n">
        <v>104.9</v>
      </c>
      <c r="J1758" s="2" t="n"/>
      <c r="K1758" s="2">
        <f>IF(H1758="02.09 : Outras Saídas", IF(OR(ISNUMBER(SEARCH("CHEQUE COMPE SICREDI", F1758)), ISNUMBER(SEARCH("aniversario", F1758)), ISNUMBER(SEARCH("churrasco", F1758)), ISNUMBER(SEARCH("bolo", F1758)), ISNUMBER(SEARCH("SUPERMERCADO", F1758))), "6.1 Despesas Administrativas (Pessoal)", IF(OR(ISNUMBER(SEARCH("DLKNET", F1758)), ISNUMBER(SEARCH("TESTE", F1758))), "6.1 Despesas Administrativas (Gerais)", IFERROR(VLOOKUP(H1758, De_Para!A:B, 2, FALSE), "NÃO MAPEADO"))), IFERROR(VLOOKUP(H1758, De_Para!A:B, 2, FALSE), "NÃO MAPEADO"))</f>
        <v/>
      </c>
    </row>
    <row r="1759">
      <c r="A1759" s="2" t="inlineStr">
        <is>
          <t>67927</t>
        </is>
      </c>
      <c r="B1759" s="2" t="inlineStr">
        <is>
          <t>Sicredi SNI</t>
        </is>
      </c>
      <c r="C1759" s="2" t="inlineStr">
        <is>
          <t>07/06/2026</t>
        </is>
      </c>
      <c r="D1759" s="2" t="inlineStr">
        <is>
          <t>07/06/2026</t>
        </is>
      </c>
      <c r="E1759" s="2" t="inlineStr">
        <is>
          <t>PIX</t>
        </is>
      </c>
      <c r="F1759" s="2" t="inlineStr">
        <is>
          <t>Boleto "58563" do cliente "PEDRO JOSE BORGES"</t>
        </is>
      </c>
      <c r="G1759" s="2" t="inlineStr">
        <is>
          <t>system</t>
        </is>
      </c>
      <c r="H1759" s="2" t="inlineStr">
        <is>
          <t>02.03.02.01 : Cobrança Bancaria</t>
        </is>
      </c>
      <c r="I1759" s="2" t="n"/>
      <c r="J1759" s="3" t="n">
        <v>-0.49</v>
      </c>
      <c r="K1759" s="2">
        <f>IF(H1759="02.09 : Outras Saídas", IF(OR(ISNUMBER(SEARCH("CHEQUE COMPE SICREDI", F1759)), ISNUMBER(SEARCH("aniversario", F1759)), ISNUMBER(SEARCH("churrasco", F1759)), ISNUMBER(SEARCH("bolo", F1759)), ISNUMBER(SEARCH("SUPERMERCADO", F1759))), "6.1 Despesas Administrativas (Pessoal)", IF(OR(ISNUMBER(SEARCH("DLKNET", F1759)), ISNUMBER(SEARCH("TESTE", F1759))), "6.1 Despesas Administrativas (Gerais)", IFERROR(VLOOKUP(H1759, De_Para!A:B, 2, FALSE), "NÃO MAPEADO"))), IFERROR(VLOOKUP(H1759, De_Para!A:B, 2, FALSE), "NÃO MAPEADO"))</f>
        <v/>
      </c>
    </row>
    <row r="1760">
      <c r="A1760" s="2" t="inlineStr">
        <is>
          <t>67926</t>
        </is>
      </c>
      <c r="B1760" s="2" t="inlineStr">
        <is>
          <t>Sicredi SNI</t>
        </is>
      </c>
      <c r="C1760" s="2" t="inlineStr">
        <is>
          <t>07/06/2026</t>
        </is>
      </c>
      <c r="D1760" s="2" t="inlineStr">
        <is>
          <t>07/06/2026</t>
        </is>
      </c>
      <c r="E1760" s="2" t="inlineStr">
        <is>
          <t>PIX</t>
        </is>
      </c>
      <c r="F1760" s="2" t="inlineStr">
        <is>
          <t>Boleto "58563" do cliente "PEDRO JOSE BORGES"</t>
        </is>
      </c>
      <c r="G1760" s="2" t="inlineStr">
        <is>
          <t>system</t>
        </is>
      </c>
      <c r="H1760" s="2" t="inlineStr">
        <is>
          <t>01.01.01 : Mensalidade</t>
        </is>
      </c>
      <c r="I1760" s="3" t="n">
        <v>105</v>
      </c>
      <c r="J1760" s="2" t="n"/>
      <c r="K1760" s="2">
        <f>IF(H1760="02.09 : Outras Saídas", IF(OR(ISNUMBER(SEARCH("CHEQUE COMPE SICREDI", F1760)), ISNUMBER(SEARCH("aniversario", F1760)), ISNUMBER(SEARCH("churrasco", F1760)), ISNUMBER(SEARCH("bolo", F1760)), ISNUMBER(SEARCH("SUPERMERCADO", F1760))), "6.1 Despesas Administrativas (Pessoal)", IF(OR(ISNUMBER(SEARCH("DLKNET", F1760)), ISNUMBER(SEARCH("TESTE", F1760))), "6.1 Despesas Administrativas (Gerais)", IFERROR(VLOOKUP(H1760, De_Para!A:B, 2, FALSE), "NÃO MAPEADO"))), IFERROR(VLOOKUP(H1760, De_Para!A:B, 2, FALSE), "NÃO MAPEADO"))</f>
        <v/>
      </c>
    </row>
    <row r="1761">
      <c r="A1761" s="2" t="inlineStr">
        <is>
          <t>67925</t>
        </is>
      </c>
      <c r="B1761" s="2" t="inlineStr">
        <is>
          <t>Sicredi SNI</t>
        </is>
      </c>
      <c r="C1761" s="2" t="inlineStr">
        <is>
          <t>06/06/2026</t>
        </is>
      </c>
      <c r="D1761" s="2" t="inlineStr">
        <is>
          <t>06/06/2026</t>
        </is>
      </c>
      <c r="E1761" s="2" t="inlineStr">
        <is>
          <t>PIX</t>
        </is>
      </c>
      <c r="F1761" s="2" t="inlineStr">
        <is>
          <t>Boleto "61357" do cliente "ALEXANDRE DA SILVA MOURA"</t>
        </is>
      </c>
      <c r="G1761" s="2" t="inlineStr">
        <is>
          <t>system</t>
        </is>
      </c>
      <c r="H1761" s="2" t="inlineStr">
        <is>
          <t>02.03.02.01 : Cobrança Bancaria</t>
        </is>
      </c>
      <c r="I1761" s="2" t="n"/>
      <c r="J1761" s="3" t="n">
        <v>-0.49</v>
      </c>
      <c r="K1761" s="2">
        <f>IF(H1761="02.09 : Outras Saídas", IF(OR(ISNUMBER(SEARCH("CHEQUE COMPE SICREDI", F1761)), ISNUMBER(SEARCH("aniversario", F1761)), ISNUMBER(SEARCH("churrasco", F1761)), ISNUMBER(SEARCH("bolo", F1761)), ISNUMBER(SEARCH("SUPERMERCADO", F1761))), "6.1 Despesas Administrativas (Pessoal)", IF(OR(ISNUMBER(SEARCH("DLKNET", F1761)), ISNUMBER(SEARCH("TESTE", F1761))), "6.1 Despesas Administrativas (Gerais)", IFERROR(VLOOKUP(H1761, De_Para!A:B, 2, FALSE), "NÃO MAPEADO"))), IFERROR(VLOOKUP(H1761, De_Para!A:B, 2, FALSE), "NÃO MAPEADO"))</f>
        <v/>
      </c>
    </row>
    <row r="1762">
      <c r="A1762" s="2" t="inlineStr">
        <is>
          <t>67924</t>
        </is>
      </c>
      <c r="B1762" s="2" t="inlineStr">
        <is>
          <t>Sicredi SNI</t>
        </is>
      </c>
      <c r="C1762" s="2" t="inlineStr">
        <is>
          <t>06/06/2026</t>
        </is>
      </c>
      <c r="D1762" s="2" t="inlineStr">
        <is>
          <t>06/06/2026</t>
        </is>
      </c>
      <c r="E1762" s="2" t="inlineStr">
        <is>
          <t>PIX</t>
        </is>
      </c>
      <c r="F1762" s="2" t="inlineStr">
        <is>
          <t>Boleto "61357" do cliente "ALEXANDRE DA SILVA MOURA"</t>
        </is>
      </c>
      <c r="G1762" s="2" t="inlineStr">
        <is>
          <t>system</t>
        </is>
      </c>
      <c r="H1762" s="2" t="inlineStr">
        <is>
          <t>01.01.01 : Mensalidade</t>
        </is>
      </c>
      <c r="I1762" s="3" t="n">
        <v>105</v>
      </c>
      <c r="J1762" s="2" t="n"/>
      <c r="K1762" s="2">
        <f>IF(H1762="02.09 : Outras Saídas", IF(OR(ISNUMBER(SEARCH("CHEQUE COMPE SICREDI", F1762)), ISNUMBER(SEARCH("aniversario", F1762)), ISNUMBER(SEARCH("churrasco", F1762)), ISNUMBER(SEARCH("bolo", F1762)), ISNUMBER(SEARCH("SUPERMERCADO", F1762))), "6.1 Despesas Administrativas (Pessoal)", IF(OR(ISNUMBER(SEARCH("DLKNET", F1762)), ISNUMBER(SEARCH("TESTE", F1762))), "6.1 Despesas Administrativas (Gerais)", IFERROR(VLOOKUP(H1762, De_Para!A:B, 2, FALSE), "NÃO MAPEADO"))), IFERROR(VLOOKUP(H1762, De_Para!A:B, 2, FALSE), "NÃO MAPEADO"))</f>
        <v/>
      </c>
    </row>
    <row r="1763">
      <c r="A1763" s="2" t="inlineStr">
        <is>
          <t>67923</t>
        </is>
      </c>
      <c r="B1763" s="2" t="inlineStr">
        <is>
          <t>Sicredi SNI</t>
        </is>
      </c>
      <c r="C1763" s="2" t="inlineStr">
        <is>
          <t>06/06/2026</t>
        </is>
      </c>
      <c r="D1763" s="2" t="inlineStr">
        <is>
          <t>06/06/2026</t>
        </is>
      </c>
      <c r="E1763" s="2" t="inlineStr">
        <is>
          <t>PIX</t>
        </is>
      </c>
      <c r="F1763" s="2" t="inlineStr">
        <is>
          <t>Boleto "61503" do cliente "DEJAIME VITORINO DE SOUZA"</t>
        </is>
      </c>
      <c r="G1763" s="2" t="inlineStr">
        <is>
          <t>system</t>
        </is>
      </c>
      <c r="H1763" s="2" t="inlineStr">
        <is>
          <t>02.03.02.01 : Cobrança Bancaria</t>
        </is>
      </c>
      <c r="I1763" s="2" t="n"/>
      <c r="J1763" s="3" t="n">
        <v>-0.49</v>
      </c>
      <c r="K1763" s="2">
        <f>IF(H1763="02.09 : Outras Saídas", IF(OR(ISNUMBER(SEARCH("CHEQUE COMPE SICREDI", F1763)), ISNUMBER(SEARCH("aniversario", F1763)), ISNUMBER(SEARCH("churrasco", F1763)), ISNUMBER(SEARCH("bolo", F1763)), ISNUMBER(SEARCH("SUPERMERCADO", F1763))), "6.1 Despesas Administrativas (Pessoal)", IF(OR(ISNUMBER(SEARCH("DLKNET", F1763)), ISNUMBER(SEARCH("TESTE", F1763))), "6.1 Despesas Administrativas (Gerais)", IFERROR(VLOOKUP(H1763, De_Para!A:B, 2, FALSE), "NÃO MAPEADO"))), IFERROR(VLOOKUP(H1763, De_Para!A:B, 2, FALSE), "NÃO MAPEADO"))</f>
        <v/>
      </c>
    </row>
    <row r="1764">
      <c r="A1764" s="2" t="inlineStr">
        <is>
          <t>67922</t>
        </is>
      </c>
      <c r="B1764" s="2" t="inlineStr">
        <is>
          <t>Sicredi SNI</t>
        </is>
      </c>
      <c r="C1764" s="2" t="inlineStr">
        <is>
          <t>06/06/2026</t>
        </is>
      </c>
      <c r="D1764" s="2" t="inlineStr">
        <is>
          <t>06/06/2026</t>
        </is>
      </c>
      <c r="E1764" s="2" t="inlineStr">
        <is>
          <t>PIX</t>
        </is>
      </c>
      <c r="F1764" s="2" t="inlineStr">
        <is>
          <t>Boleto "61503" do cliente "DEJAIME VITORINO DE SOUZA"</t>
        </is>
      </c>
      <c r="G1764" s="2" t="inlineStr">
        <is>
          <t>system</t>
        </is>
      </c>
      <c r="H1764" s="2" t="inlineStr">
        <is>
          <t>01.01.01 : Mensalidade</t>
        </is>
      </c>
      <c r="I1764" s="3" t="n">
        <v>107.34</v>
      </c>
      <c r="J1764" s="2" t="n"/>
      <c r="K1764" s="2">
        <f>IF(H1764="02.09 : Outras Saídas", IF(OR(ISNUMBER(SEARCH("CHEQUE COMPE SICREDI", F1764)), ISNUMBER(SEARCH("aniversario", F1764)), ISNUMBER(SEARCH("churrasco", F1764)), ISNUMBER(SEARCH("bolo", F1764)), ISNUMBER(SEARCH("SUPERMERCADO", F1764))), "6.1 Despesas Administrativas (Pessoal)", IF(OR(ISNUMBER(SEARCH("DLKNET", F1764)), ISNUMBER(SEARCH("TESTE", F1764))), "6.1 Despesas Administrativas (Gerais)", IFERROR(VLOOKUP(H1764, De_Para!A:B, 2, FALSE), "NÃO MAPEADO"))), IFERROR(VLOOKUP(H1764, De_Para!A:B, 2, FALSE), "NÃO MAPEADO"))</f>
        <v/>
      </c>
    </row>
    <row r="1765">
      <c r="A1765" s="2" t="inlineStr">
        <is>
          <t>67921</t>
        </is>
      </c>
      <c r="B1765" s="2" t="inlineStr">
        <is>
          <t>Sicoob</t>
        </is>
      </c>
      <c r="C1765" s="2" t="inlineStr">
        <is>
          <t>06/06/2026</t>
        </is>
      </c>
      <c r="D1765" s="2" t="inlineStr">
        <is>
          <t>05/06/2026</t>
        </is>
      </c>
      <c r="E1765" s="2" t="inlineStr">
        <is>
          <t>Dinheiro</t>
        </is>
      </c>
      <c r="F1765" s="2" t="inlineStr">
        <is>
          <t>Boleto "66051" do cliente "JULIANA APARECIDA DONDORES"</t>
        </is>
      </c>
      <c r="G1765" s="2" t="inlineStr">
        <is>
          <t>system</t>
        </is>
      </c>
      <c r="H1765" s="2" t="inlineStr">
        <is>
          <t>02.03.02.01 : Cobrança Bancaria</t>
        </is>
      </c>
      <c r="I1765" s="2" t="n"/>
      <c r="J1765" s="3" t="n">
        <v>-0.88</v>
      </c>
      <c r="K1765" s="2">
        <f>IF(H1765="02.09 : Outras Saídas", IF(OR(ISNUMBER(SEARCH("CHEQUE COMPE SICREDI", F1765)), ISNUMBER(SEARCH("aniversario", F1765)), ISNUMBER(SEARCH("churrasco", F1765)), ISNUMBER(SEARCH("bolo", F1765)), ISNUMBER(SEARCH("SUPERMERCADO", F1765))), "6.1 Despesas Administrativas (Pessoal)", IF(OR(ISNUMBER(SEARCH("DLKNET", F1765)), ISNUMBER(SEARCH("TESTE", F1765))), "6.1 Despesas Administrativas (Gerais)", IFERROR(VLOOKUP(H1765, De_Para!A:B, 2, FALSE), "NÃO MAPEADO"))), IFERROR(VLOOKUP(H1765, De_Para!A:B, 2, FALSE), "NÃO MAPEADO"))</f>
        <v/>
      </c>
    </row>
    <row r="1766">
      <c r="A1766" s="2" t="inlineStr">
        <is>
          <t>67920</t>
        </is>
      </c>
      <c r="B1766" s="2" t="inlineStr">
        <is>
          <t>Sicoob</t>
        </is>
      </c>
      <c r="C1766" s="2" t="inlineStr">
        <is>
          <t>06/06/2026</t>
        </is>
      </c>
      <c r="D1766" s="2" t="inlineStr">
        <is>
          <t>05/06/2026</t>
        </is>
      </c>
      <c r="E1766" s="2" t="inlineStr">
        <is>
          <t>Dinheiro</t>
        </is>
      </c>
      <c r="F1766" s="2" t="inlineStr">
        <is>
          <t>Boleto "66051" do cliente "JULIANA APARECIDA DONDORES"</t>
        </is>
      </c>
      <c r="G1766" s="2" t="inlineStr">
        <is>
          <t>system</t>
        </is>
      </c>
      <c r="H1766" s="2" t="inlineStr">
        <is>
          <t>01.01.01 : Mensalidade</t>
        </is>
      </c>
      <c r="I1766" s="3" t="n">
        <v>110</v>
      </c>
      <c r="J1766" s="2" t="n"/>
      <c r="K1766" s="2">
        <f>IF(H1766="02.09 : Outras Saídas", IF(OR(ISNUMBER(SEARCH("CHEQUE COMPE SICREDI", F1766)), ISNUMBER(SEARCH("aniversario", F1766)), ISNUMBER(SEARCH("churrasco", F1766)), ISNUMBER(SEARCH("bolo", F1766)), ISNUMBER(SEARCH("SUPERMERCADO", F1766))), "6.1 Despesas Administrativas (Pessoal)", IF(OR(ISNUMBER(SEARCH("DLKNET", F1766)), ISNUMBER(SEARCH("TESTE", F1766))), "6.1 Despesas Administrativas (Gerais)", IFERROR(VLOOKUP(H1766, De_Para!A:B, 2, FALSE), "NÃO MAPEADO"))), IFERROR(VLOOKUP(H1766, De_Para!A:B, 2, FALSE), "NÃO MAPEADO"))</f>
        <v/>
      </c>
    </row>
    <row r="1767">
      <c r="A1767" s="2" t="inlineStr">
        <is>
          <t>67919</t>
        </is>
      </c>
      <c r="B1767" s="2" t="inlineStr">
        <is>
          <t>Sicoob</t>
        </is>
      </c>
      <c r="C1767" s="2" t="inlineStr">
        <is>
          <t>06/06/2026</t>
        </is>
      </c>
      <c r="D1767" s="2" t="inlineStr">
        <is>
          <t>05/06/2026</t>
        </is>
      </c>
      <c r="E1767" s="2" t="inlineStr">
        <is>
          <t>Dinheiro</t>
        </is>
      </c>
      <c r="F1767" s="2" t="inlineStr">
        <is>
          <t>Boleto "65468" do cliente "KAUAN DE OLIVEIRA ROCHA"</t>
        </is>
      </c>
      <c r="G1767" s="2" t="inlineStr">
        <is>
          <t>system</t>
        </is>
      </c>
      <c r="H1767" s="2" t="inlineStr">
        <is>
          <t>02.03.02.01 : Cobrança Bancaria</t>
        </is>
      </c>
      <c r="I1767" s="2" t="n"/>
      <c r="J1767" s="3" t="n">
        <v>-0.88</v>
      </c>
      <c r="K1767" s="2">
        <f>IF(H1767="02.09 : Outras Saídas", IF(OR(ISNUMBER(SEARCH("CHEQUE COMPE SICREDI", F1767)), ISNUMBER(SEARCH("aniversario", F1767)), ISNUMBER(SEARCH("churrasco", F1767)), ISNUMBER(SEARCH("bolo", F1767)), ISNUMBER(SEARCH("SUPERMERCADO", F1767))), "6.1 Despesas Administrativas (Pessoal)", IF(OR(ISNUMBER(SEARCH("DLKNET", F1767)), ISNUMBER(SEARCH("TESTE", F1767))), "6.1 Despesas Administrativas (Gerais)", IFERROR(VLOOKUP(H1767, De_Para!A:B, 2, FALSE), "NÃO MAPEADO"))), IFERROR(VLOOKUP(H1767, De_Para!A:B, 2, FALSE), "NÃO MAPEADO"))</f>
        <v/>
      </c>
    </row>
    <row r="1768">
      <c r="A1768" s="2" t="inlineStr">
        <is>
          <t>67918</t>
        </is>
      </c>
      <c r="B1768" s="2" t="inlineStr">
        <is>
          <t>Sicoob</t>
        </is>
      </c>
      <c r="C1768" s="2" t="inlineStr">
        <is>
          <t>06/06/2026</t>
        </is>
      </c>
      <c r="D1768" s="2" t="inlineStr">
        <is>
          <t>05/06/2026</t>
        </is>
      </c>
      <c r="E1768" s="2" t="inlineStr">
        <is>
          <t>Dinheiro</t>
        </is>
      </c>
      <c r="F1768" s="2" t="inlineStr">
        <is>
          <t>Boleto "65468" do cliente "KAUAN DE OLIVEIRA ROCHA"</t>
        </is>
      </c>
      <c r="G1768" s="2" t="inlineStr">
        <is>
          <t>system</t>
        </is>
      </c>
      <c r="H1768" s="2" t="inlineStr">
        <is>
          <t>01.03.01 : Mensalidade</t>
        </is>
      </c>
      <c r="I1768" s="3" t="n">
        <v>105</v>
      </c>
      <c r="J1768" s="2" t="n"/>
      <c r="K1768" s="2">
        <f>IF(H1768="02.09 : Outras Saídas", IF(OR(ISNUMBER(SEARCH("CHEQUE COMPE SICREDI", F1768)), ISNUMBER(SEARCH("aniversario", F1768)), ISNUMBER(SEARCH("churrasco", F1768)), ISNUMBER(SEARCH("bolo", F1768)), ISNUMBER(SEARCH("SUPERMERCADO", F1768))), "6.1 Despesas Administrativas (Pessoal)", IF(OR(ISNUMBER(SEARCH("DLKNET", F1768)), ISNUMBER(SEARCH("TESTE", F1768))), "6.1 Despesas Administrativas (Gerais)", IFERROR(VLOOKUP(H1768, De_Para!A:B, 2, FALSE), "NÃO MAPEADO"))), IFERROR(VLOOKUP(H1768, De_Para!A:B, 2, FALSE), "NÃO MAPEADO"))</f>
        <v/>
      </c>
    </row>
    <row r="1769">
      <c r="A1769" s="2" t="inlineStr">
        <is>
          <t>67917</t>
        </is>
      </c>
      <c r="B1769" s="2" t="inlineStr">
        <is>
          <t>Sicoob</t>
        </is>
      </c>
      <c r="C1769" s="2" t="inlineStr">
        <is>
          <t>06/06/2026</t>
        </is>
      </c>
      <c r="D1769" s="2" t="inlineStr">
        <is>
          <t>05/06/2026</t>
        </is>
      </c>
      <c r="E1769" s="2" t="inlineStr">
        <is>
          <t>Dinheiro</t>
        </is>
      </c>
      <c r="F1769" s="2" t="inlineStr">
        <is>
          <t>Boleto "65040" do cliente "KAUAN DE OLIVEIRA ROCHA"</t>
        </is>
      </c>
      <c r="G1769" s="2" t="inlineStr">
        <is>
          <t>system</t>
        </is>
      </c>
      <c r="H1769" s="2" t="inlineStr">
        <is>
          <t>02.03.02.01 : Cobrança Bancaria</t>
        </is>
      </c>
      <c r="I1769" s="2" t="n"/>
      <c r="J1769" s="3" t="n">
        <v>-0.88</v>
      </c>
      <c r="K1769" s="2">
        <f>IF(H1769="02.09 : Outras Saídas", IF(OR(ISNUMBER(SEARCH("CHEQUE COMPE SICREDI", F1769)), ISNUMBER(SEARCH("aniversario", F1769)), ISNUMBER(SEARCH("churrasco", F1769)), ISNUMBER(SEARCH("bolo", F1769)), ISNUMBER(SEARCH("SUPERMERCADO", F1769))), "6.1 Despesas Administrativas (Pessoal)", IF(OR(ISNUMBER(SEARCH("DLKNET", F1769)), ISNUMBER(SEARCH("TESTE", F1769))), "6.1 Despesas Administrativas (Gerais)", IFERROR(VLOOKUP(H1769, De_Para!A:B, 2, FALSE), "NÃO MAPEADO"))), IFERROR(VLOOKUP(H1769, De_Para!A:B, 2, FALSE), "NÃO MAPEADO"))</f>
        <v/>
      </c>
    </row>
    <row r="1770">
      <c r="A1770" s="2" t="inlineStr">
        <is>
          <t>67916</t>
        </is>
      </c>
      <c r="B1770" s="2" t="inlineStr">
        <is>
          <t>Sicoob</t>
        </is>
      </c>
      <c r="C1770" s="2" t="inlineStr">
        <is>
          <t>06/06/2026</t>
        </is>
      </c>
      <c r="D1770" s="2" t="inlineStr">
        <is>
          <t>05/06/2026</t>
        </is>
      </c>
      <c r="E1770" s="2" t="inlineStr">
        <is>
          <t>Dinheiro</t>
        </is>
      </c>
      <c r="F1770" s="2" t="inlineStr">
        <is>
          <t>Boleto "65040" do cliente "KAUAN DE OLIVEIRA ROCHA"</t>
        </is>
      </c>
      <c r="G1770" s="2" t="inlineStr">
        <is>
          <t>system</t>
        </is>
      </c>
      <c r="H1770" s="2" t="inlineStr">
        <is>
          <t>01.01.01 : Mensalidade</t>
        </is>
      </c>
      <c r="I1770" s="3" t="n">
        <v>110</v>
      </c>
      <c r="J1770" s="2" t="n"/>
      <c r="K1770" s="2">
        <f>IF(H1770="02.09 : Outras Saídas", IF(OR(ISNUMBER(SEARCH("CHEQUE COMPE SICREDI", F1770)), ISNUMBER(SEARCH("aniversario", F1770)), ISNUMBER(SEARCH("churrasco", F1770)), ISNUMBER(SEARCH("bolo", F1770)), ISNUMBER(SEARCH("SUPERMERCADO", F1770))), "6.1 Despesas Administrativas (Pessoal)", IF(OR(ISNUMBER(SEARCH("DLKNET", F1770)), ISNUMBER(SEARCH("TESTE", F1770))), "6.1 Despesas Administrativas (Gerais)", IFERROR(VLOOKUP(H1770, De_Para!A:B, 2, FALSE), "NÃO MAPEADO"))), IFERROR(VLOOKUP(H1770, De_Para!A:B, 2, FALSE), "NÃO MAPEADO"))</f>
        <v/>
      </c>
    </row>
    <row r="1771">
      <c r="A1771" s="2" t="inlineStr">
        <is>
          <t>67915</t>
        </is>
      </c>
      <c r="B1771" s="2" t="inlineStr">
        <is>
          <t>Sicredi SNI</t>
        </is>
      </c>
      <c r="C1771" s="2" t="inlineStr">
        <is>
          <t>06/06/2026</t>
        </is>
      </c>
      <c r="D1771" s="2" t="inlineStr">
        <is>
          <t>06/06/2026</t>
        </is>
      </c>
      <c r="E1771" s="2" t="inlineStr">
        <is>
          <t>PIX</t>
        </is>
      </c>
      <c r="F1771" s="2" t="inlineStr">
        <is>
          <t>Boleto "60570" do cliente "ODETE CARMELHO COUTINHO"</t>
        </is>
      </c>
      <c r="G1771" s="2" t="inlineStr">
        <is>
          <t>system</t>
        </is>
      </c>
      <c r="H1771" s="2" t="inlineStr">
        <is>
          <t>02.03.02.01 : Cobrança Bancaria</t>
        </is>
      </c>
      <c r="I1771" s="2" t="n"/>
      <c r="J1771" s="3" t="n">
        <v>-0.49</v>
      </c>
      <c r="K1771" s="2">
        <f>IF(H1771="02.09 : Outras Saídas", IF(OR(ISNUMBER(SEARCH("CHEQUE COMPE SICREDI", F1771)), ISNUMBER(SEARCH("aniversario", F1771)), ISNUMBER(SEARCH("churrasco", F1771)), ISNUMBER(SEARCH("bolo", F1771)), ISNUMBER(SEARCH("SUPERMERCADO", F1771))), "6.1 Despesas Administrativas (Pessoal)", IF(OR(ISNUMBER(SEARCH("DLKNET", F1771)), ISNUMBER(SEARCH("TESTE", F1771))), "6.1 Despesas Administrativas (Gerais)", IFERROR(VLOOKUP(H1771, De_Para!A:B, 2, FALSE), "NÃO MAPEADO"))), IFERROR(VLOOKUP(H1771, De_Para!A:B, 2, FALSE), "NÃO MAPEADO"))</f>
        <v/>
      </c>
    </row>
    <row r="1772">
      <c r="A1772" s="2" t="inlineStr">
        <is>
          <t>67914</t>
        </is>
      </c>
      <c r="B1772" s="2" t="inlineStr">
        <is>
          <t>Sicredi SNI</t>
        </is>
      </c>
      <c r="C1772" s="2" t="inlineStr">
        <is>
          <t>06/06/2026</t>
        </is>
      </c>
      <c r="D1772" s="2" t="inlineStr">
        <is>
          <t>06/06/2026</t>
        </is>
      </c>
      <c r="E1772" s="2" t="inlineStr">
        <is>
          <t>PIX</t>
        </is>
      </c>
      <c r="F1772" s="2" t="inlineStr">
        <is>
          <t>Boleto "60570" do cliente "ODETE CARMELHO COUTINHO"</t>
        </is>
      </c>
      <c r="G1772" s="2" t="inlineStr">
        <is>
          <t>system</t>
        </is>
      </c>
      <c r="H1772" s="2" t="inlineStr">
        <is>
          <t>01.01.01 : Mensalidade</t>
        </is>
      </c>
      <c r="I1772" s="3" t="n">
        <v>100</v>
      </c>
      <c r="J1772" s="2" t="n"/>
      <c r="K1772" s="2">
        <f>IF(H1772="02.09 : Outras Saídas", IF(OR(ISNUMBER(SEARCH("CHEQUE COMPE SICREDI", F1772)), ISNUMBER(SEARCH("aniversario", F1772)), ISNUMBER(SEARCH("churrasco", F1772)), ISNUMBER(SEARCH("bolo", F1772)), ISNUMBER(SEARCH("SUPERMERCADO", F1772))), "6.1 Despesas Administrativas (Pessoal)", IF(OR(ISNUMBER(SEARCH("DLKNET", F1772)), ISNUMBER(SEARCH("TESTE", F1772))), "6.1 Despesas Administrativas (Gerais)", IFERROR(VLOOKUP(H1772, De_Para!A:B, 2, FALSE), "NÃO MAPEADO"))), IFERROR(VLOOKUP(H1772, De_Para!A:B, 2, FALSE), "NÃO MAPEADO"))</f>
        <v/>
      </c>
    </row>
    <row r="1773">
      <c r="A1773" s="2" t="inlineStr">
        <is>
          <t>67913</t>
        </is>
      </c>
      <c r="B1773" s="2" t="inlineStr">
        <is>
          <t>Sicredi SNI</t>
        </is>
      </c>
      <c r="C1773" s="2" t="inlineStr">
        <is>
          <t>06/06/2026</t>
        </is>
      </c>
      <c r="D1773" s="2" t="inlineStr">
        <is>
          <t>06/06/2026</t>
        </is>
      </c>
      <c r="E1773" s="2" t="inlineStr">
        <is>
          <t>PIX</t>
        </is>
      </c>
      <c r="F1773" s="2" t="inlineStr">
        <is>
          <t>Boleto "60691" do cliente "ORACY LEITE GONÇALVES"</t>
        </is>
      </c>
      <c r="G1773" s="2" t="inlineStr">
        <is>
          <t>system</t>
        </is>
      </c>
      <c r="H1773" s="2" t="inlineStr">
        <is>
          <t>02.03.02.01 : Cobrança Bancaria</t>
        </is>
      </c>
      <c r="I1773" s="2" t="n"/>
      <c r="J1773" s="3" t="n">
        <v>-0.49</v>
      </c>
      <c r="K1773" s="2">
        <f>IF(H1773="02.09 : Outras Saídas", IF(OR(ISNUMBER(SEARCH("CHEQUE COMPE SICREDI", F1773)), ISNUMBER(SEARCH("aniversario", F1773)), ISNUMBER(SEARCH("churrasco", F1773)), ISNUMBER(SEARCH("bolo", F1773)), ISNUMBER(SEARCH("SUPERMERCADO", F1773))), "6.1 Despesas Administrativas (Pessoal)", IF(OR(ISNUMBER(SEARCH("DLKNET", F1773)), ISNUMBER(SEARCH("TESTE", F1773))), "6.1 Despesas Administrativas (Gerais)", IFERROR(VLOOKUP(H1773, De_Para!A:B, 2, FALSE), "NÃO MAPEADO"))), IFERROR(VLOOKUP(H1773, De_Para!A:B, 2, FALSE), "NÃO MAPEADO"))</f>
        <v/>
      </c>
    </row>
    <row r="1774">
      <c r="A1774" s="2" t="inlineStr">
        <is>
          <t>67912</t>
        </is>
      </c>
      <c r="B1774" s="2" t="inlineStr">
        <is>
          <t>Sicredi SNI</t>
        </is>
      </c>
      <c r="C1774" s="2" t="inlineStr">
        <is>
          <t>06/06/2026</t>
        </is>
      </c>
      <c r="D1774" s="2" t="inlineStr">
        <is>
          <t>06/06/2026</t>
        </is>
      </c>
      <c r="E1774" s="2" t="inlineStr">
        <is>
          <t>PIX</t>
        </is>
      </c>
      <c r="F1774" s="2" t="inlineStr">
        <is>
          <t>Boleto "60691" do cliente "ORACY LEITE GONÇALVES"</t>
        </is>
      </c>
      <c r="G1774" s="2" t="inlineStr">
        <is>
          <t>system</t>
        </is>
      </c>
      <c r="H1774" s="2" t="inlineStr">
        <is>
          <t>01.01.01 : Mensalidade</t>
        </is>
      </c>
      <c r="I1774" s="3" t="n">
        <v>110</v>
      </c>
      <c r="J1774" s="2" t="n"/>
      <c r="K1774" s="2">
        <f>IF(H1774="02.09 : Outras Saídas", IF(OR(ISNUMBER(SEARCH("CHEQUE COMPE SICREDI", F1774)), ISNUMBER(SEARCH("aniversario", F1774)), ISNUMBER(SEARCH("churrasco", F1774)), ISNUMBER(SEARCH("bolo", F1774)), ISNUMBER(SEARCH("SUPERMERCADO", F1774))), "6.1 Despesas Administrativas (Pessoal)", IF(OR(ISNUMBER(SEARCH("DLKNET", F1774)), ISNUMBER(SEARCH("TESTE", F1774))), "6.1 Despesas Administrativas (Gerais)", IFERROR(VLOOKUP(H1774, De_Para!A:B, 2, FALSE), "NÃO MAPEADO"))), IFERROR(VLOOKUP(H1774, De_Para!A:B, 2, FALSE), "NÃO MAPEADO"))</f>
        <v/>
      </c>
    </row>
    <row r="1775">
      <c r="A1775" s="2" t="inlineStr">
        <is>
          <t>67911</t>
        </is>
      </c>
      <c r="B1775" s="2" t="inlineStr">
        <is>
          <t>Sicredi SNI</t>
        </is>
      </c>
      <c r="C1775" s="2" t="inlineStr">
        <is>
          <t>05/06/2026</t>
        </is>
      </c>
      <c r="D1775" s="2" t="inlineStr">
        <is>
          <t>05/06/2026</t>
        </is>
      </c>
      <c r="E1775" s="2" t="inlineStr">
        <is>
          <t>PIX</t>
        </is>
      </c>
      <c r="F1775" s="2" t="inlineStr">
        <is>
          <t>Boleto "63815" do cliente "FABRICIO DA SILVA"</t>
        </is>
      </c>
      <c r="G1775" s="2" t="inlineStr">
        <is>
          <t>system</t>
        </is>
      </c>
      <c r="H1775" s="2" t="inlineStr">
        <is>
          <t>02.03.02.01 : Cobrança Bancaria</t>
        </is>
      </c>
      <c r="I1775" s="2" t="n"/>
      <c r="J1775" s="3" t="n">
        <v>-0.49</v>
      </c>
      <c r="K1775" s="2">
        <f>IF(H1775="02.09 : Outras Saídas", IF(OR(ISNUMBER(SEARCH("CHEQUE COMPE SICREDI", F1775)), ISNUMBER(SEARCH("aniversario", F1775)), ISNUMBER(SEARCH("churrasco", F1775)), ISNUMBER(SEARCH("bolo", F1775)), ISNUMBER(SEARCH("SUPERMERCADO", F1775))), "6.1 Despesas Administrativas (Pessoal)", IF(OR(ISNUMBER(SEARCH("DLKNET", F1775)), ISNUMBER(SEARCH("TESTE", F1775))), "6.1 Despesas Administrativas (Gerais)", IFERROR(VLOOKUP(H1775, De_Para!A:B, 2, FALSE), "NÃO MAPEADO"))), IFERROR(VLOOKUP(H1775, De_Para!A:B, 2, FALSE), "NÃO MAPEADO"))</f>
        <v/>
      </c>
    </row>
    <row r="1776">
      <c r="A1776" s="2" t="inlineStr">
        <is>
          <t>67910</t>
        </is>
      </c>
      <c r="B1776" s="2" t="inlineStr">
        <is>
          <t>Sicredi SNI</t>
        </is>
      </c>
      <c r="C1776" s="2" t="inlineStr">
        <is>
          <t>05/06/2026</t>
        </is>
      </c>
      <c r="D1776" s="2" t="inlineStr">
        <is>
          <t>05/06/2026</t>
        </is>
      </c>
      <c r="E1776" s="2" t="inlineStr">
        <is>
          <t>PIX</t>
        </is>
      </c>
      <c r="F1776" s="2" t="inlineStr">
        <is>
          <t>Boleto "63815" do cliente "FABRICIO DA SILVA"</t>
        </is>
      </c>
      <c r="G1776" s="2" t="inlineStr">
        <is>
          <t>system</t>
        </is>
      </c>
      <c r="H1776" s="2" t="inlineStr">
        <is>
          <t>01.01.01 : Mensalidade</t>
        </is>
      </c>
      <c r="I1776" s="3" t="n">
        <v>109.9</v>
      </c>
      <c r="J1776" s="2" t="n"/>
      <c r="K1776" s="2">
        <f>IF(H1776="02.09 : Outras Saídas", IF(OR(ISNUMBER(SEARCH("CHEQUE COMPE SICREDI", F1776)), ISNUMBER(SEARCH("aniversario", F1776)), ISNUMBER(SEARCH("churrasco", F1776)), ISNUMBER(SEARCH("bolo", F1776)), ISNUMBER(SEARCH("SUPERMERCADO", F1776))), "6.1 Despesas Administrativas (Pessoal)", IF(OR(ISNUMBER(SEARCH("DLKNET", F1776)), ISNUMBER(SEARCH("TESTE", F1776))), "6.1 Despesas Administrativas (Gerais)", IFERROR(VLOOKUP(H1776, De_Para!A:B, 2, FALSE), "NÃO MAPEADO"))), IFERROR(VLOOKUP(H1776, De_Para!A:B, 2, FALSE), "NÃO MAPEADO"))</f>
        <v/>
      </c>
    </row>
    <row r="1777">
      <c r="A1777" s="2" t="inlineStr">
        <is>
          <t>67909</t>
        </is>
      </c>
      <c r="B1777" s="2" t="inlineStr">
        <is>
          <t>Sicredi SNI</t>
        </is>
      </c>
      <c r="C1777" s="2" t="inlineStr">
        <is>
          <t>05/06/2026</t>
        </is>
      </c>
      <c r="D1777" s="2" t="inlineStr">
        <is>
          <t>05/06/2026</t>
        </is>
      </c>
      <c r="E1777" s="2" t="inlineStr">
        <is>
          <t>Dinheiro</t>
        </is>
      </c>
      <c r="F1777" s="2" t="inlineStr">
        <is>
          <t>Boleto "57019" do cliente "VIVIANE BENDITO FELIX"</t>
        </is>
      </c>
      <c r="G1777" s="2" t="inlineStr">
        <is>
          <t>system</t>
        </is>
      </c>
      <c r="H1777" s="2" t="inlineStr">
        <is>
          <t>02.03.02.01 : Cobrança Bancaria</t>
        </is>
      </c>
      <c r="I1777" s="2" t="n"/>
      <c r="J1777" s="3" t="n">
        <v>-1.08</v>
      </c>
      <c r="K1777" s="2">
        <f>IF(H1777="02.09 : Outras Saídas", IF(OR(ISNUMBER(SEARCH("CHEQUE COMPE SICREDI", F1777)), ISNUMBER(SEARCH("aniversario", F1777)), ISNUMBER(SEARCH("churrasco", F1777)), ISNUMBER(SEARCH("bolo", F1777)), ISNUMBER(SEARCH("SUPERMERCADO", F1777))), "6.1 Despesas Administrativas (Pessoal)", IF(OR(ISNUMBER(SEARCH("DLKNET", F1777)), ISNUMBER(SEARCH("TESTE", F1777))), "6.1 Despesas Administrativas (Gerais)", IFERROR(VLOOKUP(H1777, De_Para!A:B, 2, FALSE), "NÃO MAPEADO"))), IFERROR(VLOOKUP(H1777, De_Para!A:B, 2, FALSE), "NÃO MAPEADO"))</f>
        <v/>
      </c>
    </row>
    <row r="1778">
      <c r="A1778" s="2" t="inlineStr">
        <is>
          <t>67908</t>
        </is>
      </c>
      <c r="B1778" s="2" t="inlineStr">
        <is>
          <t>Sicredi SNI</t>
        </is>
      </c>
      <c r="C1778" s="2" t="inlineStr">
        <is>
          <t>05/06/2026</t>
        </is>
      </c>
      <c r="D1778" s="2" t="inlineStr">
        <is>
          <t>05/06/2026</t>
        </is>
      </c>
      <c r="E1778" s="2" t="inlineStr">
        <is>
          <t>Dinheiro</t>
        </is>
      </c>
      <c r="F1778" s="2" t="inlineStr">
        <is>
          <t>Boleto "57019" do cliente "VIVIANE BENDITO FELIX"</t>
        </is>
      </c>
      <c r="G1778" s="2" t="inlineStr">
        <is>
          <t>system</t>
        </is>
      </c>
      <c r="H1778" s="2" t="inlineStr">
        <is>
          <t>01.01.01 : Mensalidade</t>
        </is>
      </c>
      <c r="I1778" s="3" t="n">
        <v>105</v>
      </c>
      <c r="J1778" s="2" t="n"/>
      <c r="K1778" s="2">
        <f>IF(H1778="02.09 : Outras Saídas", IF(OR(ISNUMBER(SEARCH("CHEQUE COMPE SICREDI", F1778)), ISNUMBER(SEARCH("aniversario", F1778)), ISNUMBER(SEARCH("churrasco", F1778)), ISNUMBER(SEARCH("bolo", F1778)), ISNUMBER(SEARCH("SUPERMERCADO", F1778))), "6.1 Despesas Administrativas (Pessoal)", IF(OR(ISNUMBER(SEARCH("DLKNET", F1778)), ISNUMBER(SEARCH("TESTE", F1778))), "6.1 Despesas Administrativas (Gerais)", IFERROR(VLOOKUP(H1778, De_Para!A:B, 2, FALSE), "NÃO MAPEADO"))), IFERROR(VLOOKUP(H1778, De_Para!A:B, 2, FALSE), "NÃO MAPEADO"))</f>
        <v/>
      </c>
    </row>
    <row r="1779">
      <c r="A1779" s="2" t="inlineStr">
        <is>
          <t>67907</t>
        </is>
      </c>
      <c r="B1779" s="2" t="inlineStr">
        <is>
          <t>Sicoob</t>
        </is>
      </c>
      <c r="C1779" s="2" t="inlineStr">
        <is>
          <t>05/06/2026</t>
        </is>
      </c>
      <c r="D1779" s="2" t="inlineStr">
        <is>
          <t>05/06/2026</t>
        </is>
      </c>
      <c r="E1779" s="2" t="inlineStr">
        <is>
          <t>Dinheiro</t>
        </is>
      </c>
      <c r="F1779" s="2" t="inlineStr">
        <is>
          <t>Boleto "60632" do cliente "MARINA SIEBRE DOS SANTOS"</t>
        </is>
      </c>
      <c r="G1779" s="2" t="inlineStr">
        <is>
          <t>system</t>
        </is>
      </c>
      <c r="H1779" s="2" t="inlineStr">
        <is>
          <t>02.03.02.01 : Cobrança Bancaria</t>
        </is>
      </c>
      <c r="I1779" s="2" t="n"/>
      <c r="J1779" s="3" t="n">
        <v>-0.88</v>
      </c>
      <c r="K1779" s="2">
        <f>IF(H1779="02.09 : Outras Saídas", IF(OR(ISNUMBER(SEARCH("CHEQUE COMPE SICREDI", F1779)), ISNUMBER(SEARCH("aniversario", F1779)), ISNUMBER(SEARCH("churrasco", F1779)), ISNUMBER(SEARCH("bolo", F1779)), ISNUMBER(SEARCH("SUPERMERCADO", F1779))), "6.1 Despesas Administrativas (Pessoal)", IF(OR(ISNUMBER(SEARCH("DLKNET", F1779)), ISNUMBER(SEARCH("TESTE", F1779))), "6.1 Despesas Administrativas (Gerais)", IFERROR(VLOOKUP(H1779, De_Para!A:B, 2, FALSE), "NÃO MAPEADO"))), IFERROR(VLOOKUP(H1779, De_Para!A:B, 2, FALSE), "NÃO MAPEADO"))</f>
        <v/>
      </c>
    </row>
    <row r="1780">
      <c r="A1780" s="2" t="inlineStr">
        <is>
          <t>67906</t>
        </is>
      </c>
      <c r="B1780" s="2" t="inlineStr">
        <is>
          <t>Sicoob</t>
        </is>
      </c>
      <c r="C1780" s="2" t="inlineStr">
        <is>
          <t>05/06/2026</t>
        </is>
      </c>
      <c r="D1780" s="2" t="inlineStr">
        <is>
          <t>05/06/2026</t>
        </is>
      </c>
      <c r="E1780" s="2" t="inlineStr">
        <is>
          <t>Dinheiro</t>
        </is>
      </c>
      <c r="F1780" s="2" t="inlineStr">
        <is>
          <t>Boleto "60632" do cliente "MARINA SIEBRE DOS SANTOS"</t>
        </is>
      </c>
      <c r="G1780" s="2" t="inlineStr">
        <is>
          <t>system</t>
        </is>
      </c>
      <c r="H1780" s="2" t="inlineStr">
        <is>
          <t>01.01.01 : Mensalidade</t>
        </is>
      </c>
      <c r="I1780" s="3" t="n">
        <v>105</v>
      </c>
      <c r="J1780" s="2" t="n"/>
      <c r="K1780" s="2">
        <f>IF(H1780="02.09 : Outras Saídas", IF(OR(ISNUMBER(SEARCH("CHEQUE COMPE SICREDI", F1780)), ISNUMBER(SEARCH("aniversario", F1780)), ISNUMBER(SEARCH("churrasco", F1780)), ISNUMBER(SEARCH("bolo", F1780)), ISNUMBER(SEARCH("SUPERMERCADO", F1780))), "6.1 Despesas Administrativas (Pessoal)", IF(OR(ISNUMBER(SEARCH("DLKNET", F1780)), ISNUMBER(SEARCH("TESTE", F1780))), "6.1 Despesas Administrativas (Gerais)", IFERROR(VLOOKUP(H1780, De_Para!A:B, 2, FALSE), "NÃO MAPEADO"))), IFERROR(VLOOKUP(H1780, De_Para!A:B, 2, FALSE), "NÃO MAPEADO"))</f>
        <v/>
      </c>
    </row>
    <row r="1781">
      <c r="A1781" s="2" t="inlineStr">
        <is>
          <t>67905</t>
        </is>
      </c>
      <c r="B1781" s="2" t="inlineStr">
        <is>
          <t>Sicoob</t>
        </is>
      </c>
      <c r="C1781" s="2" t="inlineStr">
        <is>
          <t>05/06/2026</t>
        </is>
      </c>
      <c r="D1781" s="2" t="inlineStr">
        <is>
          <t>05/06/2026</t>
        </is>
      </c>
      <c r="E1781" s="2" t="inlineStr">
        <is>
          <t>Dinheiro</t>
        </is>
      </c>
      <c r="F1781" s="2" t="inlineStr">
        <is>
          <t>Boleto "59696" do cliente "MATILDE DA SILVA FRANCISCO"</t>
        </is>
      </c>
      <c r="G1781" s="2" t="inlineStr">
        <is>
          <t>system</t>
        </is>
      </c>
      <c r="H1781" s="2" t="inlineStr">
        <is>
          <t>02.03.02.01 : Cobrança Bancaria</t>
        </is>
      </c>
      <c r="I1781" s="2" t="n"/>
      <c r="J1781" s="3" t="n">
        <v>-0.88</v>
      </c>
      <c r="K1781" s="2">
        <f>IF(H1781="02.09 : Outras Saídas", IF(OR(ISNUMBER(SEARCH("CHEQUE COMPE SICREDI", F1781)), ISNUMBER(SEARCH("aniversario", F1781)), ISNUMBER(SEARCH("churrasco", F1781)), ISNUMBER(SEARCH("bolo", F1781)), ISNUMBER(SEARCH("SUPERMERCADO", F1781))), "6.1 Despesas Administrativas (Pessoal)", IF(OR(ISNUMBER(SEARCH("DLKNET", F1781)), ISNUMBER(SEARCH("TESTE", F1781))), "6.1 Despesas Administrativas (Gerais)", IFERROR(VLOOKUP(H1781, De_Para!A:B, 2, FALSE), "NÃO MAPEADO"))), IFERROR(VLOOKUP(H1781, De_Para!A:B, 2, FALSE), "NÃO MAPEADO"))</f>
        <v/>
      </c>
    </row>
    <row r="1782">
      <c r="A1782" s="2" t="inlineStr">
        <is>
          <t>67904</t>
        </is>
      </c>
      <c r="B1782" s="2" t="inlineStr">
        <is>
          <t>Sicoob</t>
        </is>
      </c>
      <c r="C1782" s="2" t="inlineStr">
        <is>
          <t>05/06/2026</t>
        </is>
      </c>
      <c r="D1782" s="2" t="inlineStr">
        <is>
          <t>05/06/2026</t>
        </is>
      </c>
      <c r="E1782" s="2" t="inlineStr">
        <is>
          <t>Dinheiro</t>
        </is>
      </c>
      <c r="F1782" s="2" t="inlineStr">
        <is>
          <t>Boleto "59696" do cliente "MATILDE DA SILVA FRANCISCO"</t>
        </is>
      </c>
      <c r="G1782" s="2" t="inlineStr">
        <is>
          <t>system</t>
        </is>
      </c>
      <c r="H1782" s="2" t="inlineStr">
        <is>
          <t>01.01.01 : Mensalidade</t>
        </is>
      </c>
      <c r="I1782" s="3" t="n">
        <v>105</v>
      </c>
      <c r="J1782" s="2" t="n"/>
      <c r="K1782" s="2">
        <f>IF(H1782="02.09 : Outras Saídas", IF(OR(ISNUMBER(SEARCH("CHEQUE COMPE SICREDI", F1782)), ISNUMBER(SEARCH("aniversario", F1782)), ISNUMBER(SEARCH("churrasco", F1782)), ISNUMBER(SEARCH("bolo", F1782)), ISNUMBER(SEARCH("SUPERMERCADO", F1782))), "6.1 Despesas Administrativas (Pessoal)", IF(OR(ISNUMBER(SEARCH("DLKNET", F1782)), ISNUMBER(SEARCH("TESTE", F1782))), "6.1 Despesas Administrativas (Gerais)", IFERROR(VLOOKUP(H1782, De_Para!A:B, 2, FALSE), "NÃO MAPEADO"))), IFERROR(VLOOKUP(H1782, De_Para!A:B, 2, FALSE), "NÃO MAPEADO"))</f>
        <v/>
      </c>
    </row>
    <row r="1783">
      <c r="A1783" s="2" t="inlineStr">
        <is>
          <t>67903</t>
        </is>
      </c>
      <c r="B1783" s="2" t="inlineStr">
        <is>
          <t>Sicoob</t>
        </is>
      </c>
      <c r="C1783" s="2" t="inlineStr">
        <is>
          <t>05/06/2026</t>
        </is>
      </c>
      <c r="D1783" s="2" t="inlineStr">
        <is>
          <t>05/06/2026</t>
        </is>
      </c>
      <c r="E1783" s="2" t="inlineStr">
        <is>
          <t>Dinheiro</t>
        </is>
      </c>
      <c r="F1783" s="2" t="inlineStr">
        <is>
          <t>Boleto "57932" do cliente "TAISA CAROLINE ZAGARE"</t>
        </is>
      </c>
      <c r="G1783" s="2" t="inlineStr">
        <is>
          <t>system</t>
        </is>
      </c>
      <c r="H1783" s="2" t="inlineStr">
        <is>
          <t>02.03.02.01 : Cobrança Bancaria</t>
        </is>
      </c>
      <c r="I1783" s="2" t="n"/>
      <c r="J1783" s="3" t="n">
        <v>-0.88</v>
      </c>
      <c r="K1783" s="2">
        <f>IF(H1783="02.09 : Outras Saídas", IF(OR(ISNUMBER(SEARCH("CHEQUE COMPE SICREDI", F1783)), ISNUMBER(SEARCH("aniversario", F1783)), ISNUMBER(SEARCH("churrasco", F1783)), ISNUMBER(SEARCH("bolo", F1783)), ISNUMBER(SEARCH("SUPERMERCADO", F1783))), "6.1 Despesas Administrativas (Pessoal)", IF(OR(ISNUMBER(SEARCH("DLKNET", F1783)), ISNUMBER(SEARCH("TESTE", F1783))), "6.1 Despesas Administrativas (Gerais)", IFERROR(VLOOKUP(H1783, De_Para!A:B, 2, FALSE), "NÃO MAPEADO"))), IFERROR(VLOOKUP(H1783, De_Para!A:B, 2, FALSE), "NÃO MAPEADO"))</f>
        <v/>
      </c>
    </row>
    <row r="1784">
      <c r="A1784" s="2" t="inlineStr">
        <is>
          <t>67902</t>
        </is>
      </c>
      <c r="B1784" s="2" t="inlineStr">
        <is>
          <t>Sicoob</t>
        </is>
      </c>
      <c r="C1784" s="2" t="inlineStr">
        <is>
          <t>05/06/2026</t>
        </is>
      </c>
      <c r="D1784" s="2" t="inlineStr">
        <is>
          <t>05/06/2026</t>
        </is>
      </c>
      <c r="E1784" s="2" t="inlineStr">
        <is>
          <t>Dinheiro</t>
        </is>
      </c>
      <c r="F1784" s="2" t="inlineStr">
        <is>
          <t>Boleto "57932" do cliente "TAISA CAROLINE ZAGARE"</t>
        </is>
      </c>
      <c r="G1784" s="2" t="inlineStr">
        <is>
          <t>system</t>
        </is>
      </c>
      <c r="H1784" s="2" t="inlineStr">
        <is>
          <t>01.01.01 : Mensalidade</t>
        </is>
      </c>
      <c r="I1784" s="3" t="n">
        <v>105</v>
      </c>
      <c r="J1784" s="2" t="n"/>
      <c r="K1784" s="2">
        <f>IF(H1784="02.09 : Outras Saídas", IF(OR(ISNUMBER(SEARCH("CHEQUE COMPE SICREDI", F1784)), ISNUMBER(SEARCH("aniversario", F1784)), ISNUMBER(SEARCH("churrasco", F1784)), ISNUMBER(SEARCH("bolo", F1784)), ISNUMBER(SEARCH("SUPERMERCADO", F1784))), "6.1 Despesas Administrativas (Pessoal)", IF(OR(ISNUMBER(SEARCH("DLKNET", F1784)), ISNUMBER(SEARCH("TESTE", F1784))), "6.1 Despesas Administrativas (Gerais)", IFERROR(VLOOKUP(H1784, De_Para!A:B, 2, FALSE), "NÃO MAPEADO"))), IFERROR(VLOOKUP(H1784, De_Para!A:B, 2, FALSE), "NÃO MAPEADO"))</f>
        <v/>
      </c>
    </row>
    <row r="1785">
      <c r="A1785" s="2" t="inlineStr">
        <is>
          <t>67901</t>
        </is>
      </c>
      <c r="B1785" s="2" t="inlineStr">
        <is>
          <t>Sicoob</t>
        </is>
      </c>
      <c r="C1785" s="2" t="inlineStr">
        <is>
          <t>05/06/2026</t>
        </is>
      </c>
      <c r="D1785" s="2" t="inlineStr">
        <is>
          <t>05/06/2026</t>
        </is>
      </c>
      <c r="E1785" s="2" t="inlineStr">
        <is>
          <t>Dinheiro</t>
        </is>
      </c>
      <c r="F1785" s="2" t="inlineStr">
        <is>
          <t>Boleto "56375" do cliente "JOEL GONCALVES DA CUNHA"</t>
        </is>
      </c>
      <c r="G1785" s="2" t="inlineStr">
        <is>
          <t>system</t>
        </is>
      </c>
      <c r="H1785" s="2" t="inlineStr">
        <is>
          <t>02.03.02.01 : Cobrança Bancaria</t>
        </is>
      </c>
      <c r="I1785" s="2" t="n"/>
      <c r="J1785" s="3" t="n">
        <v>-0.88</v>
      </c>
      <c r="K1785" s="2">
        <f>IF(H1785="02.09 : Outras Saídas", IF(OR(ISNUMBER(SEARCH("CHEQUE COMPE SICREDI", F1785)), ISNUMBER(SEARCH("aniversario", F1785)), ISNUMBER(SEARCH("churrasco", F1785)), ISNUMBER(SEARCH("bolo", F1785)), ISNUMBER(SEARCH("SUPERMERCADO", F1785))), "6.1 Despesas Administrativas (Pessoal)", IF(OR(ISNUMBER(SEARCH("DLKNET", F1785)), ISNUMBER(SEARCH("TESTE", F1785))), "6.1 Despesas Administrativas (Gerais)", IFERROR(VLOOKUP(H1785, De_Para!A:B, 2, FALSE), "NÃO MAPEADO"))), IFERROR(VLOOKUP(H1785, De_Para!A:B, 2, FALSE), "NÃO MAPEADO"))</f>
        <v/>
      </c>
    </row>
    <row r="1786">
      <c r="A1786" s="2" t="inlineStr">
        <is>
          <t>67900</t>
        </is>
      </c>
      <c r="B1786" s="2" t="inlineStr">
        <is>
          <t>Sicoob</t>
        </is>
      </c>
      <c r="C1786" s="2" t="inlineStr">
        <is>
          <t>05/06/2026</t>
        </is>
      </c>
      <c r="D1786" s="2" t="inlineStr">
        <is>
          <t>05/06/2026</t>
        </is>
      </c>
      <c r="E1786" s="2" t="inlineStr">
        <is>
          <t>Dinheiro</t>
        </is>
      </c>
      <c r="F1786" s="2" t="inlineStr">
        <is>
          <t>Boleto "56375" do cliente "JOEL GONCALVES DA CUNHA"</t>
        </is>
      </c>
      <c r="G1786" s="2" t="inlineStr">
        <is>
          <t>system</t>
        </is>
      </c>
      <c r="H1786" s="2" t="inlineStr">
        <is>
          <t>01.03.01 : Mensalidade</t>
        </is>
      </c>
      <c r="I1786" s="3" t="n">
        <v>105</v>
      </c>
      <c r="J1786" s="2" t="n"/>
      <c r="K1786" s="2">
        <f>IF(H1786="02.09 : Outras Saídas", IF(OR(ISNUMBER(SEARCH("CHEQUE COMPE SICREDI", F1786)), ISNUMBER(SEARCH("aniversario", F1786)), ISNUMBER(SEARCH("churrasco", F1786)), ISNUMBER(SEARCH("bolo", F1786)), ISNUMBER(SEARCH("SUPERMERCADO", F1786))), "6.1 Despesas Administrativas (Pessoal)", IF(OR(ISNUMBER(SEARCH("DLKNET", F1786)), ISNUMBER(SEARCH("TESTE", F1786))), "6.1 Despesas Administrativas (Gerais)", IFERROR(VLOOKUP(H1786, De_Para!A:B, 2, FALSE), "NÃO MAPEADO"))), IFERROR(VLOOKUP(H1786, De_Para!A:B, 2, FALSE), "NÃO MAPEADO"))</f>
        <v/>
      </c>
    </row>
    <row r="1787">
      <c r="A1787" s="2" t="inlineStr">
        <is>
          <t>67899</t>
        </is>
      </c>
      <c r="B1787" s="2" t="inlineStr">
        <is>
          <t>Sicoob</t>
        </is>
      </c>
      <c r="C1787" s="2" t="inlineStr">
        <is>
          <t>05/06/2026</t>
        </is>
      </c>
      <c r="D1787" s="2" t="inlineStr">
        <is>
          <t>05/06/2026</t>
        </is>
      </c>
      <c r="E1787" s="2" t="inlineStr">
        <is>
          <t>Dinheiro</t>
        </is>
      </c>
      <c r="F1787" s="2" t="inlineStr">
        <is>
          <t>Boleto "56169" do cliente "WALDEMAR DOMINGUES"</t>
        </is>
      </c>
      <c r="G1787" s="2" t="inlineStr">
        <is>
          <t>system</t>
        </is>
      </c>
      <c r="H1787" s="2" t="inlineStr">
        <is>
          <t>02.03.02.01 : Cobrança Bancaria</t>
        </is>
      </c>
      <c r="I1787" s="2" t="n"/>
      <c r="J1787" s="3" t="n">
        <v>-0.88</v>
      </c>
      <c r="K1787" s="2">
        <f>IF(H1787="02.09 : Outras Saídas", IF(OR(ISNUMBER(SEARCH("CHEQUE COMPE SICREDI", F1787)), ISNUMBER(SEARCH("aniversario", F1787)), ISNUMBER(SEARCH("churrasco", F1787)), ISNUMBER(SEARCH("bolo", F1787)), ISNUMBER(SEARCH("SUPERMERCADO", F1787))), "6.1 Despesas Administrativas (Pessoal)", IF(OR(ISNUMBER(SEARCH("DLKNET", F1787)), ISNUMBER(SEARCH("TESTE", F1787))), "6.1 Despesas Administrativas (Gerais)", IFERROR(VLOOKUP(H1787, De_Para!A:B, 2, FALSE), "NÃO MAPEADO"))), IFERROR(VLOOKUP(H1787, De_Para!A:B, 2, FALSE), "NÃO MAPEADO"))</f>
        <v/>
      </c>
    </row>
    <row r="1788">
      <c r="A1788" s="2" t="inlineStr">
        <is>
          <t>67898</t>
        </is>
      </c>
      <c r="B1788" s="2" t="inlineStr">
        <is>
          <t>Sicoob</t>
        </is>
      </c>
      <c r="C1788" s="2" t="inlineStr">
        <is>
          <t>05/06/2026</t>
        </is>
      </c>
      <c r="D1788" s="2" t="inlineStr">
        <is>
          <t>05/06/2026</t>
        </is>
      </c>
      <c r="E1788" s="2" t="inlineStr">
        <is>
          <t>Dinheiro</t>
        </is>
      </c>
      <c r="F1788" s="2" t="inlineStr">
        <is>
          <t>Boleto "56169" do cliente "WALDEMAR DOMINGUES"</t>
        </is>
      </c>
      <c r="G1788" s="2" t="inlineStr">
        <is>
          <t>system</t>
        </is>
      </c>
      <c r="H1788" s="2" t="inlineStr">
        <is>
          <t>01.01.01 : Mensalidade</t>
        </is>
      </c>
      <c r="I1788" s="3" t="n">
        <v>105</v>
      </c>
      <c r="J1788" s="2" t="n"/>
      <c r="K1788" s="2">
        <f>IF(H1788="02.09 : Outras Saídas", IF(OR(ISNUMBER(SEARCH("CHEQUE COMPE SICREDI", F1788)), ISNUMBER(SEARCH("aniversario", F1788)), ISNUMBER(SEARCH("churrasco", F1788)), ISNUMBER(SEARCH("bolo", F1788)), ISNUMBER(SEARCH("SUPERMERCADO", F1788))), "6.1 Despesas Administrativas (Pessoal)", IF(OR(ISNUMBER(SEARCH("DLKNET", F1788)), ISNUMBER(SEARCH("TESTE", F1788))), "6.1 Despesas Administrativas (Gerais)", IFERROR(VLOOKUP(H1788, De_Para!A:B, 2, FALSE), "NÃO MAPEADO"))), IFERROR(VLOOKUP(H1788, De_Para!A:B, 2, FALSE), "NÃO MAPEADO"))</f>
        <v/>
      </c>
    </row>
    <row r="1789">
      <c r="A1789" s="2" t="inlineStr">
        <is>
          <t>67897</t>
        </is>
      </c>
      <c r="B1789" s="2" t="inlineStr">
        <is>
          <t>Sicoob</t>
        </is>
      </c>
      <c r="C1789" s="2" t="inlineStr">
        <is>
          <t>05/06/2026</t>
        </is>
      </c>
      <c r="D1789" s="2" t="inlineStr">
        <is>
          <t>05/06/2026</t>
        </is>
      </c>
      <c r="E1789" s="2" t="inlineStr">
        <is>
          <t>Dinheiro</t>
        </is>
      </c>
      <c r="F1789" s="2" t="inlineStr">
        <is>
          <t>Boleto "55694" do cliente "GIOVANE PEREIRA FERREIRA"</t>
        </is>
      </c>
      <c r="G1789" s="2" t="inlineStr">
        <is>
          <t>system</t>
        </is>
      </c>
      <c r="H1789" s="2" t="inlineStr">
        <is>
          <t>02.03.02.01 : Cobrança Bancaria</t>
        </is>
      </c>
      <c r="I1789" s="2" t="n"/>
      <c r="J1789" s="3" t="n">
        <v>-0.88</v>
      </c>
      <c r="K1789" s="2">
        <f>IF(H1789="02.09 : Outras Saídas", IF(OR(ISNUMBER(SEARCH("CHEQUE COMPE SICREDI", F1789)), ISNUMBER(SEARCH("aniversario", F1789)), ISNUMBER(SEARCH("churrasco", F1789)), ISNUMBER(SEARCH("bolo", F1789)), ISNUMBER(SEARCH("SUPERMERCADO", F1789))), "6.1 Despesas Administrativas (Pessoal)", IF(OR(ISNUMBER(SEARCH("DLKNET", F1789)), ISNUMBER(SEARCH("TESTE", F1789))), "6.1 Despesas Administrativas (Gerais)", IFERROR(VLOOKUP(H1789, De_Para!A:B, 2, FALSE), "NÃO MAPEADO"))), IFERROR(VLOOKUP(H1789, De_Para!A:B, 2, FALSE), "NÃO MAPEADO"))</f>
        <v/>
      </c>
    </row>
    <row r="1790">
      <c r="A1790" s="2" t="inlineStr">
        <is>
          <t>67896</t>
        </is>
      </c>
      <c r="B1790" s="2" t="inlineStr">
        <is>
          <t>Sicoob</t>
        </is>
      </c>
      <c r="C1790" s="2" t="inlineStr">
        <is>
          <t>05/06/2026</t>
        </is>
      </c>
      <c r="D1790" s="2" t="inlineStr">
        <is>
          <t>05/06/2026</t>
        </is>
      </c>
      <c r="E1790" s="2" t="inlineStr">
        <is>
          <t>Dinheiro</t>
        </is>
      </c>
      <c r="F1790" s="2" t="inlineStr">
        <is>
          <t>Boleto "55694" do cliente "GIOVANE PEREIRA FERREIRA"</t>
        </is>
      </c>
      <c r="G1790" s="2" t="inlineStr">
        <is>
          <t>system</t>
        </is>
      </c>
      <c r="H1790" s="2" t="inlineStr">
        <is>
          <t>01.01.01 : Mensalidade</t>
        </is>
      </c>
      <c r="I1790" s="3" t="n">
        <v>105</v>
      </c>
      <c r="J1790" s="2" t="n"/>
      <c r="K1790" s="2">
        <f>IF(H1790="02.09 : Outras Saídas", IF(OR(ISNUMBER(SEARCH("CHEQUE COMPE SICREDI", F1790)), ISNUMBER(SEARCH("aniversario", F1790)), ISNUMBER(SEARCH("churrasco", F1790)), ISNUMBER(SEARCH("bolo", F1790)), ISNUMBER(SEARCH("SUPERMERCADO", F1790))), "6.1 Despesas Administrativas (Pessoal)", IF(OR(ISNUMBER(SEARCH("DLKNET", F1790)), ISNUMBER(SEARCH("TESTE", F1790))), "6.1 Despesas Administrativas (Gerais)", IFERROR(VLOOKUP(H1790, De_Para!A:B, 2, FALSE), "NÃO MAPEADO"))), IFERROR(VLOOKUP(H1790, De_Para!A:B, 2, FALSE), "NÃO MAPEADO"))</f>
        <v/>
      </c>
    </row>
    <row r="1791">
      <c r="A1791" s="2" t="inlineStr">
        <is>
          <t>67895</t>
        </is>
      </c>
      <c r="B1791" s="2" t="inlineStr">
        <is>
          <t>Sicoob</t>
        </is>
      </c>
      <c r="C1791" s="2" t="inlineStr">
        <is>
          <t>05/06/2026</t>
        </is>
      </c>
      <c r="D1791" s="2" t="inlineStr">
        <is>
          <t>05/06/2026</t>
        </is>
      </c>
      <c r="E1791" s="2" t="inlineStr">
        <is>
          <t>Dinheiro</t>
        </is>
      </c>
      <c r="F1791" s="2" t="inlineStr">
        <is>
          <t>Boleto "67387" do cliente "DORIVAL MODESTO DA SILVA"</t>
        </is>
      </c>
      <c r="G1791" s="2" t="inlineStr">
        <is>
          <t>system</t>
        </is>
      </c>
      <c r="H1791" s="2" t="inlineStr">
        <is>
          <t>02.03.02.01 : Cobrança Bancaria</t>
        </is>
      </c>
      <c r="I1791" s="2" t="n"/>
      <c r="J1791" s="3" t="n">
        <v>-0.88</v>
      </c>
      <c r="K1791" s="2">
        <f>IF(H1791="02.09 : Outras Saídas", IF(OR(ISNUMBER(SEARCH("CHEQUE COMPE SICREDI", F1791)), ISNUMBER(SEARCH("aniversario", F1791)), ISNUMBER(SEARCH("churrasco", F1791)), ISNUMBER(SEARCH("bolo", F1791)), ISNUMBER(SEARCH("SUPERMERCADO", F1791))), "6.1 Despesas Administrativas (Pessoal)", IF(OR(ISNUMBER(SEARCH("DLKNET", F1791)), ISNUMBER(SEARCH("TESTE", F1791))), "6.1 Despesas Administrativas (Gerais)", IFERROR(VLOOKUP(H1791, De_Para!A:B, 2, FALSE), "NÃO MAPEADO"))), IFERROR(VLOOKUP(H1791, De_Para!A:B, 2, FALSE), "NÃO MAPEADO"))</f>
        <v/>
      </c>
    </row>
    <row r="1792">
      <c r="A1792" s="2" t="inlineStr">
        <is>
          <t>67894</t>
        </is>
      </c>
      <c r="B1792" s="2" t="inlineStr">
        <is>
          <t>Sicoob</t>
        </is>
      </c>
      <c r="C1792" s="2" t="inlineStr">
        <is>
          <t>05/06/2026</t>
        </is>
      </c>
      <c r="D1792" s="2" t="inlineStr">
        <is>
          <t>05/06/2026</t>
        </is>
      </c>
      <c r="E1792" s="2" t="inlineStr">
        <is>
          <t>Dinheiro</t>
        </is>
      </c>
      <c r="F1792" s="2" t="inlineStr">
        <is>
          <t>Boleto "67387" do cliente "DORIVAL MODESTO DA SILVA"</t>
        </is>
      </c>
      <c r="G1792" s="2" t="inlineStr">
        <is>
          <t>system</t>
        </is>
      </c>
      <c r="H1792" s="2" t="inlineStr">
        <is>
          <t>01.01.01 : Mensalidade</t>
        </is>
      </c>
      <c r="I1792" s="3" t="n">
        <v>100</v>
      </c>
      <c r="J1792" s="2" t="n"/>
      <c r="K1792" s="2">
        <f>IF(H1792="02.09 : Outras Saídas", IF(OR(ISNUMBER(SEARCH("CHEQUE COMPE SICREDI", F1792)), ISNUMBER(SEARCH("aniversario", F1792)), ISNUMBER(SEARCH("churrasco", F1792)), ISNUMBER(SEARCH("bolo", F1792)), ISNUMBER(SEARCH("SUPERMERCADO", F1792))), "6.1 Despesas Administrativas (Pessoal)", IF(OR(ISNUMBER(SEARCH("DLKNET", F1792)), ISNUMBER(SEARCH("TESTE", F1792))), "6.1 Despesas Administrativas (Gerais)", IFERROR(VLOOKUP(H1792, De_Para!A:B, 2, FALSE), "NÃO MAPEADO"))), IFERROR(VLOOKUP(H1792, De_Para!A:B, 2, FALSE), "NÃO MAPEADO"))</f>
        <v/>
      </c>
    </row>
    <row r="1793">
      <c r="A1793" s="2" t="inlineStr">
        <is>
          <t>67893</t>
        </is>
      </c>
      <c r="B1793" s="2" t="inlineStr">
        <is>
          <t>Sicoob</t>
        </is>
      </c>
      <c r="C1793" s="2" t="inlineStr">
        <is>
          <t>05/06/2026</t>
        </is>
      </c>
      <c r="D1793" s="2" t="inlineStr">
        <is>
          <t>05/06/2026</t>
        </is>
      </c>
      <c r="E1793" s="2" t="inlineStr">
        <is>
          <t>Dinheiro</t>
        </is>
      </c>
      <c r="F1793" s="2" t="inlineStr">
        <is>
          <t>Boleto "66713" do cliente "THAIS VITÓRIA SANTOS"</t>
        </is>
      </c>
      <c r="G1793" s="2" t="inlineStr">
        <is>
          <t>system</t>
        </is>
      </c>
      <c r="H1793" s="2" t="inlineStr">
        <is>
          <t>02.03.02.01 : Cobrança Bancaria</t>
        </is>
      </c>
      <c r="I1793" s="2" t="n"/>
      <c r="J1793" s="3" t="n">
        <v>-0.88</v>
      </c>
      <c r="K1793" s="2">
        <f>IF(H1793="02.09 : Outras Saídas", IF(OR(ISNUMBER(SEARCH("CHEQUE COMPE SICREDI", F1793)), ISNUMBER(SEARCH("aniversario", F1793)), ISNUMBER(SEARCH("churrasco", F1793)), ISNUMBER(SEARCH("bolo", F1793)), ISNUMBER(SEARCH("SUPERMERCADO", F1793))), "6.1 Despesas Administrativas (Pessoal)", IF(OR(ISNUMBER(SEARCH("DLKNET", F1793)), ISNUMBER(SEARCH("TESTE", F1793))), "6.1 Despesas Administrativas (Gerais)", IFERROR(VLOOKUP(H1793, De_Para!A:B, 2, FALSE), "NÃO MAPEADO"))), IFERROR(VLOOKUP(H1793, De_Para!A:B, 2, FALSE), "NÃO MAPEADO"))</f>
        <v/>
      </c>
    </row>
    <row r="1794">
      <c r="A1794" s="2" t="inlineStr">
        <is>
          <t>67892</t>
        </is>
      </c>
      <c r="B1794" s="2" t="inlineStr">
        <is>
          <t>Sicoob</t>
        </is>
      </c>
      <c r="C1794" s="2" t="inlineStr">
        <is>
          <t>05/06/2026</t>
        </is>
      </c>
      <c r="D1794" s="2" t="inlineStr">
        <is>
          <t>05/06/2026</t>
        </is>
      </c>
      <c r="E1794" s="2" t="inlineStr">
        <is>
          <t>Dinheiro</t>
        </is>
      </c>
      <c r="F1794" s="2" t="inlineStr">
        <is>
          <t>Boleto "66713" do cliente "THAIS VITÓRIA SANTOS"</t>
        </is>
      </c>
      <c r="G1794" s="2" t="inlineStr">
        <is>
          <t>system</t>
        </is>
      </c>
      <c r="H1794" s="2" t="inlineStr">
        <is>
          <t>01.01.01 : Mensalidade</t>
        </is>
      </c>
      <c r="I1794" s="3" t="n">
        <v>104.9</v>
      </c>
      <c r="J1794" s="2" t="n"/>
      <c r="K1794" s="2">
        <f>IF(H1794="02.09 : Outras Saídas", IF(OR(ISNUMBER(SEARCH("CHEQUE COMPE SICREDI", F1794)), ISNUMBER(SEARCH("aniversario", F1794)), ISNUMBER(SEARCH("churrasco", F1794)), ISNUMBER(SEARCH("bolo", F1794)), ISNUMBER(SEARCH("SUPERMERCADO", F1794))), "6.1 Despesas Administrativas (Pessoal)", IF(OR(ISNUMBER(SEARCH("DLKNET", F1794)), ISNUMBER(SEARCH("TESTE", F1794))), "6.1 Despesas Administrativas (Gerais)", IFERROR(VLOOKUP(H1794, De_Para!A:B, 2, FALSE), "NÃO MAPEADO"))), IFERROR(VLOOKUP(H1794, De_Para!A:B, 2, FALSE), "NÃO MAPEADO"))</f>
        <v/>
      </c>
    </row>
    <row r="1795">
      <c r="A1795" s="2" t="inlineStr">
        <is>
          <t>67891</t>
        </is>
      </c>
      <c r="B1795" s="2" t="inlineStr">
        <is>
          <t>Sicoob</t>
        </is>
      </c>
      <c r="C1795" s="2" t="inlineStr">
        <is>
          <t>05/06/2026</t>
        </is>
      </c>
      <c r="D1795" s="2" t="inlineStr">
        <is>
          <t>05/06/2026</t>
        </is>
      </c>
      <c r="E1795" s="2" t="inlineStr">
        <is>
          <t>Dinheiro</t>
        </is>
      </c>
      <c r="F1795" s="2" t="inlineStr">
        <is>
          <t>Boleto "63604" do cliente "VALDIR MALAQUIAS  DO PRADO"</t>
        </is>
      </c>
      <c r="G1795" s="2" t="inlineStr">
        <is>
          <t>system</t>
        </is>
      </c>
      <c r="H1795" s="2" t="inlineStr">
        <is>
          <t>02.03.02.01 : Cobrança Bancaria</t>
        </is>
      </c>
      <c r="I1795" s="2" t="n"/>
      <c r="J1795" s="3" t="n">
        <v>-0.88</v>
      </c>
      <c r="K1795" s="2">
        <f>IF(H1795="02.09 : Outras Saídas", IF(OR(ISNUMBER(SEARCH("CHEQUE COMPE SICREDI", F1795)), ISNUMBER(SEARCH("aniversario", F1795)), ISNUMBER(SEARCH("churrasco", F1795)), ISNUMBER(SEARCH("bolo", F1795)), ISNUMBER(SEARCH("SUPERMERCADO", F1795))), "6.1 Despesas Administrativas (Pessoal)", IF(OR(ISNUMBER(SEARCH("DLKNET", F1795)), ISNUMBER(SEARCH("TESTE", F1795))), "6.1 Despesas Administrativas (Gerais)", IFERROR(VLOOKUP(H1795, De_Para!A:B, 2, FALSE), "NÃO MAPEADO"))), IFERROR(VLOOKUP(H1795, De_Para!A:B, 2, FALSE), "NÃO MAPEADO"))</f>
        <v/>
      </c>
    </row>
    <row r="1796">
      <c r="A1796" s="2" t="inlineStr">
        <is>
          <t>67890</t>
        </is>
      </c>
      <c r="B1796" s="2" t="inlineStr">
        <is>
          <t>Sicoob</t>
        </is>
      </c>
      <c r="C1796" s="2" t="inlineStr">
        <is>
          <t>05/06/2026</t>
        </is>
      </c>
      <c r="D1796" s="2" t="inlineStr">
        <is>
          <t>05/06/2026</t>
        </is>
      </c>
      <c r="E1796" s="2" t="inlineStr">
        <is>
          <t>Dinheiro</t>
        </is>
      </c>
      <c r="F1796" s="2" t="inlineStr">
        <is>
          <t>Boleto "63604" do cliente "VALDIR MALAQUIAS  DO PRADO"</t>
        </is>
      </c>
      <c r="G1796" s="2" t="inlineStr">
        <is>
          <t>system</t>
        </is>
      </c>
      <c r="H1796" s="2" t="inlineStr">
        <is>
          <t>01.01.01 : Mensalidade</t>
        </is>
      </c>
      <c r="I1796" s="3" t="n">
        <v>104.9</v>
      </c>
      <c r="J1796" s="2" t="n"/>
      <c r="K1796" s="2">
        <f>IF(H1796="02.09 : Outras Saídas", IF(OR(ISNUMBER(SEARCH("CHEQUE COMPE SICREDI", F1796)), ISNUMBER(SEARCH("aniversario", F1796)), ISNUMBER(SEARCH("churrasco", F1796)), ISNUMBER(SEARCH("bolo", F1796)), ISNUMBER(SEARCH("SUPERMERCADO", F1796))), "6.1 Despesas Administrativas (Pessoal)", IF(OR(ISNUMBER(SEARCH("DLKNET", F1796)), ISNUMBER(SEARCH("TESTE", F1796))), "6.1 Despesas Administrativas (Gerais)", IFERROR(VLOOKUP(H1796, De_Para!A:B, 2, FALSE), "NÃO MAPEADO"))), IFERROR(VLOOKUP(H1796, De_Para!A:B, 2, FALSE), "NÃO MAPEADO"))</f>
        <v/>
      </c>
    </row>
    <row r="1797">
      <c r="A1797" s="2" t="inlineStr">
        <is>
          <t>67889</t>
        </is>
      </c>
      <c r="B1797" s="2" t="inlineStr">
        <is>
          <t>Sicoob</t>
        </is>
      </c>
      <c r="C1797" s="2" t="inlineStr">
        <is>
          <t>05/06/2026</t>
        </is>
      </c>
      <c r="D1797" s="2" t="inlineStr">
        <is>
          <t>05/06/2026</t>
        </is>
      </c>
      <c r="E1797" s="2" t="inlineStr">
        <is>
          <t>Dinheiro</t>
        </is>
      </c>
      <c r="F1797" s="2" t="inlineStr">
        <is>
          <t>Boleto "63557" do cliente "MARIA EDUARDA SILVA DUTRA"</t>
        </is>
      </c>
      <c r="G1797" s="2" t="inlineStr">
        <is>
          <t>system</t>
        </is>
      </c>
      <c r="H1797" s="2" t="inlineStr">
        <is>
          <t>02.03.02.01 : Cobrança Bancaria</t>
        </is>
      </c>
      <c r="I1797" s="2" t="n"/>
      <c r="J1797" s="3" t="n">
        <v>-0.88</v>
      </c>
      <c r="K1797" s="2">
        <f>IF(H1797="02.09 : Outras Saídas", IF(OR(ISNUMBER(SEARCH("CHEQUE COMPE SICREDI", F1797)), ISNUMBER(SEARCH("aniversario", F1797)), ISNUMBER(SEARCH("churrasco", F1797)), ISNUMBER(SEARCH("bolo", F1797)), ISNUMBER(SEARCH("SUPERMERCADO", F1797))), "6.1 Despesas Administrativas (Pessoal)", IF(OR(ISNUMBER(SEARCH("DLKNET", F1797)), ISNUMBER(SEARCH("TESTE", F1797))), "6.1 Despesas Administrativas (Gerais)", IFERROR(VLOOKUP(H1797, De_Para!A:B, 2, FALSE), "NÃO MAPEADO"))), IFERROR(VLOOKUP(H1797, De_Para!A:B, 2, FALSE), "NÃO MAPEADO"))</f>
        <v/>
      </c>
    </row>
    <row r="1798">
      <c r="A1798" s="2" t="inlineStr">
        <is>
          <t>67888</t>
        </is>
      </c>
      <c r="B1798" s="2" t="inlineStr">
        <is>
          <t>Sicoob</t>
        </is>
      </c>
      <c r="C1798" s="2" t="inlineStr">
        <is>
          <t>05/06/2026</t>
        </is>
      </c>
      <c r="D1798" s="2" t="inlineStr">
        <is>
          <t>05/06/2026</t>
        </is>
      </c>
      <c r="E1798" s="2" t="inlineStr">
        <is>
          <t>Dinheiro</t>
        </is>
      </c>
      <c r="F1798" s="2" t="inlineStr">
        <is>
          <t>Boleto "63557" do cliente "MARIA EDUARDA SILVA DUTRA"</t>
        </is>
      </c>
      <c r="G1798" s="2" t="inlineStr">
        <is>
          <t>system</t>
        </is>
      </c>
      <c r="H1798" s="2" t="inlineStr">
        <is>
          <t>01.01.01 : Mensalidade</t>
        </is>
      </c>
      <c r="I1798" s="3" t="n">
        <v>104.9</v>
      </c>
      <c r="J1798" s="2" t="n"/>
      <c r="K1798" s="2">
        <f>IF(H1798="02.09 : Outras Saídas", IF(OR(ISNUMBER(SEARCH("CHEQUE COMPE SICREDI", F1798)), ISNUMBER(SEARCH("aniversario", F1798)), ISNUMBER(SEARCH("churrasco", F1798)), ISNUMBER(SEARCH("bolo", F1798)), ISNUMBER(SEARCH("SUPERMERCADO", F1798))), "6.1 Despesas Administrativas (Pessoal)", IF(OR(ISNUMBER(SEARCH("DLKNET", F1798)), ISNUMBER(SEARCH("TESTE", F1798))), "6.1 Despesas Administrativas (Gerais)", IFERROR(VLOOKUP(H1798, De_Para!A:B, 2, FALSE), "NÃO MAPEADO"))), IFERROR(VLOOKUP(H1798, De_Para!A:B, 2, FALSE), "NÃO MAPEADO"))</f>
        <v/>
      </c>
    </row>
    <row r="1799">
      <c r="A1799" s="2" t="inlineStr">
        <is>
          <t>67887</t>
        </is>
      </c>
      <c r="B1799" s="2" t="inlineStr">
        <is>
          <t>Sicredi SNI</t>
        </is>
      </c>
      <c r="C1799" s="2" t="inlineStr">
        <is>
          <t>05/06/2026</t>
        </is>
      </c>
      <c r="D1799" s="2" t="inlineStr">
        <is>
          <t>05/06/2026</t>
        </is>
      </c>
      <c r="E1799" s="2" t="inlineStr">
        <is>
          <t>PIX</t>
        </is>
      </c>
      <c r="F1799" s="2" t="inlineStr">
        <is>
          <t>Boleto "63640" do cliente "ELIS CRISTINA RAMOS DANIEL"</t>
        </is>
      </c>
      <c r="G1799" s="2" t="inlineStr">
        <is>
          <t>system</t>
        </is>
      </c>
      <c r="H1799" s="2" t="inlineStr">
        <is>
          <t>02.03.02.01 : Cobrança Bancaria</t>
        </is>
      </c>
      <c r="I1799" s="2" t="n"/>
      <c r="J1799" s="3" t="n">
        <v>-0.49</v>
      </c>
      <c r="K1799" s="2">
        <f>IF(H1799="02.09 : Outras Saídas", IF(OR(ISNUMBER(SEARCH("CHEQUE COMPE SICREDI", F1799)), ISNUMBER(SEARCH("aniversario", F1799)), ISNUMBER(SEARCH("churrasco", F1799)), ISNUMBER(SEARCH("bolo", F1799)), ISNUMBER(SEARCH("SUPERMERCADO", F1799))), "6.1 Despesas Administrativas (Pessoal)", IF(OR(ISNUMBER(SEARCH("DLKNET", F1799)), ISNUMBER(SEARCH("TESTE", F1799))), "6.1 Despesas Administrativas (Gerais)", IFERROR(VLOOKUP(H1799, De_Para!A:B, 2, FALSE), "NÃO MAPEADO"))), IFERROR(VLOOKUP(H1799, De_Para!A:B, 2, FALSE), "NÃO MAPEADO"))</f>
        <v/>
      </c>
    </row>
    <row r="1800">
      <c r="A1800" s="2" t="inlineStr">
        <is>
          <t>67886</t>
        </is>
      </c>
      <c r="B1800" s="2" t="inlineStr">
        <is>
          <t>Sicredi SNI</t>
        </is>
      </c>
      <c r="C1800" s="2" t="inlineStr">
        <is>
          <t>05/06/2026</t>
        </is>
      </c>
      <c r="D1800" s="2" t="inlineStr">
        <is>
          <t>05/06/2026</t>
        </is>
      </c>
      <c r="E1800" s="2" t="inlineStr">
        <is>
          <t>PIX</t>
        </is>
      </c>
      <c r="F1800" s="2" t="inlineStr">
        <is>
          <t>Boleto "63640" do cliente "ELIS CRISTINA RAMOS DANIEL"</t>
        </is>
      </c>
      <c r="G1800" s="2" t="inlineStr">
        <is>
          <t>system</t>
        </is>
      </c>
      <c r="H1800" s="2" t="inlineStr">
        <is>
          <t>01.01.01 : Mensalidade</t>
        </is>
      </c>
      <c r="I1800" s="3" t="n">
        <v>100</v>
      </c>
      <c r="J1800" s="2" t="n"/>
      <c r="K1800" s="2">
        <f>IF(H1800="02.09 : Outras Saídas", IF(OR(ISNUMBER(SEARCH("CHEQUE COMPE SICREDI", F1800)), ISNUMBER(SEARCH("aniversario", F1800)), ISNUMBER(SEARCH("churrasco", F1800)), ISNUMBER(SEARCH("bolo", F1800)), ISNUMBER(SEARCH("SUPERMERCADO", F1800))), "6.1 Despesas Administrativas (Pessoal)", IF(OR(ISNUMBER(SEARCH("DLKNET", F1800)), ISNUMBER(SEARCH("TESTE", F1800))), "6.1 Despesas Administrativas (Gerais)", IFERROR(VLOOKUP(H1800, De_Para!A:B, 2, FALSE), "NÃO MAPEADO"))), IFERROR(VLOOKUP(H1800, De_Para!A:B, 2, FALSE), "NÃO MAPEADO"))</f>
        <v/>
      </c>
    </row>
    <row r="1801">
      <c r="A1801" s="2" t="inlineStr">
        <is>
          <t>67885</t>
        </is>
      </c>
      <c r="B1801" s="2" t="inlineStr">
        <is>
          <t>Sicredi SNI</t>
        </is>
      </c>
      <c r="C1801" s="2" t="inlineStr">
        <is>
          <t>05/06/2026</t>
        </is>
      </c>
      <c r="D1801" s="2" t="inlineStr">
        <is>
          <t>05/06/2026</t>
        </is>
      </c>
      <c r="E1801" s="2" t="inlineStr">
        <is>
          <t>PIX</t>
        </is>
      </c>
      <c r="F1801" s="2" t="inlineStr">
        <is>
          <t>Boleto "55449" do cliente "GENICE XAVIER MENDES"</t>
        </is>
      </c>
      <c r="G1801" s="2" t="inlineStr">
        <is>
          <t>system</t>
        </is>
      </c>
      <c r="H1801" s="2" t="inlineStr">
        <is>
          <t>02.03.02.01 : Cobrança Bancaria</t>
        </is>
      </c>
      <c r="I1801" s="2" t="n"/>
      <c r="J1801" s="3" t="n">
        <v>-0.49</v>
      </c>
      <c r="K1801" s="2">
        <f>IF(H1801="02.09 : Outras Saídas", IF(OR(ISNUMBER(SEARCH("CHEQUE COMPE SICREDI", F1801)), ISNUMBER(SEARCH("aniversario", F1801)), ISNUMBER(SEARCH("churrasco", F1801)), ISNUMBER(SEARCH("bolo", F1801)), ISNUMBER(SEARCH("SUPERMERCADO", F1801))), "6.1 Despesas Administrativas (Pessoal)", IF(OR(ISNUMBER(SEARCH("DLKNET", F1801)), ISNUMBER(SEARCH("TESTE", F1801))), "6.1 Despesas Administrativas (Gerais)", IFERROR(VLOOKUP(H1801, De_Para!A:B, 2, FALSE), "NÃO MAPEADO"))), IFERROR(VLOOKUP(H1801, De_Para!A:B, 2, FALSE), "NÃO MAPEADO"))</f>
        <v/>
      </c>
    </row>
    <row r="1802">
      <c r="A1802" s="2" t="inlineStr">
        <is>
          <t>67884</t>
        </is>
      </c>
      <c r="B1802" s="2" t="inlineStr">
        <is>
          <t>Sicredi SNI</t>
        </is>
      </c>
      <c r="C1802" s="2" t="inlineStr">
        <is>
          <t>05/06/2026</t>
        </is>
      </c>
      <c r="D1802" s="2" t="inlineStr">
        <is>
          <t>05/06/2026</t>
        </is>
      </c>
      <c r="E1802" s="2" t="inlineStr">
        <is>
          <t>PIX</t>
        </is>
      </c>
      <c r="F1802" s="2" t="inlineStr">
        <is>
          <t>Boleto "55449" do cliente "GENICE XAVIER MENDES"</t>
        </is>
      </c>
      <c r="G1802" s="2" t="inlineStr">
        <is>
          <t>system</t>
        </is>
      </c>
      <c r="H1802" s="2" t="inlineStr">
        <is>
          <t>01.01.01 : Mensalidade</t>
        </is>
      </c>
      <c r="I1802" s="3" t="n">
        <v>80</v>
      </c>
      <c r="J1802" s="2" t="n"/>
      <c r="K1802" s="2">
        <f>IF(H1802="02.09 : Outras Saídas", IF(OR(ISNUMBER(SEARCH("CHEQUE COMPE SICREDI", F1802)), ISNUMBER(SEARCH("aniversario", F1802)), ISNUMBER(SEARCH("churrasco", F1802)), ISNUMBER(SEARCH("bolo", F1802)), ISNUMBER(SEARCH("SUPERMERCADO", F1802))), "6.1 Despesas Administrativas (Pessoal)", IF(OR(ISNUMBER(SEARCH("DLKNET", F1802)), ISNUMBER(SEARCH("TESTE", F1802))), "6.1 Despesas Administrativas (Gerais)", IFERROR(VLOOKUP(H1802, De_Para!A:B, 2, FALSE), "NÃO MAPEADO"))), IFERROR(VLOOKUP(H1802, De_Para!A:B, 2, FALSE), "NÃO MAPEADO"))</f>
        <v/>
      </c>
    </row>
    <row r="1803">
      <c r="A1803" s="2" t="inlineStr">
        <is>
          <t>67883</t>
        </is>
      </c>
      <c r="B1803" s="2" t="inlineStr">
        <is>
          <t>Sicredi SNI</t>
        </is>
      </c>
      <c r="C1803" s="2" t="inlineStr">
        <is>
          <t>05/06/2026</t>
        </is>
      </c>
      <c r="D1803" s="2" t="inlineStr">
        <is>
          <t>05/06/2026</t>
        </is>
      </c>
      <c r="E1803" s="2" t="inlineStr">
        <is>
          <t>PIX</t>
        </is>
      </c>
      <c r="F1803" s="2" t="inlineStr">
        <is>
          <t>Boleto "65544" do cliente "LUIZ CARLOS COSTA"</t>
        </is>
      </c>
      <c r="G1803" s="2" t="inlineStr">
        <is>
          <t>system</t>
        </is>
      </c>
      <c r="H1803" s="2" t="inlineStr">
        <is>
          <t>02.03.02.01 : Cobrança Bancaria</t>
        </is>
      </c>
      <c r="I1803" s="2" t="n"/>
      <c r="J1803" s="3" t="n">
        <v>-0.49</v>
      </c>
      <c r="K1803" s="2">
        <f>IF(H1803="02.09 : Outras Saídas", IF(OR(ISNUMBER(SEARCH("CHEQUE COMPE SICREDI", F1803)), ISNUMBER(SEARCH("aniversario", F1803)), ISNUMBER(SEARCH("churrasco", F1803)), ISNUMBER(SEARCH("bolo", F1803)), ISNUMBER(SEARCH("SUPERMERCADO", F1803))), "6.1 Despesas Administrativas (Pessoal)", IF(OR(ISNUMBER(SEARCH("DLKNET", F1803)), ISNUMBER(SEARCH("TESTE", F1803))), "6.1 Despesas Administrativas (Gerais)", IFERROR(VLOOKUP(H1803, De_Para!A:B, 2, FALSE), "NÃO MAPEADO"))), IFERROR(VLOOKUP(H1803, De_Para!A:B, 2, FALSE), "NÃO MAPEADO"))</f>
        <v/>
      </c>
    </row>
    <row r="1804">
      <c r="A1804" s="2" t="inlineStr">
        <is>
          <t>67882</t>
        </is>
      </c>
      <c r="B1804" s="2" t="inlineStr">
        <is>
          <t>Sicredi SNI</t>
        </is>
      </c>
      <c r="C1804" s="2" t="inlineStr">
        <is>
          <t>05/06/2026</t>
        </is>
      </c>
      <c r="D1804" s="2" t="inlineStr">
        <is>
          <t>05/06/2026</t>
        </is>
      </c>
      <c r="E1804" s="2" t="inlineStr">
        <is>
          <t>PIX</t>
        </is>
      </c>
      <c r="F1804" s="2" t="inlineStr">
        <is>
          <t>Boleto "65544" do cliente "LUIZ CARLOS COSTA"</t>
        </is>
      </c>
      <c r="G1804" s="2" t="inlineStr">
        <is>
          <t>system</t>
        </is>
      </c>
      <c r="H1804" s="2" t="inlineStr">
        <is>
          <t>01.01.01 : Mensalidade</t>
        </is>
      </c>
      <c r="I1804" s="3" t="n">
        <v>104.9</v>
      </c>
      <c r="J1804" s="2" t="n"/>
      <c r="K1804" s="2">
        <f>IF(H1804="02.09 : Outras Saídas", IF(OR(ISNUMBER(SEARCH("CHEQUE COMPE SICREDI", F1804)), ISNUMBER(SEARCH("aniversario", F1804)), ISNUMBER(SEARCH("churrasco", F1804)), ISNUMBER(SEARCH("bolo", F1804)), ISNUMBER(SEARCH("SUPERMERCADO", F1804))), "6.1 Despesas Administrativas (Pessoal)", IF(OR(ISNUMBER(SEARCH("DLKNET", F1804)), ISNUMBER(SEARCH("TESTE", F1804))), "6.1 Despesas Administrativas (Gerais)", IFERROR(VLOOKUP(H1804, De_Para!A:B, 2, FALSE), "NÃO MAPEADO"))), IFERROR(VLOOKUP(H1804, De_Para!A:B, 2, FALSE), "NÃO MAPEADO"))</f>
        <v/>
      </c>
    </row>
    <row r="1805">
      <c r="A1805" s="2" t="inlineStr">
        <is>
          <t>67881</t>
        </is>
      </c>
      <c r="B1805" s="2" t="inlineStr">
        <is>
          <t>Sicredi SNI</t>
        </is>
      </c>
      <c r="C1805" s="2" t="inlineStr">
        <is>
          <t>05/06/2026</t>
        </is>
      </c>
      <c r="D1805" s="2" t="inlineStr">
        <is>
          <t>05/06/2026</t>
        </is>
      </c>
      <c r="E1805" s="2" t="inlineStr">
        <is>
          <t>Dinheiro</t>
        </is>
      </c>
      <c r="F1805" s="2" t="inlineStr">
        <is>
          <t>Boleto "69686" do cliente "JORGE RODRIGUES DA SILVA"</t>
        </is>
      </c>
      <c r="G1805" s="2" t="inlineStr">
        <is>
          <t>system</t>
        </is>
      </c>
      <c r="H1805" s="2" t="inlineStr">
        <is>
          <t>02.03.02.01 : Cobrança Bancaria</t>
        </is>
      </c>
      <c r="I1805" s="2" t="n"/>
      <c r="J1805" s="3" t="n">
        <v>-1.08</v>
      </c>
      <c r="K1805" s="2">
        <f>IF(H1805="02.09 : Outras Saídas", IF(OR(ISNUMBER(SEARCH("CHEQUE COMPE SICREDI", F1805)), ISNUMBER(SEARCH("aniversario", F1805)), ISNUMBER(SEARCH("churrasco", F1805)), ISNUMBER(SEARCH("bolo", F1805)), ISNUMBER(SEARCH("SUPERMERCADO", F1805))), "6.1 Despesas Administrativas (Pessoal)", IF(OR(ISNUMBER(SEARCH("DLKNET", F1805)), ISNUMBER(SEARCH("TESTE", F1805))), "6.1 Despesas Administrativas (Gerais)", IFERROR(VLOOKUP(H1805, De_Para!A:B, 2, FALSE), "NÃO MAPEADO"))), IFERROR(VLOOKUP(H1805, De_Para!A:B, 2, FALSE), "NÃO MAPEADO"))</f>
        <v/>
      </c>
    </row>
    <row r="1806">
      <c r="A1806" s="2" t="inlineStr">
        <is>
          <t>67880</t>
        </is>
      </c>
      <c r="B1806" s="2" t="inlineStr">
        <is>
          <t>Sicredi SNI</t>
        </is>
      </c>
      <c r="C1806" s="2" t="inlineStr">
        <is>
          <t>05/06/2026</t>
        </is>
      </c>
      <c r="D1806" s="2" t="inlineStr">
        <is>
          <t>05/06/2026</t>
        </is>
      </c>
      <c r="E1806" s="2" t="inlineStr">
        <is>
          <t>Dinheiro</t>
        </is>
      </c>
      <c r="F1806" s="2" t="inlineStr">
        <is>
          <t>Boleto "69686" do cliente "JORGE RODRIGUES DA SILVA"</t>
        </is>
      </c>
      <c r="G1806" s="2" t="inlineStr">
        <is>
          <t>system</t>
        </is>
      </c>
      <c r="H1806" s="2" t="inlineStr">
        <is>
          <t>01.03.01 : Mensalidade</t>
        </is>
      </c>
      <c r="I1806" s="3" t="n">
        <v>56</v>
      </c>
      <c r="J1806" s="2" t="n"/>
      <c r="K1806" s="2">
        <f>IF(H1806="02.09 : Outras Saídas", IF(OR(ISNUMBER(SEARCH("CHEQUE COMPE SICREDI", F1806)), ISNUMBER(SEARCH("aniversario", F1806)), ISNUMBER(SEARCH("churrasco", F1806)), ISNUMBER(SEARCH("bolo", F1806)), ISNUMBER(SEARCH("SUPERMERCADO", F1806))), "6.1 Despesas Administrativas (Pessoal)", IF(OR(ISNUMBER(SEARCH("DLKNET", F1806)), ISNUMBER(SEARCH("TESTE", F1806))), "6.1 Despesas Administrativas (Gerais)", IFERROR(VLOOKUP(H1806, De_Para!A:B, 2, FALSE), "NÃO MAPEADO"))), IFERROR(VLOOKUP(H1806, De_Para!A:B, 2, FALSE), "NÃO MAPEADO"))</f>
        <v/>
      </c>
    </row>
    <row r="1807">
      <c r="A1807" s="2" t="inlineStr">
        <is>
          <t>67879</t>
        </is>
      </c>
      <c r="B1807" s="2" t="inlineStr">
        <is>
          <t>Sicredi SNI</t>
        </is>
      </c>
      <c r="C1807" s="2" t="inlineStr">
        <is>
          <t>05/06/2026</t>
        </is>
      </c>
      <c r="D1807" s="2" t="inlineStr">
        <is>
          <t>05/06/2026</t>
        </is>
      </c>
      <c r="E1807" s="2" t="inlineStr">
        <is>
          <t>Dinheiro</t>
        </is>
      </c>
      <c r="F1807" s="2" t="inlineStr">
        <is>
          <t>Boleto "63999" do cliente "VILMA LOPES DOS SANTOS"</t>
        </is>
      </c>
      <c r="G1807" s="2" t="inlineStr">
        <is>
          <t>system</t>
        </is>
      </c>
      <c r="H1807" s="2" t="inlineStr">
        <is>
          <t>02.03.02.01 : Cobrança Bancaria</t>
        </is>
      </c>
      <c r="I1807" s="2" t="n"/>
      <c r="J1807" s="3" t="n">
        <v>-1.08</v>
      </c>
      <c r="K1807" s="2">
        <f>IF(H1807="02.09 : Outras Saídas", IF(OR(ISNUMBER(SEARCH("CHEQUE COMPE SICREDI", F1807)), ISNUMBER(SEARCH("aniversario", F1807)), ISNUMBER(SEARCH("churrasco", F1807)), ISNUMBER(SEARCH("bolo", F1807)), ISNUMBER(SEARCH("SUPERMERCADO", F1807))), "6.1 Despesas Administrativas (Pessoal)", IF(OR(ISNUMBER(SEARCH("DLKNET", F1807)), ISNUMBER(SEARCH("TESTE", F1807))), "6.1 Despesas Administrativas (Gerais)", IFERROR(VLOOKUP(H1807, De_Para!A:B, 2, FALSE), "NÃO MAPEADO"))), IFERROR(VLOOKUP(H1807, De_Para!A:B, 2, FALSE), "NÃO MAPEADO"))</f>
        <v/>
      </c>
    </row>
    <row r="1808">
      <c r="A1808" s="2" t="inlineStr">
        <is>
          <t>67878</t>
        </is>
      </c>
      <c r="B1808" s="2" t="inlineStr">
        <is>
          <t>Sicredi SNI</t>
        </is>
      </c>
      <c r="C1808" s="2" t="inlineStr">
        <is>
          <t>05/06/2026</t>
        </is>
      </c>
      <c r="D1808" s="2" t="inlineStr">
        <is>
          <t>05/06/2026</t>
        </is>
      </c>
      <c r="E1808" s="2" t="inlineStr">
        <is>
          <t>Dinheiro</t>
        </is>
      </c>
      <c r="F1808" s="2" t="inlineStr">
        <is>
          <t>Boleto "63999" do cliente "VILMA LOPES DOS SANTOS"</t>
        </is>
      </c>
      <c r="G1808" s="2" t="inlineStr">
        <is>
          <t>system</t>
        </is>
      </c>
      <c r="H1808" s="2" t="inlineStr">
        <is>
          <t>01.01.01 : Mensalidade</t>
        </is>
      </c>
      <c r="I1808" s="3" t="n">
        <v>104.9</v>
      </c>
      <c r="J1808" s="2" t="n"/>
      <c r="K1808" s="2">
        <f>IF(H1808="02.09 : Outras Saídas", IF(OR(ISNUMBER(SEARCH("CHEQUE COMPE SICREDI", F1808)), ISNUMBER(SEARCH("aniversario", F1808)), ISNUMBER(SEARCH("churrasco", F1808)), ISNUMBER(SEARCH("bolo", F1808)), ISNUMBER(SEARCH("SUPERMERCADO", F1808))), "6.1 Despesas Administrativas (Pessoal)", IF(OR(ISNUMBER(SEARCH("DLKNET", F1808)), ISNUMBER(SEARCH("TESTE", F1808))), "6.1 Despesas Administrativas (Gerais)", IFERROR(VLOOKUP(H1808, De_Para!A:B, 2, FALSE), "NÃO MAPEADO"))), IFERROR(VLOOKUP(H1808, De_Para!A:B, 2, FALSE), "NÃO MAPEADO"))</f>
        <v/>
      </c>
    </row>
    <row r="1809">
      <c r="A1809" s="2" t="inlineStr">
        <is>
          <t>67877</t>
        </is>
      </c>
      <c r="B1809" s="2" t="inlineStr">
        <is>
          <t>Sicredi SNI</t>
        </is>
      </c>
      <c r="C1809" s="2" t="inlineStr">
        <is>
          <t>05/06/2026</t>
        </is>
      </c>
      <c r="D1809" s="2" t="inlineStr">
        <is>
          <t>05/06/2026</t>
        </is>
      </c>
      <c r="E1809" s="2" t="inlineStr">
        <is>
          <t>Dinheiro</t>
        </is>
      </c>
      <c r="F1809" s="2" t="inlineStr">
        <is>
          <t>Boleto "62912" do cliente "ANTONIO APARECIDO REZENDE"</t>
        </is>
      </c>
      <c r="G1809" s="2" t="inlineStr">
        <is>
          <t>system</t>
        </is>
      </c>
      <c r="H1809" s="2" t="inlineStr">
        <is>
          <t>02.03.02.01 : Cobrança Bancaria</t>
        </is>
      </c>
      <c r="I1809" s="2" t="n"/>
      <c r="J1809" s="3" t="n">
        <v>-1.08</v>
      </c>
      <c r="K1809" s="2">
        <f>IF(H1809="02.09 : Outras Saídas", IF(OR(ISNUMBER(SEARCH("CHEQUE COMPE SICREDI", F1809)), ISNUMBER(SEARCH("aniversario", F1809)), ISNUMBER(SEARCH("churrasco", F1809)), ISNUMBER(SEARCH("bolo", F1809)), ISNUMBER(SEARCH("SUPERMERCADO", F1809))), "6.1 Despesas Administrativas (Pessoal)", IF(OR(ISNUMBER(SEARCH("DLKNET", F1809)), ISNUMBER(SEARCH("TESTE", F1809))), "6.1 Despesas Administrativas (Gerais)", IFERROR(VLOOKUP(H1809, De_Para!A:B, 2, FALSE), "NÃO MAPEADO"))), IFERROR(VLOOKUP(H1809, De_Para!A:B, 2, FALSE), "NÃO MAPEADO"))</f>
        <v/>
      </c>
    </row>
    <row r="1810">
      <c r="A1810" s="2" t="inlineStr">
        <is>
          <t>67876</t>
        </is>
      </c>
      <c r="B1810" s="2" t="inlineStr">
        <is>
          <t>Sicredi SNI</t>
        </is>
      </c>
      <c r="C1810" s="2" t="inlineStr">
        <is>
          <t>05/06/2026</t>
        </is>
      </c>
      <c r="D1810" s="2" t="inlineStr">
        <is>
          <t>05/06/2026</t>
        </is>
      </c>
      <c r="E1810" s="2" t="inlineStr">
        <is>
          <t>Dinheiro</t>
        </is>
      </c>
      <c r="F1810" s="2" t="inlineStr">
        <is>
          <t>Boleto "62912" do cliente "ANTONIO APARECIDO REZENDE"</t>
        </is>
      </c>
      <c r="G1810" s="2" t="inlineStr">
        <is>
          <t>system</t>
        </is>
      </c>
      <c r="H1810" s="2" t="inlineStr">
        <is>
          <t>01.01.01 : Mensalidade</t>
        </is>
      </c>
      <c r="I1810" s="3" t="n">
        <v>104.9</v>
      </c>
      <c r="J1810" s="2" t="n"/>
      <c r="K1810" s="2">
        <f>IF(H1810="02.09 : Outras Saídas", IF(OR(ISNUMBER(SEARCH("CHEQUE COMPE SICREDI", F1810)), ISNUMBER(SEARCH("aniversario", F1810)), ISNUMBER(SEARCH("churrasco", F1810)), ISNUMBER(SEARCH("bolo", F1810)), ISNUMBER(SEARCH("SUPERMERCADO", F1810))), "6.1 Despesas Administrativas (Pessoal)", IF(OR(ISNUMBER(SEARCH("DLKNET", F1810)), ISNUMBER(SEARCH("TESTE", F1810))), "6.1 Despesas Administrativas (Gerais)", IFERROR(VLOOKUP(H1810, De_Para!A:B, 2, FALSE), "NÃO MAPEADO"))), IFERROR(VLOOKUP(H1810, De_Para!A:B, 2, FALSE), "NÃO MAPEADO"))</f>
        <v/>
      </c>
    </row>
    <row r="1811">
      <c r="A1811" s="2" t="inlineStr">
        <is>
          <t>67875</t>
        </is>
      </c>
      <c r="B1811" s="2" t="inlineStr">
        <is>
          <t>Sicredi SNI</t>
        </is>
      </c>
      <c r="C1811" s="2" t="inlineStr">
        <is>
          <t>05/06/2026</t>
        </is>
      </c>
      <c r="D1811" s="2" t="inlineStr">
        <is>
          <t>05/06/2026</t>
        </is>
      </c>
      <c r="E1811" s="2" t="inlineStr">
        <is>
          <t>Dinheiro</t>
        </is>
      </c>
      <c r="F1811" s="2" t="inlineStr">
        <is>
          <t>Boleto "62834" do cliente "ARILDO DONIZETTI OLIVEIRA"</t>
        </is>
      </c>
      <c r="G1811" s="2" t="inlineStr">
        <is>
          <t>system</t>
        </is>
      </c>
      <c r="H1811" s="2" t="inlineStr">
        <is>
          <t>02.03.02.01 : Cobrança Bancaria</t>
        </is>
      </c>
      <c r="I1811" s="2" t="n"/>
      <c r="J1811" s="3" t="n">
        <v>-1.08</v>
      </c>
      <c r="K1811" s="2">
        <f>IF(H1811="02.09 : Outras Saídas", IF(OR(ISNUMBER(SEARCH("CHEQUE COMPE SICREDI", F1811)), ISNUMBER(SEARCH("aniversario", F1811)), ISNUMBER(SEARCH("churrasco", F1811)), ISNUMBER(SEARCH("bolo", F1811)), ISNUMBER(SEARCH("SUPERMERCADO", F1811))), "6.1 Despesas Administrativas (Pessoal)", IF(OR(ISNUMBER(SEARCH("DLKNET", F1811)), ISNUMBER(SEARCH("TESTE", F1811))), "6.1 Despesas Administrativas (Gerais)", IFERROR(VLOOKUP(H1811, De_Para!A:B, 2, FALSE), "NÃO MAPEADO"))), IFERROR(VLOOKUP(H1811, De_Para!A:B, 2, FALSE), "NÃO MAPEADO"))</f>
        <v/>
      </c>
    </row>
    <row r="1812">
      <c r="A1812" s="2" t="inlineStr">
        <is>
          <t>67874</t>
        </is>
      </c>
      <c r="B1812" s="2" t="inlineStr">
        <is>
          <t>Sicredi SNI</t>
        </is>
      </c>
      <c r="C1812" s="2" t="inlineStr">
        <is>
          <t>05/06/2026</t>
        </is>
      </c>
      <c r="D1812" s="2" t="inlineStr">
        <is>
          <t>05/06/2026</t>
        </is>
      </c>
      <c r="E1812" s="2" t="inlineStr">
        <is>
          <t>Dinheiro</t>
        </is>
      </c>
      <c r="F1812" s="2" t="inlineStr">
        <is>
          <t>Boleto "62834" do cliente "ARILDO DONIZETTI OLIVEIRA"</t>
        </is>
      </c>
      <c r="G1812" s="2" t="inlineStr">
        <is>
          <t>system</t>
        </is>
      </c>
      <c r="H1812" s="2" t="inlineStr">
        <is>
          <t>01.01.01 : Mensalidade</t>
        </is>
      </c>
      <c r="I1812" s="3" t="n">
        <v>104.9</v>
      </c>
      <c r="J1812" s="2" t="n"/>
      <c r="K1812" s="2">
        <f>IF(H1812="02.09 : Outras Saídas", IF(OR(ISNUMBER(SEARCH("CHEQUE COMPE SICREDI", F1812)), ISNUMBER(SEARCH("aniversario", F1812)), ISNUMBER(SEARCH("churrasco", F1812)), ISNUMBER(SEARCH("bolo", F1812)), ISNUMBER(SEARCH("SUPERMERCADO", F1812))), "6.1 Despesas Administrativas (Pessoal)", IF(OR(ISNUMBER(SEARCH("DLKNET", F1812)), ISNUMBER(SEARCH("TESTE", F1812))), "6.1 Despesas Administrativas (Gerais)", IFERROR(VLOOKUP(H1812, De_Para!A:B, 2, FALSE), "NÃO MAPEADO"))), IFERROR(VLOOKUP(H1812, De_Para!A:B, 2, FALSE), "NÃO MAPEADO"))</f>
        <v/>
      </c>
    </row>
    <row r="1813">
      <c r="A1813" s="2" t="inlineStr">
        <is>
          <t>67873</t>
        </is>
      </c>
      <c r="B1813" s="2" t="inlineStr">
        <is>
          <t>Sicredi SNI</t>
        </is>
      </c>
      <c r="C1813" s="2" t="inlineStr">
        <is>
          <t>05/06/2026</t>
        </is>
      </c>
      <c r="D1813" s="2" t="inlineStr">
        <is>
          <t>05/06/2026</t>
        </is>
      </c>
      <c r="E1813" s="2" t="inlineStr">
        <is>
          <t>PIX</t>
        </is>
      </c>
      <c r="F1813" s="2" t="inlineStr">
        <is>
          <t>Boleto "66130" do cliente "LEONARDO INÁCIO DA SILVA"</t>
        </is>
      </c>
      <c r="G1813" s="2" t="inlineStr">
        <is>
          <t>system</t>
        </is>
      </c>
      <c r="H1813" s="2" t="inlineStr">
        <is>
          <t>02.03.02.01 : Cobrança Bancaria</t>
        </is>
      </c>
      <c r="I1813" s="2" t="n"/>
      <c r="J1813" s="3" t="n">
        <v>-0.49</v>
      </c>
      <c r="K1813" s="2">
        <f>IF(H1813="02.09 : Outras Saídas", IF(OR(ISNUMBER(SEARCH("CHEQUE COMPE SICREDI", F1813)), ISNUMBER(SEARCH("aniversario", F1813)), ISNUMBER(SEARCH("churrasco", F1813)), ISNUMBER(SEARCH("bolo", F1813)), ISNUMBER(SEARCH("SUPERMERCADO", F1813))), "6.1 Despesas Administrativas (Pessoal)", IF(OR(ISNUMBER(SEARCH("DLKNET", F1813)), ISNUMBER(SEARCH("TESTE", F1813))), "6.1 Despesas Administrativas (Gerais)", IFERROR(VLOOKUP(H1813, De_Para!A:B, 2, FALSE), "NÃO MAPEADO"))), IFERROR(VLOOKUP(H1813, De_Para!A:B, 2, FALSE), "NÃO MAPEADO"))</f>
        <v/>
      </c>
    </row>
    <row r="1814">
      <c r="A1814" s="2" t="inlineStr">
        <is>
          <t>67872</t>
        </is>
      </c>
      <c r="B1814" s="2" t="inlineStr">
        <is>
          <t>Sicredi SNI</t>
        </is>
      </c>
      <c r="C1814" s="2" t="inlineStr">
        <is>
          <t>05/06/2026</t>
        </is>
      </c>
      <c r="D1814" s="2" t="inlineStr">
        <is>
          <t>05/06/2026</t>
        </is>
      </c>
      <c r="E1814" s="2" t="inlineStr">
        <is>
          <t>PIX</t>
        </is>
      </c>
      <c r="F1814" s="2" t="inlineStr">
        <is>
          <t>Boleto "66130" do cliente "LEONARDO INÁCIO DA SILVA"</t>
        </is>
      </c>
      <c r="G1814" s="2" t="inlineStr">
        <is>
          <t>system</t>
        </is>
      </c>
      <c r="H1814" s="2" t="inlineStr">
        <is>
          <t>01.01.01 : Mensalidade</t>
        </is>
      </c>
      <c r="I1814" s="3" t="n">
        <v>104.9</v>
      </c>
      <c r="J1814" s="2" t="n"/>
      <c r="K1814" s="2">
        <f>IF(H1814="02.09 : Outras Saídas", IF(OR(ISNUMBER(SEARCH("CHEQUE COMPE SICREDI", F1814)), ISNUMBER(SEARCH("aniversario", F1814)), ISNUMBER(SEARCH("churrasco", F1814)), ISNUMBER(SEARCH("bolo", F1814)), ISNUMBER(SEARCH("SUPERMERCADO", F1814))), "6.1 Despesas Administrativas (Pessoal)", IF(OR(ISNUMBER(SEARCH("DLKNET", F1814)), ISNUMBER(SEARCH("TESTE", F1814))), "6.1 Despesas Administrativas (Gerais)", IFERROR(VLOOKUP(H1814, De_Para!A:B, 2, FALSE), "NÃO MAPEADO"))), IFERROR(VLOOKUP(H1814, De_Para!A:B, 2, FALSE), "NÃO MAPEADO"))</f>
        <v/>
      </c>
    </row>
    <row r="1815">
      <c r="A1815" s="2" t="inlineStr">
        <is>
          <t>67871</t>
        </is>
      </c>
      <c r="B1815" s="2" t="inlineStr">
        <is>
          <t>Sicoob</t>
        </is>
      </c>
      <c r="C1815" s="2" t="inlineStr">
        <is>
          <t>05/06/2026</t>
        </is>
      </c>
      <c r="D1815" s="2" t="inlineStr">
        <is>
          <t>05/06/2026</t>
        </is>
      </c>
      <c r="E1815" s="2" t="inlineStr">
        <is>
          <t>Dinheiro</t>
        </is>
      </c>
      <c r="F1815" s="2" t="inlineStr">
        <is>
          <t>Boleto "66723" do cliente "DANIEL INOCENCIO DOS SANTOS"</t>
        </is>
      </c>
      <c r="G1815" s="2" t="inlineStr">
        <is>
          <t>system</t>
        </is>
      </c>
      <c r="H1815" s="2" t="inlineStr">
        <is>
          <t>02.03.02.01 : Cobrança Bancaria</t>
        </is>
      </c>
      <c r="I1815" s="2" t="n"/>
      <c r="J1815" s="3" t="n">
        <v>-0.88</v>
      </c>
      <c r="K1815" s="2">
        <f>IF(H1815="02.09 : Outras Saídas", IF(OR(ISNUMBER(SEARCH("CHEQUE COMPE SICREDI", F1815)), ISNUMBER(SEARCH("aniversario", F1815)), ISNUMBER(SEARCH("churrasco", F1815)), ISNUMBER(SEARCH("bolo", F1815)), ISNUMBER(SEARCH("SUPERMERCADO", F1815))), "6.1 Despesas Administrativas (Pessoal)", IF(OR(ISNUMBER(SEARCH("DLKNET", F1815)), ISNUMBER(SEARCH("TESTE", F1815))), "6.1 Despesas Administrativas (Gerais)", IFERROR(VLOOKUP(H1815, De_Para!A:B, 2, FALSE), "NÃO MAPEADO"))), IFERROR(VLOOKUP(H1815, De_Para!A:B, 2, FALSE), "NÃO MAPEADO"))</f>
        <v/>
      </c>
    </row>
    <row r="1816">
      <c r="A1816" s="2" t="inlineStr">
        <is>
          <t>67870</t>
        </is>
      </c>
      <c r="B1816" s="2" t="inlineStr">
        <is>
          <t>Sicoob</t>
        </is>
      </c>
      <c r="C1816" s="2" t="inlineStr">
        <is>
          <t>05/06/2026</t>
        </is>
      </c>
      <c r="D1816" s="2" t="inlineStr">
        <is>
          <t>05/06/2026</t>
        </is>
      </c>
      <c r="E1816" s="2" t="inlineStr">
        <is>
          <t>Dinheiro</t>
        </is>
      </c>
      <c r="F1816" s="2" t="inlineStr">
        <is>
          <t>Boleto "66723" do cliente "DANIEL INOCENCIO DOS SANTOS"</t>
        </is>
      </c>
      <c r="G1816" s="2" t="inlineStr">
        <is>
          <t>system</t>
        </is>
      </c>
      <c r="H1816" s="2" t="inlineStr">
        <is>
          <t>01.01.01 : Mensalidade</t>
        </is>
      </c>
      <c r="I1816" s="3" t="n">
        <v>104.9</v>
      </c>
      <c r="J1816" s="2" t="n"/>
      <c r="K1816" s="2">
        <f>IF(H1816="02.09 : Outras Saídas", IF(OR(ISNUMBER(SEARCH("CHEQUE COMPE SICREDI", F1816)), ISNUMBER(SEARCH("aniversario", F1816)), ISNUMBER(SEARCH("churrasco", F1816)), ISNUMBER(SEARCH("bolo", F1816)), ISNUMBER(SEARCH("SUPERMERCADO", F1816))), "6.1 Despesas Administrativas (Pessoal)", IF(OR(ISNUMBER(SEARCH("DLKNET", F1816)), ISNUMBER(SEARCH("TESTE", F1816))), "6.1 Despesas Administrativas (Gerais)", IFERROR(VLOOKUP(H1816, De_Para!A:B, 2, FALSE), "NÃO MAPEADO"))), IFERROR(VLOOKUP(H1816, De_Para!A:B, 2, FALSE), "NÃO MAPEADO"))</f>
        <v/>
      </c>
    </row>
    <row r="1817">
      <c r="A1817" s="2" t="inlineStr">
        <is>
          <t>67869</t>
        </is>
      </c>
      <c r="B1817" s="2" t="inlineStr">
        <is>
          <t>Sicoob</t>
        </is>
      </c>
      <c r="C1817" s="2" t="inlineStr">
        <is>
          <t>05/06/2026</t>
        </is>
      </c>
      <c r="D1817" s="2" t="inlineStr">
        <is>
          <t>05/06/2026</t>
        </is>
      </c>
      <c r="E1817" s="2" t="inlineStr">
        <is>
          <t>Dinheiro</t>
        </is>
      </c>
      <c r="F1817" s="2" t="inlineStr">
        <is>
          <t>Boleto "65195" do cliente "DANILO SILVÉRIO MARQUES"</t>
        </is>
      </c>
      <c r="G1817" s="2" t="inlineStr">
        <is>
          <t>system</t>
        </is>
      </c>
      <c r="H1817" s="2" t="inlineStr">
        <is>
          <t>02.03.02.01 : Cobrança Bancaria</t>
        </is>
      </c>
      <c r="I1817" s="2" t="n"/>
      <c r="J1817" s="3" t="n">
        <v>-0.88</v>
      </c>
      <c r="K1817" s="2">
        <f>IF(H1817="02.09 : Outras Saídas", IF(OR(ISNUMBER(SEARCH("CHEQUE COMPE SICREDI", F1817)), ISNUMBER(SEARCH("aniversario", F1817)), ISNUMBER(SEARCH("churrasco", F1817)), ISNUMBER(SEARCH("bolo", F1817)), ISNUMBER(SEARCH("SUPERMERCADO", F1817))), "6.1 Despesas Administrativas (Pessoal)", IF(OR(ISNUMBER(SEARCH("DLKNET", F1817)), ISNUMBER(SEARCH("TESTE", F1817))), "6.1 Despesas Administrativas (Gerais)", IFERROR(VLOOKUP(H1817, De_Para!A:B, 2, FALSE), "NÃO MAPEADO"))), IFERROR(VLOOKUP(H1817, De_Para!A:B, 2, FALSE), "NÃO MAPEADO"))</f>
        <v/>
      </c>
    </row>
    <row r="1818">
      <c r="A1818" s="2" t="inlineStr">
        <is>
          <t>67868</t>
        </is>
      </c>
      <c r="B1818" s="2" t="inlineStr">
        <is>
          <t>Sicoob</t>
        </is>
      </c>
      <c r="C1818" s="2" t="inlineStr">
        <is>
          <t>05/06/2026</t>
        </is>
      </c>
      <c r="D1818" s="2" t="inlineStr">
        <is>
          <t>05/06/2026</t>
        </is>
      </c>
      <c r="E1818" s="2" t="inlineStr">
        <is>
          <t>Dinheiro</t>
        </is>
      </c>
      <c r="F1818" s="2" t="inlineStr">
        <is>
          <t>Boleto "65195" do cliente "DANILO SILVÉRIO MARQUES"</t>
        </is>
      </c>
      <c r="G1818" s="2" t="inlineStr">
        <is>
          <t>system</t>
        </is>
      </c>
      <c r="H1818" s="2" t="inlineStr">
        <is>
          <t>01.01.01 : Mensalidade</t>
        </is>
      </c>
      <c r="I1818" s="3" t="n">
        <v>109.9</v>
      </c>
      <c r="J1818" s="2" t="n"/>
      <c r="K1818" s="2">
        <f>IF(H1818="02.09 : Outras Saídas", IF(OR(ISNUMBER(SEARCH("CHEQUE COMPE SICREDI", F1818)), ISNUMBER(SEARCH("aniversario", F1818)), ISNUMBER(SEARCH("churrasco", F1818)), ISNUMBER(SEARCH("bolo", F1818)), ISNUMBER(SEARCH("SUPERMERCADO", F1818))), "6.1 Despesas Administrativas (Pessoal)", IF(OR(ISNUMBER(SEARCH("DLKNET", F1818)), ISNUMBER(SEARCH("TESTE", F1818))), "6.1 Despesas Administrativas (Gerais)", IFERROR(VLOOKUP(H1818, De_Para!A:B, 2, FALSE), "NÃO MAPEADO"))), IFERROR(VLOOKUP(H1818, De_Para!A:B, 2, FALSE), "NÃO MAPEADO"))</f>
        <v/>
      </c>
    </row>
    <row r="1819">
      <c r="A1819" s="2" t="inlineStr">
        <is>
          <t>67867</t>
        </is>
      </c>
      <c r="B1819" s="2" t="inlineStr">
        <is>
          <t>Sicoob</t>
        </is>
      </c>
      <c r="C1819" s="2" t="inlineStr">
        <is>
          <t>05/06/2026</t>
        </is>
      </c>
      <c r="D1819" s="2" t="inlineStr">
        <is>
          <t>05/06/2026</t>
        </is>
      </c>
      <c r="E1819" s="2" t="inlineStr">
        <is>
          <t>Dinheiro</t>
        </is>
      </c>
      <c r="F1819" s="2" t="inlineStr">
        <is>
          <t>Boleto "63161" do cliente "MARINA DA LUZ ROCHA"</t>
        </is>
      </c>
      <c r="G1819" s="2" t="inlineStr">
        <is>
          <t>system</t>
        </is>
      </c>
      <c r="H1819" s="2" t="inlineStr">
        <is>
          <t>02.03.02.01 : Cobrança Bancaria</t>
        </is>
      </c>
      <c r="I1819" s="2" t="n"/>
      <c r="J1819" s="3" t="n">
        <v>-0.88</v>
      </c>
      <c r="K1819" s="2">
        <f>IF(H1819="02.09 : Outras Saídas", IF(OR(ISNUMBER(SEARCH("CHEQUE COMPE SICREDI", F1819)), ISNUMBER(SEARCH("aniversario", F1819)), ISNUMBER(SEARCH("churrasco", F1819)), ISNUMBER(SEARCH("bolo", F1819)), ISNUMBER(SEARCH("SUPERMERCADO", F1819))), "6.1 Despesas Administrativas (Pessoal)", IF(OR(ISNUMBER(SEARCH("DLKNET", F1819)), ISNUMBER(SEARCH("TESTE", F1819))), "6.1 Despesas Administrativas (Gerais)", IFERROR(VLOOKUP(H1819, De_Para!A:B, 2, FALSE), "NÃO MAPEADO"))), IFERROR(VLOOKUP(H1819, De_Para!A:B, 2, FALSE), "NÃO MAPEADO"))</f>
        <v/>
      </c>
    </row>
    <row r="1820">
      <c r="A1820" s="2" t="inlineStr">
        <is>
          <t>67866</t>
        </is>
      </c>
      <c r="B1820" s="2" t="inlineStr">
        <is>
          <t>Sicoob</t>
        </is>
      </c>
      <c r="C1820" s="2" t="inlineStr">
        <is>
          <t>05/06/2026</t>
        </is>
      </c>
      <c r="D1820" s="2" t="inlineStr">
        <is>
          <t>05/06/2026</t>
        </is>
      </c>
      <c r="E1820" s="2" t="inlineStr">
        <is>
          <t>Dinheiro</t>
        </is>
      </c>
      <c r="F1820" s="2" t="inlineStr">
        <is>
          <t>Boleto "63161" do cliente "MARINA DA LUZ ROCHA"</t>
        </is>
      </c>
      <c r="G1820" s="2" t="inlineStr">
        <is>
          <t>system</t>
        </is>
      </c>
      <c r="H1820" s="2" t="inlineStr">
        <is>
          <t>01.03.01 : Mensalidade</t>
        </is>
      </c>
      <c r="I1820" s="3" t="n">
        <v>105</v>
      </c>
      <c r="J1820" s="2" t="n"/>
      <c r="K1820" s="2">
        <f>IF(H1820="02.09 : Outras Saídas", IF(OR(ISNUMBER(SEARCH("CHEQUE COMPE SICREDI", F1820)), ISNUMBER(SEARCH("aniversario", F1820)), ISNUMBER(SEARCH("churrasco", F1820)), ISNUMBER(SEARCH("bolo", F1820)), ISNUMBER(SEARCH("SUPERMERCADO", F1820))), "6.1 Despesas Administrativas (Pessoal)", IF(OR(ISNUMBER(SEARCH("DLKNET", F1820)), ISNUMBER(SEARCH("TESTE", F1820))), "6.1 Despesas Administrativas (Gerais)", IFERROR(VLOOKUP(H1820, De_Para!A:B, 2, FALSE), "NÃO MAPEADO"))), IFERROR(VLOOKUP(H1820, De_Para!A:B, 2, FALSE), "NÃO MAPEADO"))</f>
        <v/>
      </c>
    </row>
    <row r="1821">
      <c r="A1821" s="2" t="inlineStr">
        <is>
          <t>67865</t>
        </is>
      </c>
      <c r="B1821" s="2" t="inlineStr">
        <is>
          <t>Sicoob</t>
        </is>
      </c>
      <c r="C1821" s="2" t="inlineStr">
        <is>
          <t>05/06/2026</t>
        </is>
      </c>
      <c r="D1821" s="2" t="inlineStr">
        <is>
          <t>05/06/2026</t>
        </is>
      </c>
      <c r="E1821" s="2" t="inlineStr">
        <is>
          <t>Dinheiro</t>
        </is>
      </c>
      <c r="F1821" s="2" t="inlineStr">
        <is>
          <t>Boleto "59937" do cliente "HENRIQUE DE OLIVEIRA CALABREZ"</t>
        </is>
      </c>
      <c r="G1821" s="2" t="inlineStr">
        <is>
          <t>system</t>
        </is>
      </c>
      <c r="H1821" s="2" t="inlineStr">
        <is>
          <t>02.03.02.01 : Cobrança Bancaria</t>
        </is>
      </c>
      <c r="I1821" s="2" t="n"/>
      <c r="J1821" s="3" t="n">
        <v>-0.88</v>
      </c>
      <c r="K1821" s="2">
        <f>IF(H1821="02.09 : Outras Saídas", IF(OR(ISNUMBER(SEARCH("CHEQUE COMPE SICREDI", F1821)), ISNUMBER(SEARCH("aniversario", F1821)), ISNUMBER(SEARCH("churrasco", F1821)), ISNUMBER(SEARCH("bolo", F1821)), ISNUMBER(SEARCH("SUPERMERCADO", F1821))), "6.1 Despesas Administrativas (Pessoal)", IF(OR(ISNUMBER(SEARCH("DLKNET", F1821)), ISNUMBER(SEARCH("TESTE", F1821))), "6.1 Despesas Administrativas (Gerais)", IFERROR(VLOOKUP(H1821, De_Para!A:B, 2, FALSE), "NÃO MAPEADO"))), IFERROR(VLOOKUP(H1821, De_Para!A:B, 2, FALSE), "NÃO MAPEADO"))</f>
        <v/>
      </c>
    </row>
    <row r="1822">
      <c r="A1822" s="2" t="inlineStr">
        <is>
          <t>67864</t>
        </is>
      </c>
      <c r="B1822" s="2" t="inlineStr">
        <is>
          <t>Sicoob</t>
        </is>
      </c>
      <c r="C1822" s="2" t="inlineStr">
        <is>
          <t>05/06/2026</t>
        </is>
      </c>
      <c r="D1822" s="2" t="inlineStr">
        <is>
          <t>05/06/2026</t>
        </is>
      </c>
      <c r="E1822" s="2" t="inlineStr">
        <is>
          <t>Dinheiro</t>
        </is>
      </c>
      <c r="F1822" s="2" t="inlineStr">
        <is>
          <t>Boleto "59937" do cliente "HENRIQUE DE OLIVEIRA CALABREZ"</t>
        </is>
      </c>
      <c r="G1822" s="2" t="inlineStr">
        <is>
          <t>system</t>
        </is>
      </c>
      <c r="H1822" s="2" t="inlineStr">
        <is>
          <t>01.01.01 : Mensalidade</t>
        </is>
      </c>
      <c r="I1822" s="3" t="n">
        <v>105</v>
      </c>
      <c r="J1822" s="2" t="n"/>
      <c r="K1822" s="2">
        <f>IF(H1822="02.09 : Outras Saídas", IF(OR(ISNUMBER(SEARCH("CHEQUE COMPE SICREDI", F1822)), ISNUMBER(SEARCH("aniversario", F1822)), ISNUMBER(SEARCH("churrasco", F1822)), ISNUMBER(SEARCH("bolo", F1822)), ISNUMBER(SEARCH("SUPERMERCADO", F1822))), "6.1 Despesas Administrativas (Pessoal)", IF(OR(ISNUMBER(SEARCH("DLKNET", F1822)), ISNUMBER(SEARCH("TESTE", F1822))), "6.1 Despesas Administrativas (Gerais)", IFERROR(VLOOKUP(H1822, De_Para!A:B, 2, FALSE), "NÃO MAPEADO"))), IFERROR(VLOOKUP(H1822, De_Para!A:B, 2, FALSE), "NÃO MAPEADO"))</f>
        <v/>
      </c>
    </row>
    <row r="1823">
      <c r="A1823" s="2" t="inlineStr">
        <is>
          <t>67863</t>
        </is>
      </c>
      <c r="B1823" s="2" t="inlineStr">
        <is>
          <t>Sicoob</t>
        </is>
      </c>
      <c r="C1823" s="2" t="inlineStr">
        <is>
          <t>05/06/2026</t>
        </is>
      </c>
      <c r="D1823" s="2" t="inlineStr">
        <is>
          <t>05/06/2026</t>
        </is>
      </c>
      <c r="E1823" s="2" t="inlineStr">
        <is>
          <t>Dinheiro</t>
        </is>
      </c>
      <c r="F1823" s="2" t="inlineStr">
        <is>
          <t>Boleto "55417" do cliente "APARECIDO PEREIRA DA SILVA"</t>
        </is>
      </c>
      <c r="G1823" s="2" t="inlineStr">
        <is>
          <t>system</t>
        </is>
      </c>
      <c r="H1823" s="2" t="inlineStr">
        <is>
          <t>02.03.02.01 : Cobrança Bancaria</t>
        </is>
      </c>
      <c r="I1823" s="2" t="n"/>
      <c r="J1823" s="3" t="n">
        <v>-0.88</v>
      </c>
      <c r="K1823" s="2">
        <f>IF(H1823="02.09 : Outras Saídas", IF(OR(ISNUMBER(SEARCH("CHEQUE COMPE SICREDI", F1823)), ISNUMBER(SEARCH("aniversario", F1823)), ISNUMBER(SEARCH("churrasco", F1823)), ISNUMBER(SEARCH("bolo", F1823)), ISNUMBER(SEARCH("SUPERMERCADO", F1823))), "6.1 Despesas Administrativas (Pessoal)", IF(OR(ISNUMBER(SEARCH("DLKNET", F1823)), ISNUMBER(SEARCH("TESTE", F1823))), "6.1 Despesas Administrativas (Gerais)", IFERROR(VLOOKUP(H1823, De_Para!A:B, 2, FALSE), "NÃO MAPEADO"))), IFERROR(VLOOKUP(H1823, De_Para!A:B, 2, FALSE), "NÃO MAPEADO"))</f>
        <v/>
      </c>
    </row>
    <row r="1824">
      <c r="A1824" s="2" t="inlineStr">
        <is>
          <t>67862</t>
        </is>
      </c>
      <c r="B1824" s="2" t="inlineStr">
        <is>
          <t>Sicoob</t>
        </is>
      </c>
      <c r="C1824" s="2" t="inlineStr">
        <is>
          <t>05/06/2026</t>
        </is>
      </c>
      <c r="D1824" s="2" t="inlineStr">
        <is>
          <t>05/06/2026</t>
        </is>
      </c>
      <c r="E1824" s="2" t="inlineStr">
        <is>
          <t>Dinheiro</t>
        </is>
      </c>
      <c r="F1824" s="2" t="inlineStr">
        <is>
          <t>Boleto "55417" do cliente "APARECIDO PEREIRA DA SILVA"</t>
        </is>
      </c>
      <c r="G1824" s="2" t="inlineStr">
        <is>
          <t>system</t>
        </is>
      </c>
      <c r="H1824" s="2" t="inlineStr">
        <is>
          <t>01.01.01 : Mensalidade</t>
        </is>
      </c>
      <c r="I1824" s="3" t="n">
        <v>105</v>
      </c>
      <c r="J1824" s="2" t="n"/>
      <c r="K1824" s="2">
        <f>IF(H1824="02.09 : Outras Saídas", IF(OR(ISNUMBER(SEARCH("CHEQUE COMPE SICREDI", F1824)), ISNUMBER(SEARCH("aniversario", F1824)), ISNUMBER(SEARCH("churrasco", F1824)), ISNUMBER(SEARCH("bolo", F1824)), ISNUMBER(SEARCH("SUPERMERCADO", F1824))), "6.1 Despesas Administrativas (Pessoal)", IF(OR(ISNUMBER(SEARCH("DLKNET", F1824)), ISNUMBER(SEARCH("TESTE", F1824))), "6.1 Despesas Administrativas (Gerais)", IFERROR(VLOOKUP(H1824, De_Para!A:B, 2, FALSE), "NÃO MAPEADO"))), IFERROR(VLOOKUP(H1824, De_Para!A:B, 2, FALSE), "NÃO MAPEADO"))</f>
        <v/>
      </c>
    </row>
    <row r="1825">
      <c r="A1825" s="2" t="inlineStr">
        <is>
          <t>67861</t>
        </is>
      </c>
      <c r="B1825" s="2" t="inlineStr">
        <is>
          <t>Sicoob</t>
        </is>
      </c>
      <c r="C1825" s="2" t="inlineStr">
        <is>
          <t>05/06/2026</t>
        </is>
      </c>
      <c r="D1825" s="2" t="inlineStr">
        <is>
          <t>05/06/2026</t>
        </is>
      </c>
      <c r="E1825" s="2" t="inlineStr">
        <is>
          <t>Dinheiro</t>
        </is>
      </c>
      <c r="F1825" s="2" t="inlineStr">
        <is>
          <t>Boleto "55396" do cliente "LUCINEIA DE SOUSA"</t>
        </is>
      </c>
      <c r="G1825" s="2" t="inlineStr">
        <is>
          <t>system</t>
        </is>
      </c>
      <c r="H1825" s="2" t="inlineStr">
        <is>
          <t>02.03.02.01 : Cobrança Bancaria</t>
        </is>
      </c>
      <c r="I1825" s="2" t="n"/>
      <c r="J1825" s="3" t="n">
        <v>-0.88</v>
      </c>
      <c r="K1825" s="2">
        <f>IF(H1825="02.09 : Outras Saídas", IF(OR(ISNUMBER(SEARCH("CHEQUE COMPE SICREDI", F1825)), ISNUMBER(SEARCH("aniversario", F1825)), ISNUMBER(SEARCH("churrasco", F1825)), ISNUMBER(SEARCH("bolo", F1825)), ISNUMBER(SEARCH("SUPERMERCADO", F1825))), "6.1 Despesas Administrativas (Pessoal)", IF(OR(ISNUMBER(SEARCH("DLKNET", F1825)), ISNUMBER(SEARCH("TESTE", F1825))), "6.1 Despesas Administrativas (Gerais)", IFERROR(VLOOKUP(H1825, De_Para!A:B, 2, FALSE), "NÃO MAPEADO"))), IFERROR(VLOOKUP(H1825, De_Para!A:B, 2, FALSE), "NÃO MAPEADO"))</f>
        <v/>
      </c>
    </row>
    <row r="1826">
      <c r="A1826" s="2" t="inlineStr">
        <is>
          <t>67860</t>
        </is>
      </c>
      <c r="B1826" s="2" t="inlineStr">
        <is>
          <t>Sicoob</t>
        </is>
      </c>
      <c r="C1826" s="2" t="inlineStr">
        <is>
          <t>05/06/2026</t>
        </is>
      </c>
      <c r="D1826" s="2" t="inlineStr">
        <is>
          <t>05/06/2026</t>
        </is>
      </c>
      <c r="E1826" s="2" t="inlineStr">
        <is>
          <t>Dinheiro</t>
        </is>
      </c>
      <c r="F1826" s="2" t="inlineStr">
        <is>
          <t>Boleto "55396" do cliente "LUCINEIA DE SOUSA"</t>
        </is>
      </c>
      <c r="G1826" s="2" t="inlineStr">
        <is>
          <t>system</t>
        </is>
      </c>
      <c r="H1826" s="2" t="inlineStr">
        <is>
          <t>01.01.01 : Mensalidade</t>
        </is>
      </c>
      <c r="I1826" s="3" t="n">
        <v>105</v>
      </c>
      <c r="J1826" s="2" t="n"/>
      <c r="K1826" s="2">
        <f>IF(H1826="02.09 : Outras Saídas", IF(OR(ISNUMBER(SEARCH("CHEQUE COMPE SICREDI", F1826)), ISNUMBER(SEARCH("aniversario", F1826)), ISNUMBER(SEARCH("churrasco", F1826)), ISNUMBER(SEARCH("bolo", F1826)), ISNUMBER(SEARCH("SUPERMERCADO", F1826))), "6.1 Despesas Administrativas (Pessoal)", IF(OR(ISNUMBER(SEARCH("DLKNET", F1826)), ISNUMBER(SEARCH("TESTE", F1826))), "6.1 Despesas Administrativas (Gerais)", IFERROR(VLOOKUP(H1826, De_Para!A:B, 2, FALSE), "NÃO MAPEADO"))), IFERROR(VLOOKUP(H1826, De_Para!A:B, 2, FALSE), "NÃO MAPEADO"))</f>
        <v/>
      </c>
    </row>
    <row r="1827">
      <c r="A1827" s="2" t="inlineStr">
        <is>
          <t>67859</t>
        </is>
      </c>
      <c r="B1827" s="2" t="inlineStr">
        <is>
          <t>Sicredi SNI</t>
        </is>
      </c>
      <c r="C1827" s="2" t="inlineStr">
        <is>
          <t>05/06/2026</t>
        </is>
      </c>
      <c r="D1827" s="2" t="inlineStr">
        <is>
          <t>05/06/2026</t>
        </is>
      </c>
      <c r="E1827" s="2" t="inlineStr">
        <is>
          <t>PIX</t>
        </is>
      </c>
      <c r="F1827" s="2" t="inlineStr">
        <is>
          <t>Boleto "56575" do cliente "TEREZA DOS SANTOS CLEMENTE"</t>
        </is>
      </c>
      <c r="G1827" s="2" t="inlineStr">
        <is>
          <t>system</t>
        </is>
      </c>
      <c r="H1827" s="2" t="inlineStr">
        <is>
          <t>02.03.02.01 : Cobrança Bancaria</t>
        </is>
      </c>
      <c r="I1827" s="2" t="n"/>
      <c r="J1827" s="3" t="n">
        <v>-0.49</v>
      </c>
      <c r="K1827" s="2">
        <f>IF(H1827="02.09 : Outras Saídas", IF(OR(ISNUMBER(SEARCH("CHEQUE COMPE SICREDI", F1827)), ISNUMBER(SEARCH("aniversario", F1827)), ISNUMBER(SEARCH("churrasco", F1827)), ISNUMBER(SEARCH("bolo", F1827)), ISNUMBER(SEARCH("SUPERMERCADO", F1827))), "6.1 Despesas Administrativas (Pessoal)", IF(OR(ISNUMBER(SEARCH("DLKNET", F1827)), ISNUMBER(SEARCH("TESTE", F1827))), "6.1 Despesas Administrativas (Gerais)", IFERROR(VLOOKUP(H1827, De_Para!A:B, 2, FALSE), "NÃO MAPEADO"))), IFERROR(VLOOKUP(H1827, De_Para!A:B, 2, FALSE), "NÃO MAPEADO"))</f>
        <v/>
      </c>
    </row>
    <row r="1828">
      <c r="A1828" s="2" t="inlineStr">
        <is>
          <t>67858</t>
        </is>
      </c>
      <c r="B1828" s="2" t="inlineStr">
        <is>
          <t>Sicredi SNI</t>
        </is>
      </c>
      <c r="C1828" s="2" t="inlineStr">
        <is>
          <t>05/06/2026</t>
        </is>
      </c>
      <c r="D1828" s="2" t="inlineStr">
        <is>
          <t>05/06/2026</t>
        </is>
      </c>
      <c r="E1828" s="2" t="inlineStr">
        <is>
          <t>PIX</t>
        </is>
      </c>
      <c r="F1828" s="2" t="inlineStr">
        <is>
          <t>Boleto "56575" do cliente "TEREZA DOS SANTOS CLEMENTE"</t>
        </is>
      </c>
      <c r="G1828" s="2" t="inlineStr">
        <is>
          <t>system</t>
        </is>
      </c>
      <c r="H1828" s="2" t="inlineStr">
        <is>
          <t>01.01.01 : Mensalidade</t>
        </is>
      </c>
      <c r="I1828" s="3" t="n">
        <v>100</v>
      </c>
      <c r="J1828" s="2" t="n"/>
      <c r="K1828" s="2">
        <f>IF(H1828="02.09 : Outras Saídas", IF(OR(ISNUMBER(SEARCH("CHEQUE COMPE SICREDI", F1828)), ISNUMBER(SEARCH("aniversario", F1828)), ISNUMBER(SEARCH("churrasco", F1828)), ISNUMBER(SEARCH("bolo", F1828)), ISNUMBER(SEARCH("SUPERMERCADO", F1828))), "6.1 Despesas Administrativas (Pessoal)", IF(OR(ISNUMBER(SEARCH("DLKNET", F1828)), ISNUMBER(SEARCH("TESTE", F1828))), "6.1 Despesas Administrativas (Gerais)", IFERROR(VLOOKUP(H1828, De_Para!A:B, 2, FALSE), "NÃO MAPEADO"))), IFERROR(VLOOKUP(H1828, De_Para!A:B, 2, FALSE), "NÃO MAPEADO"))</f>
        <v/>
      </c>
    </row>
    <row r="1829">
      <c r="A1829" s="2" t="inlineStr">
        <is>
          <t>67857</t>
        </is>
      </c>
      <c r="B1829" s="2" t="inlineStr">
        <is>
          <t>Sicredi SNI</t>
        </is>
      </c>
      <c r="C1829" s="2" t="inlineStr">
        <is>
          <t>05/06/2026</t>
        </is>
      </c>
      <c r="D1829" s="2" t="inlineStr">
        <is>
          <t>05/06/2026</t>
        </is>
      </c>
      <c r="E1829" s="2" t="inlineStr">
        <is>
          <t>PIX</t>
        </is>
      </c>
      <c r="F1829" s="2" t="inlineStr">
        <is>
          <t>Boleto "63128" do cliente "MARLI VICENTE DA SILVA"</t>
        </is>
      </c>
      <c r="G1829" s="2" t="inlineStr">
        <is>
          <t>system</t>
        </is>
      </c>
      <c r="H1829" s="2" t="inlineStr">
        <is>
          <t>02.03.02.01 : Cobrança Bancaria</t>
        </is>
      </c>
      <c r="I1829" s="2" t="n"/>
      <c r="J1829" s="3" t="n">
        <v>-0.49</v>
      </c>
      <c r="K1829" s="2">
        <f>IF(H1829="02.09 : Outras Saídas", IF(OR(ISNUMBER(SEARCH("CHEQUE COMPE SICREDI", F1829)), ISNUMBER(SEARCH("aniversario", F1829)), ISNUMBER(SEARCH("churrasco", F1829)), ISNUMBER(SEARCH("bolo", F1829)), ISNUMBER(SEARCH("SUPERMERCADO", F1829))), "6.1 Despesas Administrativas (Pessoal)", IF(OR(ISNUMBER(SEARCH("DLKNET", F1829)), ISNUMBER(SEARCH("TESTE", F1829))), "6.1 Despesas Administrativas (Gerais)", IFERROR(VLOOKUP(H1829, De_Para!A:B, 2, FALSE), "NÃO MAPEADO"))), IFERROR(VLOOKUP(H1829, De_Para!A:B, 2, FALSE), "NÃO MAPEADO"))</f>
        <v/>
      </c>
    </row>
    <row r="1830">
      <c r="A1830" s="2" t="inlineStr">
        <is>
          <t>67856</t>
        </is>
      </c>
      <c r="B1830" s="2" t="inlineStr">
        <is>
          <t>Sicredi SNI</t>
        </is>
      </c>
      <c r="C1830" s="2" t="inlineStr">
        <is>
          <t>05/06/2026</t>
        </is>
      </c>
      <c r="D1830" s="2" t="inlineStr">
        <is>
          <t>05/06/2026</t>
        </is>
      </c>
      <c r="E1830" s="2" t="inlineStr">
        <is>
          <t>PIX</t>
        </is>
      </c>
      <c r="F1830" s="2" t="inlineStr">
        <is>
          <t>Boleto "63128" do cliente "MARLI VICENTE DA SILVA"</t>
        </is>
      </c>
      <c r="G1830" s="2" t="inlineStr">
        <is>
          <t>system</t>
        </is>
      </c>
      <c r="H1830" s="2" t="inlineStr">
        <is>
          <t>01.01.01 : Mensalidade</t>
        </is>
      </c>
      <c r="I1830" s="3" t="n">
        <v>100</v>
      </c>
      <c r="J1830" s="2" t="n"/>
      <c r="K1830" s="2">
        <f>IF(H1830="02.09 : Outras Saídas", IF(OR(ISNUMBER(SEARCH("CHEQUE COMPE SICREDI", F1830)), ISNUMBER(SEARCH("aniversario", F1830)), ISNUMBER(SEARCH("churrasco", F1830)), ISNUMBER(SEARCH("bolo", F1830)), ISNUMBER(SEARCH("SUPERMERCADO", F1830))), "6.1 Despesas Administrativas (Pessoal)", IF(OR(ISNUMBER(SEARCH("DLKNET", F1830)), ISNUMBER(SEARCH("TESTE", F1830))), "6.1 Despesas Administrativas (Gerais)", IFERROR(VLOOKUP(H1830, De_Para!A:B, 2, FALSE), "NÃO MAPEADO"))), IFERROR(VLOOKUP(H1830, De_Para!A:B, 2, FALSE), "NÃO MAPEADO"))</f>
        <v/>
      </c>
    </row>
    <row r="1831">
      <c r="A1831" s="2" t="inlineStr">
        <is>
          <t>67855</t>
        </is>
      </c>
      <c r="B1831" s="2" t="inlineStr">
        <is>
          <t>Sicredi SNI</t>
        </is>
      </c>
      <c r="C1831" s="2" t="inlineStr">
        <is>
          <t>05/06/2026</t>
        </is>
      </c>
      <c r="D1831" s="2" t="inlineStr">
        <is>
          <t>05/06/2026</t>
        </is>
      </c>
      <c r="E1831" s="2" t="inlineStr">
        <is>
          <t>PIX</t>
        </is>
      </c>
      <c r="F1831" s="2" t="inlineStr">
        <is>
          <t>Boleto "55788" do cliente "NATAL PANICHI NETO"</t>
        </is>
      </c>
      <c r="G1831" s="2" t="inlineStr">
        <is>
          <t>system</t>
        </is>
      </c>
      <c r="H1831" s="2" t="inlineStr">
        <is>
          <t>02.03.02.01 : Cobrança Bancaria</t>
        </is>
      </c>
      <c r="I1831" s="2" t="n"/>
      <c r="J1831" s="3" t="n">
        <v>-0.49</v>
      </c>
      <c r="K1831" s="2">
        <f>IF(H1831="02.09 : Outras Saídas", IF(OR(ISNUMBER(SEARCH("CHEQUE COMPE SICREDI", F1831)), ISNUMBER(SEARCH("aniversario", F1831)), ISNUMBER(SEARCH("churrasco", F1831)), ISNUMBER(SEARCH("bolo", F1831)), ISNUMBER(SEARCH("SUPERMERCADO", F1831))), "6.1 Despesas Administrativas (Pessoal)", IF(OR(ISNUMBER(SEARCH("DLKNET", F1831)), ISNUMBER(SEARCH("TESTE", F1831))), "6.1 Despesas Administrativas (Gerais)", IFERROR(VLOOKUP(H1831, De_Para!A:B, 2, FALSE), "NÃO MAPEADO"))), IFERROR(VLOOKUP(H1831, De_Para!A:B, 2, FALSE), "NÃO MAPEADO"))</f>
        <v/>
      </c>
    </row>
    <row r="1832">
      <c r="A1832" s="2" t="inlineStr">
        <is>
          <t>67854</t>
        </is>
      </c>
      <c r="B1832" s="2" t="inlineStr">
        <is>
          <t>Sicredi SNI</t>
        </is>
      </c>
      <c r="C1832" s="2" t="inlineStr">
        <is>
          <t>05/06/2026</t>
        </is>
      </c>
      <c r="D1832" s="2" t="inlineStr">
        <is>
          <t>05/06/2026</t>
        </is>
      </c>
      <c r="E1832" s="2" t="inlineStr">
        <is>
          <t>PIX</t>
        </is>
      </c>
      <c r="F1832" s="2" t="inlineStr">
        <is>
          <t>Boleto "55788" do cliente "NATAL PANICHI NETO"</t>
        </is>
      </c>
      <c r="G1832" s="2" t="inlineStr">
        <is>
          <t>system</t>
        </is>
      </c>
      <c r="H1832" s="2" t="inlineStr">
        <is>
          <t>01.01.01 : Mensalidade</t>
        </is>
      </c>
      <c r="I1832" s="3" t="n">
        <v>105</v>
      </c>
      <c r="J1832" s="2" t="n"/>
      <c r="K1832" s="2">
        <f>IF(H1832="02.09 : Outras Saídas", IF(OR(ISNUMBER(SEARCH("CHEQUE COMPE SICREDI", F1832)), ISNUMBER(SEARCH("aniversario", F1832)), ISNUMBER(SEARCH("churrasco", F1832)), ISNUMBER(SEARCH("bolo", F1832)), ISNUMBER(SEARCH("SUPERMERCADO", F1832))), "6.1 Despesas Administrativas (Pessoal)", IF(OR(ISNUMBER(SEARCH("DLKNET", F1832)), ISNUMBER(SEARCH("TESTE", F1832))), "6.1 Despesas Administrativas (Gerais)", IFERROR(VLOOKUP(H1832, De_Para!A:B, 2, FALSE), "NÃO MAPEADO"))), IFERROR(VLOOKUP(H1832, De_Para!A:B, 2, FALSE), "NÃO MAPEADO"))</f>
        <v/>
      </c>
    </row>
    <row r="1833">
      <c r="A1833" s="2" t="inlineStr">
        <is>
          <t>67853</t>
        </is>
      </c>
      <c r="B1833" s="2" t="inlineStr">
        <is>
          <t>Sicredi SNI</t>
        </is>
      </c>
      <c r="C1833" s="2" t="inlineStr">
        <is>
          <t>05/06/2026</t>
        </is>
      </c>
      <c r="D1833" s="2" t="inlineStr">
        <is>
          <t>05/06/2026</t>
        </is>
      </c>
      <c r="E1833" s="2" t="inlineStr">
        <is>
          <t>Dinheiro</t>
        </is>
      </c>
      <c r="F1833" s="2" t="inlineStr">
        <is>
          <t>Boleto "63937" do cliente "ROSEMAR FERNANDES BARBOSA"</t>
        </is>
      </c>
      <c r="G1833" s="2" t="inlineStr">
        <is>
          <t>system</t>
        </is>
      </c>
      <c r="H1833" s="2" t="inlineStr">
        <is>
          <t>02.03.02.01 : Cobrança Bancaria</t>
        </is>
      </c>
      <c r="I1833" s="2" t="n"/>
      <c r="J1833" s="3" t="n">
        <v>-1.08</v>
      </c>
      <c r="K1833" s="2">
        <f>IF(H1833="02.09 : Outras Saídas", IF(OR(ISNUMBER(SEARCH("CHEQUE COMPE SICREDI", F1833)), ISNUMBER(SEARCH("aniversario", F1833)), ISNUMBER(SEARCH("churrasco", F1833)), ISNUMBER(SEARCH("bolo", F1833)), ISNUMBER(SEARCH("SUPERMERCADO", F1833))), "6.1 Despesas Administrativas (Pessoal)", IF(OR(ISNUMBER(SEARCH("DLKNET", F1833)), ISNUMBER(SEARCH("TESTE", F1833))), "6.1 Despesas Administrativas (Gerais)", IFERROR(VLOOKUP(H1833, De_Para!A:B, 2, FALSE), "NÃO MAPEADO"))), IFERROR(VLOOKUP(H1833, De_Para!A:B, 2, FALSE), "NÃO MAPEADO"))</f>
        <v/>
      </c>
    </row>
    <row r="1834">
      <c r="A1834" s="2" t="inlineStr">
        <is>
          <t>67852</t>
        </is>
      </c>
      <c r="B1834" s="2" t="inlineStr">
        <is>
          <t>Sicredi SNI</t>
        </is>
      </c>
      <c r="C1834" s="2" t="inlineStr">
        <is>
          <t>05/06/2026</t>
        </is>
      </c>
      <c r="D1834" s="2" t="inlineStr">
        <is>
          <t>05/06/2026</t>
        </is>
      </c>
      <c r="E1834" s="2" t="inlineStr">
        <is>
          <t>Dinheiro</t>
        </is>
      </c>
      <c r="F1834" s="2" t="inlineStr">
        <is>
          <t>Boleto "63937" do cliente "ROSEMAR FERNANDES BARBOSA"</t>
        </is>
      </c>
      <c r="G1834" s="2" t="inlineStr">
        <is>
          <t>system</t>
        </is>
      </c>
      <c r="H1834" s="2" t="inlineStr">
        <is>
          <t>01.01.01 : Mensalidade</t>
        </is>
      </c>
      <c r="I1834" s="3" t="n">
        <v>107.49</v>
      </c>
      <c r="J1834" s="2" t="n"/>
      <c r="K1834" s="2">
        <f>IF(H1834="02.09 : Outras Saídas", IF(OR(ISNUMBER(SEARCH("CHEQUE COMPE SICREDI", F1834)), ISNUMBER(SEARCH("aniversario", F1834)), ISNUMBER(SEARCH("churrasco", F1834)), ISNUMBER(SEARCH("bolo", F1834)), ISNUMBER(SEARCH("SUPERMERCADO", F1834))), "6.1 Despesas Administrativas (Pessoal)", IF(OR(ISNUMBER(SEARCH("DLKNET", F1834)), ISNUMBER(SEARCH("TESTE", F1834))), "6.1 Despesas Administrativas (Gerais)", IFERROR(VLOOKUP(H1834, De_Para!A:B, 2, FALSE), "NÃO MAPEADO"))), IFERROR(VLOOKUP(H1834, De_Para!A:B, 2, FALSE), "NÃO MAPEADO"))</f>
        <v/>
      </c>
    </row>
    <row r="1835">
      <c r="A1835" s="2" t="inlineStr">
        <is>
          <t>67851</t>
        </is>
      </c>
      <c r="B1835" s="2" t="inlineStr">
        <is>
          <t>Sicredi SNI</t>
        </is>
      </c>
      <c r="C1835" s="2" t="inlineStr">
        <is>
          <t>05/06/2026</t>
        </is>
      </c>
      <c r="D1835" s="2" t="inlineStr">
        <is>
          <t>05/06/2026</t>
        </is>
      </c>
      <c r="E1835" s="2" t="inlineStr">
        <is>
          <t>Dinheiro</t>
        </is>
      </c>
      <c r="F1835" s="2" t="inlineStr">
        <is>
          <t>Boleto "63794" do cliente "DALVA ELIAS DINIS"</t>
        </is>
      </c>
      <c r="G1835" s="2" t="inlineStr">
        <is>
          <t>system</t>
        </is>
      </c>
      <c r="H1835" s="2" t="inlineStr">
        <is>
          <t>02.03.02.01 : Cobrança Bancaria</t>
        </is>
      </c>
      <c r="I1835" s="2" t="n"/>
      <c r="J1835" s="3" t="n">
        <v>-1.08</v>
      </c>
      <c r="K1835" s="2">
        <f>IF(H1835="02.09 : Outras Saídas", IF(OR(ISNUMBER(SEARCH("CHEQUE COMPE SICREDI", F1835)), ISNUMBER(SEARCH("aniversario", F1835)), ISNUMBER(SEARCH("churrasco", F1835)), ISNUMBER(SEARCH("bolo", F1835)), ISNUMBER(SEARCH("SUPERMERCADO", F1835))), "6.1 Despesas Administrativas (Pessoal)", IF(OR(ISNUMBER(SEARCH("DLKNET", F1835)), ISNUMBER(SEARCH("TESTE", F1835))), "6.1 Despesas Administrativas (Gerais)", IFERROR(VLOOKUP(H1835, De_Para!A:B, 2, FALSE), "NÃO MAPEADO"))), IFERROR(VLOOKUP(H1835, De_Para!A:B, 2, FALSE), "NÃO MAPEADO"))</f>
        <v/>
      </c>
    </row>
    <row r="1836">
      <c r="A1836" s="2" t="inlineStr">
        <is>
          <t>67850</t>
        </is>
      </c>
      <c r="B1836" s="2" t="inlineStr">
        <is>
          <t>Sicredi SNI</t>
        </is>
      </c>
      <c r="C1836" s="2" t="inlineStr">
        <is>
          <t>05/06/2026</t>
        </is>
      </c>
      <c r="D1836" s="2" t="inlineStr">
        <is>
          <t>05/06/2026</t>
        </is>
      </c>
      <c r="E1836" s="2" t="inlineStr">
        <is>
          <t>Dinheiro</t>
        </is>
      </c>
      <c r="F1836" s="2" t="inlineStr">
        <is>
          <t>Boleto "63794" do cliente "DALVA ELIAS DINIS"</t>
        </is>
      </c>
      <c r="G1836" s="2" t="inlineStr">
        <is>
          <t>system</t>
        </is>
      </c>
      <c r="H1836" s="2" t="inlineStr">
        <is>
          <t>01.03.01 : Mensalidade</t>
        </is>
      </c>
      <c r="I1836" s="3" t="n">
        <v>105</v>
      </c>
      <c r="J1836" s="2" t="n"/>
      <c r="K1836" s="2">
        <f>IF(H1836="02.09 : Outras Saídas", IF(OR(ISNUMBER(SEARCH("CHEQUE COMPE SICREDI", F1836)), ISNUMBER(SEARCH("aniversario", F1836)), ISNUMBER(SEARCH("churrasco", F1836)), ISNUMBER(SEARCH("bolo", F1836)), ISNUMBER(SEARCH("SUPERMERCADO", F1836))), "6.1 Despesas Administrativas (Pessoal)", IF(OR(ISNUMBER(SEARCH("DLKNET", F1836)), ISNUMBER(SEARCH("TESTE", F1836))), "6.1 Despesas Administrativas (Gerais)", IFERROR(VLOOKUP(H1836, De_Para!A:B, 2, FALSE), "NÃO MAPEADO"))), IFERROR(VLOOKUP(H1836, De_Para!A:B, 2, FALSE), "NÃO MAPEADO"))</f>
        <v/>
      </c>
    </row>
    <row r="1837">
      <c r="A1837" s="2" t="inlineStr">
        <is>
          <t>67849</t>
        </is>
      </c>
      <c r="B1837" s="2" t="inlineStr">
        <is>
          <t>Sicredi SNI</t>
        </is>
      </c>
      <c r="C1837" s="2" t="inlineStr">
        <is>
          <t>05/06/2026</t>
        </is>
      </c>
      <c r="D1837" s="2" t="inlineStr">
        <is>
          <t>05/06/2026</t>
        </is>
      </c>
      <c r="E1837" s="2" t="inlineStr">
        <is>
          <t>Dinheiro</t>
        </is>
      </c>
      <c r="F1837" s="2" t="inlineStr">
        <is>
          <t>Boleto "63793" do cliente "DALVA ELIAS DINIS"</t>
        </is>
      </c>
      <c r="G1837" s="2" t="inlineStr">
        <is>
          <t>system</t>
        </is>
      </c>
      <c r="H1837" s="2" t="inlineStr">
        <is>
          <t>02.03.02.01 : Cobrança Bancaria</t>
        </is>
      </c>
      <c r="I1837" s="2" t="n"/>
      <c r="J1837" s="3" t="n">
        <v>-1.08</v>
      </c>
      <c r="K1837" s="2">
        <f>IF(H1837="02.09 : Outras Saídas", IF(OR(ISNUMBER(SEARCH("CHEQUE COMPE SICREDI", F1837)), ISNUMBER(SEARCH("aniversario", F1837)), ISNUMBER(SEARCH("churrasco", F1837)), ISNUMBER(SEARCH("bolo", F1837)), ISNUMBER(SEARCH("SUPERMERCADO", F1837))), "6.1 Despesas Administrativas (Pessoal)", IF(OR(ISNUMBER(SEARCH("DLKNET", F1837)), ISNUMBER(SEARCH("TESTE", F1837))), "6.1 Despesas Administrativas (Gerais)", IFERROR(VLOOKUP(H1837, De_Para!A:B, 2, FALSE), "NÃO MAPEADO"))), IFERROR(VLOOKUP(H1837, De_Para!A:B, 2, FALSE), "NÃO MAPEADO"))</f>
        <v/>
      </c>
    </row>
    <row r="1838">
      <c r="A1838" s="2" t="inlineStr">
        <is>
          <t>67848</t>
        </is>
      </c>
      <c r="B1838" s="2" t="inlineStr">
        <is>
          <t>Sicredi SNI</t>
        </is>
      </c>
      <c r="C1838" s="2" t="inlineStr">
        <is>
          <t>05/06/2026</t>
        </is>
      </c>
      <c r="D1838" s="2" t="inlineStr">
        <is>
          <t>05/06/2026</t>
        </is>
      </c>
      <c r="E1838" s="2" t="inlineStr">
        <is>
          <t>Dinheiro</t>
        </is>
      </c>
      <c r="F1838" s="2" t="inlineStr">
        <is>
          <t>Boleto "63793" do cliente "DALVA ELIAS DINIS"</t>
        </is>
      </c>
      <c r="G1838" s="2" t="inlineStr">
        <is>
          <t>system</t>
        </is>
      </c>
      <c r="H1838" s="2" t="inlineStr">
        <is>
          <t>01.03.01 : Mensalidade</t>
        </is>
      </c>
      <c r="I1838" s="3" t="n">
        <v>105</v>
      </c>
      <c r="J1838" s="2" t="n"/>
      <c r="K1838" s="2">
        <f>IF(H1838="02.09 : Outras Saídas", IF(OR(ISNUMBER(SEARCH("CHEQUE COMPE SICREDI", F1838)), ISNUMBER(SEARCH("aniversario", F1838)), ISNUMBER(SEARCH("churrasco", F1838)), ISNUMBER(SEARCH("bolo", F1838)), ISNUMBER(SEARCH("SUPERMERCADO", F1838))), "6.1 Despesas Administrativas (Pessoal)", IF(OR(ISNUMBER(SEARCH("DLKNET", F1838)), ISNUMBER(SEARCH("TESTE", F1838))), "6.1 Despesas Administrativas (Gerais)", IFERROR(VLOOKUP(H1838, De_Para!A:B, 2, FALSE), "NÃO MAPEADO"))), IFERROR(VLOOKUP(H1838, De_Para!A:B, 2, FALSE), "NÃO MAPEADO"))</f>
        <v/>
      </c>
    </row>
    <row r="1839">
      <c r="A1839" s="2" t="inlineStr">
        <is>
          <t>67847</t>
        </is>
      </c>
      <c r="B1839" s="2" t="inlineStr">
        <is>
          <t>Sicredi SNI</t>
        </is>
      </c>
      <c r="C1839" s="2" t="inlineStr">
        <is>
          <t>05/06/2026</t>
        </is>
      </c>
      <c r="D1839" s="2" t="inlineStr">
        <is>
          <t>05/06/2026</t>
        </is>
      </c>
      <c r="E1839" s="2" t="inlineStr">
        <is>
          <t>Dinheiro</t>
        </is>
      </c>
      <c r="F1839" s="2" t="inlineStr">
        <is>
          <t>Boleto "61389" do cliente "HELTON MARCOS DIAS SARTORIO"</t>
        </is>
      </c>
      <c r="G1839" s="2" t="inlineStr">
        <is>
          <t>system</t>
        </is>
      </c>
      <c r="H1839" s="2" t="inlineStr">
        <is>
          <t>02.03.02.01 : Cobrança Bancaria</t>
        </is>
      </c>
      <c r="I1839" s="2" t="n"/>
      <c r="J1839" s="3" t="n">
        <v>-1.08</v>
      </c>
      <c r="K1839" s="2">
        <f>IF(H1839="02.09 : Outras Saídas", IF(OR(ISNUMBER(SEARCH("CHEQUE COMPE SICREDI", F1839)), ISNUMBER(SEARCH("aniversario", F1839)), ISNUMBER(SEARCH("churrasco", F1839)), ISNUMBER(SEARCH("bolo", F1839)), ISNUMBER(SEARCH("SUPERMERCADO", F1839))), "6.1 Despesas Administrativas (Pessoal)", IF(OR(ISNUMBER(SEARCH("DLKNET", F1839)), ISNUMBER(SEARCH("TESTE", F1839))), "6.1 Despesas Administrativas (Gerais)", IFERROR(VLOOKUP(H1839, De_Para!A:B, 2, FALSE), "NÃO MAPEADO"))), IFERROR(VLOOKUP(H1839, De_Para!A:B, 2, FALSE), "NÃO MAPEADO"))</f>
        <v/>
      </c>
    </row>
    <row r="1840">
      <c r="A1840" s="2" t="inlineStr">
        <is>
          <t>67846</t>
        </is>
      </c>
      <c r="B1840" s="2" t="inlineStr">
        <is>
          <t>Sicredi SNI</t>
        </is>
      </c>
      <c r="C1840" s="2" t="inlineStr">
        <is>
          <t>05/06/2026</t>
        </is>
      </c>
      <c r="D1840" s="2" t="inlineStr">
        <is>
          <t>05/06/2026</t>
        </is>
      </c>
      <c r="E1840" s="2" t="inlineStr">
        <is>
          <t>Dinheiro</t>
        </is>
      </c>
      <c r="F1840" s="2" t="inlineStr">
        <is>
          <t>Boleto "61389" do cliente "HELTON MARCOS DIAS SARTORIO"</t>
        </is>
      </c>
      <c r="G1840" s="2" t="inlineStr">
        <is>
          <t>system</t>
        </is>
      </c>
      <c r="H1840" s="2" t="inlineStr">
        <is>
          <t>01.01.01 : Mensalidade</t>
        </is>
      </c>
      <c r="I1840" s="3" t="n">
        <v>85.95</v>
      </c>
      <c r="J1840" s="2" t="n"/>
      <c r="K1840" s="2">
        <f>IF(H1840="02.09 : Outras Saídas", IF(OR(ISNUMBER(SEARCH("CHEQUE COMPE SICREDI", F1840)), ISNUMBER(SEARCH("aniversario", F1840)), ISNUMBER(SEARCH("churrasco", F1840)), ISNUMBER(SEARCH("bolo", F1840)), ISNUMBER(SEARCH("SUPERMERCADO", F1840))), "6.1 Despesas Administrativas (Pessoal)", IF(OR(ISNUMBER(SEARCH("DLKNET", F1840)), ISNUMBER(SEARCH("TESTE", F1840))), "6.1 Despesas Administrativas (Gerais)", IFERROR(VLOOKUP(H1840, De_Para!A:B, 2, FALSE), "NÃO MAPEADO"))), IFERROR(VLOOKUP(H1840, De_Para!A:B, 2, FALSE), "NÃO MAPEADO"))</f>
        <v/>
      </c>
    </row>
    <row r="1841">
      <c r="A1841" s="2" t="inlineStr">
        <is>
          <t>67845</t>
        </is>
      </c>
      <c r="B1841" s="2" t="inlineStr">
        <is>
          <t>Sicredi SNI</t>
        </is>
      </c>
      <c r="C1841" s="2" t="inlineStr">
        <is>
          <t>05/06/2026</t>
        </is>
      </c>
      <c r="D1841" s="2" t="inlineStr">
        <is>
          <t>05/06/2026</t>
        </is>
      </c>
      <c r="E1841" s="2" t="inlineStr">
        <is>
          <t>Dinheiro</t>
        </is>
      </c>
      <c r="F1841" s="2" t="inlineStr">
        <is>
          <t>Boleto "59451" do cliente "GEREMIAS ESTEVAN ORADOR"</t>
        </is>
      </c>
      <c r="G1841" s="2" t="inlineStr">
        <is>
          <t>system</t>
        </is>
      </c>
      <c r="H1841" s="2" t="inlineStr">
        <is>
          <t>02.03.02.01 : Cobrança Bancaria</t>
        </is>
      </c>
      <c r="I1841" s="2" t="n"/>
      <c r="J1841" s="3" t="n">
        <v>-1.08</v>
      </c>
      <c r="K1841" s="2">
        <f>IF(H1841="02.09 : Outras Saídas", IF(OR(ISNUMBER(SEARCH("CHEQUE COMPE SICREDI", F1841)), ISNUMBER(SEARCH("aniversario", F1841)), ISNUMBER(SEARCH("churrasco", F1841)), ISNUMBER(SEARCH("bolo", F1841)), ISNUMBER(SEARCH("SUPERMERCADO", F1841))), "6.1 Despesas Administrativas (Pessoal)", IF(OR(ISNUMBER(SEARCH("DLKNET", F1841)), ISNUMBER(SEARCH("TESTE", F1841))), "6.1 Despesas Administrativas (Gerais)", IFERROR(VLOOKUP(H1841, De_Para!A:B, 2, FALSE), "NÃO MAPEADO"))), IFERROR(VLOOKUP(H1841, De_Para!A:B, 2, FALSE), "NÃO MAPEADO"))</f>
        <v/>
      </c>
    </row>
    <row r="1842">
      <c r="A1842" s="2" t="inlineStr">
        <is>
          <t>67844</t>
        </is>
      </c>
      <c r="B1842" s="2" t="inlineStr">
        <is>
          <t>Sicredi SNI</t>
        </is>
      </c>
      <c r="C1842" s="2" t="inlineStr">
        <is>
          <t>05/06/2026</t>
        </is>
      </c>
      <c r="D1842" s="2" t="inlineStr">
        <is>
          <t>05/06/2026</t>
        </is>
      </c>
      <c r="E1842" s="2" t="inlineStr">
        <is>
          <t>Dinheiro</t>
        </is>
      </c>
      <c r="F1842" s="2" t="inlineStr">
        <is>
          <t>Boleto "59451" do cliente "GEREMIAS ESTEVAN ORADOR"</t>
        </is>
      </c>
      <c r="G1842" s="2" t="inlineStr">
        <is>
          <t>system</t>
        </is>
      </c>
      <c r="H1842" s="2" t="inlineStr">
        <is>
          <t>01.01.01 : Mensalidade</t>
        </is>
      </c>
      <c r="I1842" s="3" t="n">
        <v>110</v>
      </c>
      <c r="J1842" s="2" t="n"/>
      <c r="K1842" s="2">
        <f>IF(H1842="02.09 : Outras Saídas", IF(OR(ISNUMBER(SEARCH("CHEQUE COMPE SICREDI", F1842)), ISNUMBER(SEARCH("aniversario", F1842)), ISNUMBER(SEARCH("churrasco", F1842)), ISNUMBER(SEARCH("bolo", F1842)), ISNUMBER(SEARCH("SUPERMERCADO", F1842))), "6.1 Despesas Administrativas (Pessoal)", IF(OR(ISNUMBER(SEARCH("DLKNET", F1842)), ISNUMBER(SEARCH("TESTE", F1842))), "6.1 Despesas Administrativas (Gerais)", IFERROR(VLOOKUP(H1842, De_Para!A:B, 2, FALSE), "NÃO MAPEADO"))), IFERROR(VLOOKUP(H1842, De_Para!A:B, 2, FALSE), "NÃO MAPEADO"))</f>
        <v/>
      </c>
    </row>
    <row r="1843">
      <c r="A1843" s="2" t="inlineStr">
        <is>
          <t>67843</t>
        </is>
      </c>
      <c r="B1843" s="2" t="inlineStr">
        <is>
          <t>Sicredi SNI</t>
        </is>
      </c>
      <c r="C1843" s="2" t="inlineStr">
        <is>
          <t>05/06/2026</t>
        </is>
      </c>
      <c r="D1843" s="2" t="inlineStr">
        <is>
          <t>05/06/2026</t>
        </is>
      </c>
      <c r="E1843" s="2" t="inlineStr">
        <is>
          <t>Dinheiro</t>
        </is>
      </c>
      <c r="F1843" s="2" t="inlineStr">
        <is>
          <t>Boleto "56535" do cliente "FABIANA CANDIDO DOS SANTOS"</t>
        </is>
      </c>
      <c r="G1843" s="2" t="inlineStr">
        <is>
          <t>system</t>
        </is>
      </c>
      <c r="H1843" s="2" t="inlineStr">
        <is>
          <t>02.03.02.01 : Cobrança Bancaria</t>
        </is>
      </c>
      <c r="I1843" s="2" t="n"/>
      <c r="J1843" s="3" t="n">
        <v>-1.08</v>
      </c>
      <c r="K1843" s="2">
        <f>IF(H1843="02.09 : Outras Saídas", IF(OR(ISNUMBER(SEARCH("CHEQUE COMPE SICREDI", F1843)), ISNUMBER(SEARCH("aniversario", F1843)), ISNUMBER(SEARCH("churrasco", F1843)), ISNUMBER(SEARCH("bolo", F1843)), ISNUMBER(SEARCH("SUPERMERCADO", F1843))), "6.1 Despesas Administrativas (Pessoal)", IF(OR(ISNUMBER(SEARCH("DLKNET", F1843)), ISNUMBER(SEARCH("TESTE", F1843))), "6.1 Despesas Administrativas (Gerais)", IFERROR(VLOOKUP(H1843, De_Para!A:B, 2, FALSE), "NÃO MAPEADO"))), IFERROR(VLOOKUP(H1843, De_Para!A:B, 2, FALSE), "NÃO MAPEADO"))</f>
        <v/>
      </c>
    </row>
    <row r="1844">
      <c r="A1844" s="2" t="inlineStr">
        <is>
          <t>67842</t>
        </is>
      </c>
      <c r="B1844" s="2" t="inlineStr">
        <is>
          <t>Sicredi SNI</t>
        </is>
      </c>
      <c r="C1844" s="2" t="inlineStr">
        <is>
          <t>05/06/2026</t>
        </is>
      </c>
      <c r="D1844" s="2" t="inlineStr">
        <is>
          <t>05/06/2026</t>
        </is>
      </c>
      <c r="E1844" s="2" t="inlineStr">
        <is>
          <t>Dinheiro</t>
        </is>
      </c>
      <c r="F1844" s="2" t="inlineStr">
        <is>
          <t>Boleto "56535" do cliente "FABIANA CANDIDO DOS SANTOS"</t>
        </is>
      </c>
      <c r="G1844" s="2" t="inlineStr">
        <is>
          <t>system</t>
        </is>
      </c>
      <c r="H1844" s="2" t="inlineStr">
        <is>
          <t>01.01.01 : Mensalidade</t>
        </is>
      </c>
      <c r="I1844" s="3" t="n">
        <v>105</v>
      </c>
      <c r="J1844" s="2" t="n"/>
      <c r="K1844" s="2">
        <f>IF(H1844="02.09 : Outras Saídas", IF(OR(ISNUMBER(SEARCH("CHEQUE COMPE SICREDI", F1844)), ISNUMBER(SEARCH("aniversario", F1844)), ISNUMBER(SEARCH("churrasco", F1844)), ISNUMBER(SEARCH("bolo", F1844)), ISNUMBER(SEARCH("SUPERMERCADO", F1844))), "6.1 Despesas Administrativas (Pessoal)", IF(OR(ISNUMBER(SEARCH("DLKNET", F1844)), ISNUMBER(SEARCH("TESTE", F1844))), "6.1 Despesas Administrativas (Gerais)", IFERROR(VLOOKUP(H1844, De_Para!A:B, 2, FALSE), "NÃO MAPEADO"))), IFERROR(VLOOKUP(H1844, De_Para!A:B, 2, FALSE), "NÃO MAPEADO"))</f>
        <v/>
      </c>
    </row>
    <row r="1845">
      <c r="A1845" s="2" t="inlineStr">
        <is>
          <t>67841</t>
        </is>
      </c>
      <c r="B1845" s="2" t="inlineStr">
        <is>
          <t>Sicredi SNI</t>
        </is>
      </c>
      <c r="C1845" s="2" t="inlineStr">
        <is>
          <t>05/06/2026</t>
        </is>
      </c>
      <c r="D1845" s="2" t="inlineStr">
        <is>
          <t>05/06/2026</t>
        </is>
      </c>
      <c r="E1845" s="2" t="inlineStr">
        <is>
          <t>Dinheiro</t>
        </is>
      </c>
      <c r="F1845" s="2" t="inlineStr">
        <is>
          <t>Boleto "55622" do cliente "HELENA MARIA SAY FERREIRA"</t>
        </is>
      </c>
      <c r="G1845" s="2" t="inlineStr">
        <is>
          <t>system</t>
        </is>
      </c>
      <c r="H1845" s="2" t="inlineStr">
        <is>
          <t>02.03.02.01 : Cobrança Bancaria</t>
        </is>
      </c>
      <c r="I1845" s="2" t="n"/>
      <c r="J1845" s="3" t="n">
        <v>-1.08</v>
      </c>
      <c r="K1845" s="2">
        <f>IF(H1845="02.09 : Outras Saídas", IF(OR(ISNUMBER(SEARCH("CHEQUE COMPE SICREDI", F1845)), ISNUMBER(SEARCH("aniversario", F1845)), ISNUMBER(SEARCH("churrasco", F1845)), ISNUMBER(SEARCH("bolo", F1845)), ISNUMBER(SEARCH("SUPERMERCADO", F1845))), "6.1 Despesas Administrativas (Pessoal)", IF(OR(ISNUMBER(SEARCH("DLKNET", F1845)), ISNUMBER(SEARCH("TESTE", F1845))), "6.1 Despesas Administrativas (Gerais)", IFERROR(VLOOKUP(H1845, De_Para!A:B, 2, FALSE), "NÃO MAPEADO"))), IFERROR(VLOOKUP(H1845, De_Para!A:B, 2, FALSE), "NÃO MAPEADO"))</f>
        <v/>
      </c>
    </row>
    <row r="1846">
      <c r="A1846" s="2" t="inlineStr">
        <is>
          <t>67840</t>
        </is>
      </c>
      <c r="B1846" s="2" t="inlineStr">
        <is>
          <t>Sicredi SNI</t>
        </is>
      </c>
      <c r="C1846" s="2" t="inlineStr">
        <is>
          <t>05/06/2026</t>
        </is>
      </c>
      <c r="D1846" s="2" t="inlineStr">
        <is>
          <t>05/06/2026</t>
        </is>
      </c>
      <c r="E1846" s="2" t="inlineStr">
        <is>
          <t>Dinheiro</t>
        </is>
      </c>
      <c r="F1846" s="2" t="inlineStr">
        <is>
          <t>Boleto "55622" do cliente "HELENA MARIA SAY FERREIRA"</t>
        </is>
      </c>
      <c r="G1846" s="2" t="inlineStr">
        <is>
          <t>system</t>
        </is>
      </c>
      <c r="H1846" s="2" t="inlineStr">
        <is>
          <t>01.01.01 : Mensalidade</t>
        </is>
      </c>
      <c r="I1846" s="3" t="n">
        <v>80</v>
      </c>
      <c r="J1846" s="2" t="n"/>
      <c r="K1846" s="2">
        <f>IF(H1846="02.09 : Outras Saídas", IF(OR(ISNUMBER(SEARCH("CHEQUE COMPE SICREDI", F1846)), ISNUMBER(SEARCH("aniversario", F1846)), ISNUMBER(SEARCH("churrasco", F1846)), ISNUMBER(SEARCH("bolo", F1846)), ISNUMBER(SEARCH("SUPERMERCADO", F1846))), "6.1 Despesas Administrativas (Pessoal)", IF(OR(ISNUMBER(SEARCH("DLKNET", F1846)), ISNUMBER(SEARCH("TESTE", F1846))), "6.1 Despesas Administrativas (Gerais)", IFERROR(VLOOKUP(H1846, De_Para!A:B, 2, FALSE), "NÃO MAPEADO"))), IFERROR(VLOOKUP(H1846, De_Para!A:B, 2, FALSE), "NÃO MAPEADO"))</f>
        <v/>
      </c>
    </row>
    <row r="1847">
      <c r="A1847" s="2" t="inlineStr">
        <is>
          <t>67839</t>
        </is>
      </c>
      <c r="B1847" s="2" t="inlineStr">
        <is>
          <t>Sicredi SNI</t>
        </is>
      </c>
      <c r="C1847" s="2" t="inlineStr">
        <is>
          <t>05/06/2026</t>
        </is>
      </c>
      <c r="D1847" s="2" t="inlineStr">
        <is>
          <t>05/06/2026</t>
        </is>
      </c>
      <c r="E1847" s="2" t="inlineStr">
        <is>
          <t>Dinheiro</t>
        </is>
      </c>
      <c r="F1847" s="2" t="inlineStr">
        <is>
          <t>Boleto "54213" do cliente "DENILSON SOUTO"</t>
        </is>
      </c>
      <c r="G1847" s="2" t="inlineStr">
        <is>
          <t>system</t>
        </is>
      </c>
      <c r="H1847" s="2" t="inlineStr">
        <is>
          <t>02.03.02.01 : Cobrança Bancaria</t>
        </is>
      </c>
      <c r="I1847" s="2" t="n"/>
      <c r="J1847" s="3" t="n">
        <v>-1.08</v>
      </c>
      <c r="K1847" s="2">
        <f>IF(H1847="02.09 : Outras Saídas", IF(OR(ISNUMBER(SEARCH("CHEQUE COMPE SICREDI", F1847)), ISNUMBER(SEARCH("aniversario", F1847)), ISNUMBER(SEARCH("churrasco", F1847)), ISNUMBER(SEARCH("bolo", F1847)), ISNUMBER(SEARCH("SUPERMERCADO", F1847))), "6.1 Despesas Administrativas (Pessoal)", IF(OR(ISNUMBER(SEARCH("DLKNET", F1847)), ISNUMBER(SEARCH("TESTE", F1847))), "6.1 Despesas Administrativas (Gerais)", IFERROR(VLOOKUP(H1847, De_Para!A:B, 2, FALSE), "NÃO MAPEADO"))), IFERROR(VLOOKUP(H1847, De_Para!A:B, 2, FALSE), "NÃO MAPEADO"))</f>
        <v/>
      </c>
    </row>
    <row r="1848">
      <c r="A1848" s="2" t="inlineStr">
        <is>
          <t>67838</t>
        </is>
      </c>
      <c r="B1848" s="2" t="inlineStr">
        <is>
          <t>Sicredi SNI</t>
        </is>
      </c>
      <c r="C1848" s="2" t="inlineStr">
        <is>
          <t>05/06/2026</t>
        </is>
      </c>
      <c r="D1848" s="2" t="inlineStr">
        <is>
          <t>05/06/2026</t>
        </is>
      </c>
      <c r="E1848" s="2" t="inlineStr">
        <is>
          <t>Dinheiro</t>
        </is>
      </c>
      <c r="F1848" s="2" t="inlineStr">
        <is>
          <t>Boleto "54213" do cliente "DENILSON SOUTO"</t>
        </is>
      </c>
      <c r="G1848" s="2" t="inlineStr">
        <is>
          <t>system</t>
        </is>
      </c>
      <c r="H1848" s="2" t="inlineStr">
        <is>
          <t>01.01.01 : Mensalidade</t>
        </is>
      </c>
      <c r="I1848" s="3" t="n">
        <v>105</v>
      </c>
      <c r="J1848" s="2" t="n"/>
      <c r="K1848" s="2">
        <f>IF(H1848="02.09 : Outras Saídas", IF(OR(ISNUMBER(SEARCH("CHEQUE COMPE SICREDI", F1848)), ISNUMBER(SEARCH("aniversario", F1848)), ISNUMBER(SEARCH("churrasco", F1848)), ISNUMBER(SEARCH("bolo", F1848)), ISNUMBER(SEARCH("SUPERMERCADO", F1848))), "6.1 Despesas Administrativas (Pessoal)", IF(OR(ISNUMBER(SEARCH("DLKNET", F1848)), ISNUMBER(SEARCH("TESTE", F1848))), "6.1 Despesas Administrativas (Gerais)", IFERROR(VLOOKUP(H1848, De_Para!A:B, 2, FALSE), "NÃO MAPEADO"))), IFERROR(VLOOKUP(H1848, De_Para!A:B, 2, FALSE), "NÃO MAPEADO"))</f>
        <v/>
      </c>
    </row>
    <row r="1849">
      <c r="A1849" s="2" t="inlineStr">
        <is>
          <t>67837</t>
        </is>
      </c>
      <c r="B1849" s="2" t="inlineStr">
        <is>
          <t>Sicoob</t>
        </is>
      </c>
      <c r="C1849" s="2" t="inlineStr">
        <is>
          <t>05/06/2026</t>
        </is>
      </c>
      <c r="D1849" s="2" t="inlineStr">
        <is>
          <t>05/06/2026</t>
        </is>
      </c>
      <c r="E1849" s="2" t="inlineStr">
        <is>
          <t>Dinheiro</t>
        </is>
      </c>
      <c r="F1849" s="2" t="inlineStr">
        <is>
          <t>Boleto "56355" do cliente "JOSE MARIA DA SILVA"</t>
        </is>
      </c>
      <c r="G1849" s="2" t="inlineStr">
        <is>
          <t>system</t>
        </is>
      </c>
      <c r="H1849" s="2" t="inlineStr">
        <is>
          <t>02.03.02.01 : Cobrança Bancaria</t>
        </is>
      </c>
      <c r="I1849" s="2" t="n"/>
      <c r="J1849" s="3" t="n">
        <v>-0.88</v>
      </c>
      <c r="K1849" s="2">
        <f>IF(H1849="02.09 : Outras Saídas", IF(OR(ISNUMBER(SEARCH("CHEQUE COMPE SICREDI", F1849)), ISNUMBER(SEARCH("aniversario", F1849)), ISNUMBER(SEARCH("churrasco", F1849)), ISNUMBER(SEARCH("bolo", F1849)), ISNUMBER(SEARCH("SUPERMERCADO", F1849))), "6.1 Despesas Administrativas (Pessoal)", IF(OR(ISNUMBER(SEARCH("DLKNET", F1849)), ISNUMBER(SEARCH("TESTE", F1849))), "6.1 Despesas Administrativas (Gerais)", IFERROR(VLOOKUP(H1849, De_Para!A:B, 2, FALSE), "NÃO MAPEADO"))), IFERROR(VLOOKUP(H1849, De_Para!A:B, 2, FALSE), "NÃO MAPEADO"))</f>
        <v/>
      </c>
    </row>
    <row r="1850">
      <c r="A1850" s="2" t="inlineStr">
        <is>
          <t>67836</t>
        </is>
      </c>
      <c r="B1850" s="2" t="inlineStr">
        <is>
          <t>Sicoob</t>
        </is>
      </c>
      <c r="C1850" s="2" t="inlineStr">
        <is>
          <t>05/06/2026</t>
        </is>
      </c>
      <c r="D1850" s="2" t="inlineStr">
        <is>
          <t>05/06/2026</t>
        </is>
      </c>
      <c r="E1850" s="2" t="inlineStr">
        <is>
          <t>Dinheiro</t>
        </is>
      </c>
      <c r="F1850" s="2" t="inlineStr">
        <is>
          <t>Boleto "56355" do cliente "JOSE MARIA DA SILVA"</t>
        </is>
      </c>
      <c r="G1850" s="2" t="inlineStr">
        <is>
          <t>system</t>
        </is>
      </c>
      <c r="H1850" s="2" t="inlineStr">
        <is>
          <t>01.01.01 : Mensalidade</t>
        </is>
      </c>
      <c r="I1850" s="3" t="n">
        <v>105</v>
      </c>
      <c r="J1850" s="2" t="n"/>
      <c r="K1850" s="2">
        <f>IF(H1850="02.09 : Outras Saídas", IF(OR(ISNUMBER(SEARCH("CHEQUE COMPE SICREDI", F1850)), ISNUMBER(SEARCH("aniversario", F1850)), ISNUMBER(SEARCH("churrasco", F1850)), ISNUMBER(SEARCH("bolo", F1850)), ISNUMBER(SEARCH("SUPERMERCADO", F1850))), "6.1 Despesas Administrativas (Pessoal)", IF(OR(ISNUMBER(SEARCH("DLKNET", F1850)), ISNUMBER(SEARCH("TESTE", F1850))), "6.1 Despesas Administrativas (Gerais)", IFERROR(VLOOKUP(H1850, De_Para!A:B, 2, FALSE), "NÃO MAPEADO"))), IFERROR(VLOOKUP(H1850, De_Para!A:B, 2, FALSE), "NÃO MAPEADO"))</f>
        <v/>
      </c>
    </row>
    <row r="1851">
      <c r="A1851" s="2" t="inlineStr">
        <is>
          <t>67835</t>
        </is>
      </c>
      <c r="B1851" s="2" t="inlineStr">
        <is>
          <t>Sicoob</t>
        </is>
      </c>
      <c r="C1851" s="2" t="inlineStr">
        <is>
          <t>05/06/2026</t>
        </is>
      </c>
      <c r="D1851" s="2" t="inlineStr">
        <is>
          <t>05/06/2026</t>
        </is>
      </c>
      <c r="E1851" s="2" t="inlineStr">
        <is>
          <t>Dinheiro</t>
        </is>
      </c>
      <c r="F1851" s="2" t="inlineStr">
        <is>
          <t>Boleto "54279" do cliente "MARCIA CRISTIANE DO PRADO"</t>
        </is>
      </c>
      <c r="G1851" s="2" t="inlineStr">
        <is>
          <t>system</t>
        </is>
      </c>
      <c r="H1851" s="2" t="inlineStr">
        <is>
          <t>02.03.02.01 : Cobrança Bancaria</t>
        </is>
      </c>
      <c r="I1851" s="2" t="n"/>
      <c r="J1851" s="3" t="n">
        <v>-0.88</v>
      </c>
      <c r="K1851" s="2">
        <f>IF(H1851="02.09 : Outras Saídas", IF(OR(ISNUMBER(SEARCH("CHEQUE COMPE SICREDI", F1851)), ISNUMBER(SEARCH("aniversario", F1851)), ISNUMBER(SEARCH("churrasco", F1851)), ISNUMBER(SEARCH("bolo", F1851)), ISNUMBER(SEARCH("SUPERMERCADO", F1851))), "6.1 Despesas Administrativas (Pessoal)", IF(OR(ISNUMBER(SEARCH("DLKNET", F1851)), ISNUMBER(SEARCH("TESTE", F1851))), "6.1 Despesas Administrativas (Gerais)", IFERROR(VLOOKUP(H1851, De_Para!A:B, 2, FALSE), "NÃO MAPEADO"))), IFERROR(VLOOKUP(H1851, De_Para!A:B, 2, FALSE), "NÃO MAPEADO"))</f>
        <v/>
      </c>
    </row>
    <row r="1852">
      <c r="A1852" s="2" t="inlineStr">
        <is>
          <t>67834</t>
        </is>
      </c>
      <c r="B1852" s="2" t="inlineStr">
        <is>
          <t>Sicoob</t>
        </is>
      </c>
      <c r="C1852" s="2" t="inlineStr">
        <is>
          <t>05/06/2026</t>
        </is>
      </c>
      <c r="D1852" s="2" t="inlineStr">
        <is>
          <t>05/06/2026</t>
        </is>
      </c>
      <c r="E1852" s="2" t="inlineStr">
        <is>
          <t>Dinheiro</t>
        </is>
      </c>
      <c r="F1852" s="2" t="inlineStr">
        <is>
          <t>Boleto "54279" do cliente "MARCIA CRISTIANE DO PRADO"</t>
        </is>
      </c>
      <c r="G1852" s="2" t="inlineStr">
        <is>
          <t>system</t>
        </is>
      </c>
      <c r="H1852" s="2" t="inlineStr">
        <is>
          <t>01.03.01 : Mensalidade</t>
        </is>
      </c>
      <c r="I1852" s="3" t="n">
        <v>105</v>
      </c>
      <c r="J1852" s="2" t="n"/>
      <c r="K1852" s="2">
        <f>IF(H1852="02.09 : Outras Saídas", IF(OR(ISNUMBER(SEARCH("CHEQUE COMPE SICREDI", F1852)), ISNUMBER(SEARCH("aniversario", F1852)), ISNUMBER(SEARCH("churrasco", F1852)), ISNUMBER(SEARCH("bolo", F1852)), ISNUMBER(SEARCH("SUPERMERCADO", F1852))), "6.1 Despesas Administrativas (Pessoal)", IF(OR(ISNUMBER(SEARCH("DLKNET", F1852)), ISNUMBER(SEARCH("TESTE", F1852))), "6.1 Despesas Administrativas (Gerais)", IFERROR(VLOOKUP(H1852, De_Para!A:B, 2, FALSE), "NÃO MAPEADO"))), IFERROR(VLOOKUP(H1852, De_Para!A:B, 2, FALSE), "NÃO MAPEADO"))</f>
        <v/>
      </c>
    </row>
    <row r="1853">
      <c r="A1853" s="2" t="inlineStr">
        <is>
          <t>67833</t>
        </is>
      </c>
      <c r="B1853" s="2" t="inlineStr">
        <is>
          <t>Sicoob</t>
        </is>
      </c>
      <c r="C1853" s="2" t="inlineStr">
        <is>
          <t>05/06/2026</t>
        </is>
      </c>
      <c r="D1853" s="2" t="inlineStr">
        <is>
          <t>05/06/2026</t>
        </is>
      </c>
      <c r="E1853" s="2" t="inlineStr">
        <is>
          <t>Dinheiro</t>
        </is>
      </c>
      <c r="F1853" s="2" t="inlineStr">
        <is>
          <t>Boleto "63226" do cliente "MARIA DE FATIMA MOREIRA FRANCISCO"</t>
        </is>
      </c>
      <c r="G1853" s="2" t="inlineStr">
        <is>
          <t>system</t>
        </is>
      </c>
      <c r="H1853" s="2" t="inlineStr">
        <is>
          <t>02.03.02.01 : Cobrança Bancaria</t>
        </is>
      </c>
      <c r="I1853" s="2" t="n"/>
      <c r="J1853" s="3" t="n">
        <v>-0.88</v>
      </c>
      <c r="K1853" s="2">
        <f>IF(H1853="02.09 : Outras Saídas", IF(OR(ISNUMBER(SEARCH("CHEQUE COMPE SICREDI", F1853)), ISNUMBER(SEARCH("aniversario", F1853)), ISNUMBER(SEARCH("churrasco", F1853)), ISNUMBER(SEARCH("bolo", F1853)), ISNUMBER(SEARCH("SUPERMERCADO", F1853))), "6.1 Despesas Administrativas (Pessoal)", IF(OR(ISNUMBER(SEARCH("DLKNET", F1853)), ISNUMBER(SEARCH("TESTE", F1853))), "6.1 Despesas Administrativas (Gerais)", IFERROR(VLOOKUP(H1853, De_Para!A:B, 2, FALSE), "NÃO MAPEADO"))), IFERROR(VLOOKUP(H1853, De_Para!A:B, 2, FALSE), "NÃO MAPEADO"))</f>
        <v/>
      </c>
    </row>
    <row r="1854">
      <c r="A1854" s="2" t="inlineStr">
        <is>
          <t>67832</t>
        </is>
      </c>
      <c r="B1854" s="2" t="inlineStr">
        <is>
          <t>Sicoob</t>
        </is>
      </c>
      <c r="C1854" s="2" t="inlineStr">
        <is>
          <t>05/06/2026</t>
        </is>
      </c>
      <c r="D1854" s="2" t="inlineStr">
        <is>
          <t>05/06/2026</t>
        </is>
      </c>
      <c r="E1854" s="2" t="inlineStr">
        <is>
          <t>Dinheiro</t>
        </is>
      </c>
      <c r="F1854" s="2" t="inlineStr">
        <is>
          <t>Boleto "63226" do cliente "MARIA DE FATIMA MOREIRA FRANCISCO"</t>
        </is>
      </c>
      <c r="G1854" s="2" t="inlineStr">
        <is>
          <t>system</t>
        </is>
      </c>
      <c r="H1854" s="2" t="inlineStr">
        <is>
          <t>01.03.01 : Mensalidade</t>
        </is>
      </c>
      <c r="I1854" s="3" t="n">
        <v>105</v>
      </c>
      <c r="J1854" s="2" t="n"/>
      <c r="K1854" s="2">
        <f>IF(H1854="02.09 : Outras Saídas", IF(OR(ISNUMBER(SEARCH("CHEQUE COMPE SICREDI", F1854)), ISNUMBER(SEARCH("aniversario", F1854)), ISNUMBER(SEARCH("churrasco", F1854)), ISNUMBER(SEARCH("bolo", F1854)), ISNUMBER(SEARCH("SUPERMERCADO", F1854))), "6.1 Despesas Administrativas (Pessoal)", IF(OR(ISNUMBER(SEARCH("DLKNET", F1854)), ISNUMBER(SEARCH("TESTE", F1854))), "6.1 Despesas Administrativas (Gerais)", IFERROR(VLOOKUP(H1854, De_Para!A:B, 2, FALSE), "NÃO MAPEADO"))), IFERROR(VLOOKUP(H1854, De_Para!A:B, 2, FALSE), "NÃO MAPEADO"))</f>
        <v/>
      </c>
    </row>
    <row r="1855">
      <c r="A1855" s="2" t="inlineStr">
        <is>
          <t>67831</t>
        </is>
      </c>
      <c r="B1855" s="2" t="inlineStr">
        <is>
          <t>Sicoob</t>
        </is>
      </c>
      <c r="C1855" s="2" t="inlineStr">
        <is>
          <t>05/06/2026</t>
        </is>
      </c>
      <c r="D1855" s="2" t="inlineStr">
        <is>
          <t>05/06/2026</t>
        </is>
      </c>
      <c r="E1855" s="2" t="inlineStr">
        <is>
          <t>Dinheiro</t>
        </is>
      </c>
      <c r="F1855" s="2" t="inlineStr">
        <is>
          <t>Boleto "59796" do cliente "ZIN AITON PASCOAL HIDERALDO SOARES NEVES SANTOS"</t>
        </is>
      </c>
      <c r="G1855" s="2" t="inlineStr">
        <is>
          <t>system</t>
        </is>
      </c>
      <c r="H1855" s="2" t="inlineStr">
        <is>
          <t>02.03.02.01 : Cobrança Bancaria</t>
        </is>
      </c>
      <c r="I1855" s="2" t="n"/>
      <c r="J1855" s="3" t="n">
        <v>-0.88</v>
      </c>
      <c r="K1855" s="2">
        <f>IF(H1855="02.09 : Outras Saídas", IF(OR(ISNUMBER(SEARCH("CHEQUE COMPE SICREDI", F1855)), ISNUMBER(SEARCH("aniversario", F1855)), ISNUMBER(SEARCH("churrasco", F1855)), ISNUMBER(SEARCH("bolo", F1855)), ISNUMBER(SEARCH("SUPERMERCADO", F1855))), "6.1 Despesas Administrativas (Pessoal)", IF(OR(ISNUMBER(SEARCH("DLKNET", F1855)), ISNUMBER(SEARCH("TESTE", F1855))), "6.1 Despesas Administrativas (Gerais)", IFERROR(VLOOKUP(H1855, De_Para!A:B, 2, FALSE), "NÃO MAPEADO"))), IFERROR(VLOOKUP(H1855, De_Para!A:B, 2, FALSE), "NÃO MAPEADO"))</f>
        <v/>
      </c>
    </row>
    <row r="1856">
      <c r="A1856" s="2" t="inlineStr">
        <is>
          <t>67830</t>
        </is>
      </c>
      <c r="B1856" s="2" t="inlineStr">
        <is>
          <t>Sicoob</t>
        </is>
      </c>
      <c r="C1856" s="2" t="inlineStr">
        <is>
          <t>05/06/2026</t>
        </is>
      </c>
      <c r="D1856" s="2" t="inlineStr">
        <is>
          <t>05/06/2026</t>
        </is>
      </c>
      <c r="E1856" s="2" t="inlineStr">
        <is>
          <t>Dinheiro</t>
        </is>
      </c>
      <c r="F1856" s="2" t="inlineStr">
        <is>
          <t>Boleto "59796" do cliente "ZIN AITON PASCOAL HIDERALDO SOARES NEVES SANTOS"</t>
        </is>
      </c>
      <c r="G1856" s="2" t="inlineStr">
        <is>
          <t>system</t>
        </is>
      </c>
      <c r="H1856" s="2" t="inlineStr">
        <is>
          <t>01.01.01 : Mensalidade</t>
        </is>
      </c>
      <c r="I1856" s="3" t="n">
        <v>105</v>
      </c>
      <c r="J1856" s="2" t="n"/>
      <c r="K1856" s="2">
        <f>IF(H1856="02.09 : Outras Saídas", IF(OR(ISNUMBER(SEARCH("CHEQUE COMPE SICREDI", F1856)), ISNUMBER(SEARCH("aniversario", F1856)), ISNUMBER(SEARCH("churrasco", F1856)), ISNUMBER(SEARCH("bolo", F1856)), ISNUMBER(SEARCH("SUPERMERCADO", F1856))), "6.1 Despesas Administrativas (Pessoal)", IF(OR(ISNUMBER(SEARCH("DLKNET", F1856)), ISNUMBER(SEARCH("TESTE", F1856))), "6.1 Despesas Administrativas (Gerais)", IFERROR(VLOOKUP(H1856, De_Para!A:B, 2, FALSE), "NÃO MAPEADO"))), IFERROR(VLOOKUP(H1856, De_Para!A:B, 2, FALSE), "NÃO MAPEADO"))</f>
        <v/>
      </c>
    </row>
    <row r="1857">
      <c r="A1857" s="2" t="inlineStr">
        <is>
          <t>67829</t>
        </is>
      </c>
      <c r="B1857" s="2" t="inlineStr">
        <is>
          <t>Sicoob</t>
        </is>
      </c>
      <c r="C1857" s="2" t="inlineStr">
        <is>
          <t>05/06/2026</t>
        </is>
      </c>
      <c r="D1857" s="2" t="inlineStr">
        <is>
          <t>05/06/2026</t>
        </is>
      </c>
      <c r="E1857" s="2" t="inlineStr">
        <is>
          <t>Dinheiro</t>
        </is>
      </c>
      <c r="F1857" s="2" t="inlineStr">
        <is>
          <t>Boleto "59718" do cliente "LUIZ DONIZETE BARBOSA"</t>
        </is>
      </c>
      <c r="G1857" s="2" t="inlineStr">
        <is>
          <t>system</t>
        </is>
      </c>
      <c r="H1857" s="2" t="inlineStr">
        <is>
          <t>02.03.02.01 : Cobrança Bancaria</t>
        </is>
      </c>
      <c r="I1857" s="2" t="n"/>
      <c r="J1857" s="3" t="n">
        <v>-0.88</v>
      </c>
      <c r="K1857" s="2">
        <f>IF(H1857="02.09 : Outras Saídas", IF(OR(ISNUMBER(SEARCH("CHEQUE COMPE SICREDI", F1857)), ISNUMBER(SEARCH("aniversario", F1857)), ISNUMBER(SEARCH("churrasco", F1857)), ISNUMBER(SEARCH("bolo", F1857)), ISNUMBER(SEARCH("SUPERMERCADO", F1857))), "6.1 Despesas Administrativas (Pessoal)", IF(OR(ISNUMBER(SEARCH("DLKNET", F1857)), ISNUMBER(SEARCH("TESTE", F1857))), "6.1 Despesas Administrativas (Gerais)", IFERROR(VLOOKUP(H1857, De_Para!A:B, 2, FALSE), "NÃO MAPEADO"))), IFERROR(VLOOKUP(H1857, De_Para!A:B, 2, FALSE), "NÃO MAPEADO"))</f>
        <v/>
      </c>
    </row>
    <row r="1858">
      <c r="A1858" s="2" t="inlineStr">
        <is>
          <t>67828</t>
        </is>
      </c>
      <c r="B1858" s="2" t="inlineStr">
        <is>
          <t>Sicoob</t>
        </is>
      </c>
      <c r="C1858" s="2" t="inlineStr">
        <is>
          <t>05/06/2026</t>
        </is>
      </c>
      <c r="D1858" s="2" t="inlineStr">
        <is>
          <t>05/06/2026</t>
        </is>
      </c>
      <c r="E1858" s="2" t="inlineStr">
        <is>
          <t>Dinheiro</t>
        </is>
      </c>
      <c r="F1858" s="2" t="inlineStr">
        <is>
          <t>Boleto "59718" do cliente "LUIZ DONIZETE BARBOSA"</t>
        </is>
      </c>
      <c r="G1858" s="2" t="inlineStr">
        <is>
          <t>system</t>
        </is>
      </c>
      <c r="H1858" s="2" t="inlineStr">
        <is>
          <t>01.01.01 : Mensalidade</t>
        </is>
      </c>
      <c r="I1858" s="3" t="n">
        <v>105</v>
      </c>
      <c r="J1858" s="2" t="n"/>
      <c r="K1858" s="2">
        <f>IF(H1858="02.09 : Outras Saídas", IF(OR(ISNUMBER(SEARCH("CHEQUE COMPE SICREDI", F1858)), ISNUMBER(SEARCH("aniversario", F1858)), ISNUMBER(SEARCH("churrasco", F1858)), ISNUMBER(SEARCH("bolo", F1858)), ISNUMBER(SEARCH("SUPERMERCADO", F1858))), "6.1 Despesas Administrativas (Pessoal)", IF(OR(ISNUMBER(SEARCH("DLKNET", F1858)), ISNUMBER(SEARCH("TESTE", F1858))), "6.1 Despesas Administrativas (Gerais)", IFERROR(VLOOKUP(H1858, De_Para!A:B, 2, FALSE), "NÃO MAPEADO"))), IFERROR(VLOOKUP(H1858, De_Para!A:B, 2, FALSE), "NÃO MAPEADO"))</f>
        <v/>
      </c>
    </row>
    <row r="1859">
      <c r="A1859" s="2" t="inlineStr">
        <is>
          <t>67827</t>
        </is>
      </c>
      <c r="B1859" s="2" t="inlineStr">
        <is>
          <t>Sicredi SNI</t>
        </is>
      </c>
      <c r="C1859" s="2" t="inlineStr">
        <is>
          <t>05/06/2026</t>
        </is>
      </c>
      <c r="D1859" s="2" t="inlineStr">
        <is>
          <t>05/06/2026</t>
        </is>
      </c>
      <c r="E1859" s="2" t="inlineStr">
        <is>
          <t>PIX</t>
        </is>
      </c>
      <c r="F1859" s="2" t="inlineStr">
        <is>
          <t>Boleto "62720" do cliente "CARLOS ROBERTO DOS SANTOS"</t>
        </is>
      </c>
      <c r="G1859" s="2" t="inlineStr">
        <is>
          <t>system</t>
        </is>
      </c>
      <c r="H1859" s="2" t="inlineStr">
        <is>
          <t>02.03.02.01 : Cobrança Bancaria</t>
        </is>
      </c>
      <c r="I1859" s="2" t="n"/>
      <c r="J1859" s="3" t="n">
        <v>-0.49</v>
      </c>
      <c r="K1859" s="2">
        <f>IF(H1859="02.09 : Outras Saídas", IF(OR(ISNUMBER(SEARCH("CHEQUE COMPE SICREDI", F1859)), ISNUMBER(SEARCH("aniversario", F1859)), ISNUMBER(SEARCH("churrasco", F1859)), ISNUMBER(SEARCH("bolo", F1859)), ISNUMBER(SEARCH("SUPERMERCADO", F1859))), "6.1 Despesas Administrativas (Pessoal)", IF(OR(ISNUMBER(SEARCH("DLKNET", F1859)), ISNUMBER(SEARCH("TESTE", F1859))), "6.1 Despesas Administrativas (Gerais)", IFERROR(VLOOKUP(H1859, De_Para!A:B, 2, FALSE), "NÃO MAPEADO"))), IFERROR(VLOOKUP(H1859, De_Para!A:B, 2, FALSE), "NÃO MAPEADO"))</f>
        <v/>
      </c>
    </row>
    <row r="1860">
      <c r="A1860" s="2" t="inlineStr">
        <is>
          <t>67826</t>
        </is>
      </c>
      <c r="B1860" s="2" t="inlineStr">
        <is>
          <t>Sicredi SNI</t>
        </is>
      </c>
      <c r="C1860" s="2" t="inlineStr">
        <is>
          <t>05/06/2026</t>
        </is>
      </c>
      <c r="D1860" s="2" t="inlineStr">
        <is>
          <t>05/06/2026</t>
        </is>
      </c>
      <c r="E1860" s="2" t="inlineStr">
        <is>
          <t>PIX</t>
        </is>
      </c>
      <c r="F1860" s="2" t="inlineStr">
        <is>
          <t>Boleto "62720" do cliente "CARLOS ROBERTO DOS SANTOS"</t>
        </is>
      </c>
      <c r="G1860" s="2" t="inlineStr">
        <is>
          <t>system</t>
        </is>
      </c>
      <c r="H1860" s="2" t="inlineStr">
        <is>
          <t>01.01.01 : Mensalidade</t>
        </is>
      </c>
      <c r="I1860" s="3" t="n">
        <v>104.9</v>
      </c>
      <c r="J1860" s="2" t="n"/>
      <c r="K1860" s="2">
        <f>IF(H1860="02.09 : Outras Saídas", IF(OR(ISNUMBER(SEARCH("CHEQUE COMPE SICREDI", F1860)), ISNUMBER(SEARCH("aniversario", F1860)), ISNUMBER(SEARCH("churrasco", F1860)), ISNUMBER(SEARCH("bolo", F1860)), ISNUMBER(SEARCH("SUPERMERCADO", F1860))), "6.1 Despesas Administrativas (Pessoal)", IF(OR(ISNUMBER(SEARCH("DLKNET", F1860)), ISNUMBER(SEARCH("TESTE", F1860))), "6.1 Despesas Administrativas (Gerais)", IFERROR(VLOOKUP(H1860, De_Para!A:B, 2, FALSE), "NÃO MAPEADO"))), IFERROR(VLOOKUP(H1860, De_Para!A:B, 2, FALSE), "NÃO MAPEADO"))</f>
        <v/>
      </c>
    </row>
    <row r="1861">
      <c r="A1861" s="2" t="inlineStr">
        <is>
          <t>67825</t>
        </is>
      </c>
      <c r="B1861" s="2" t="inlineStr">
        <is>
          <t>Sicredi SNI</t>
        </is>
      </c>
      <c r="C1861" s="2" t="inlineStr">
        <is>
          <t>05/06/2026</t>
        </is>
      </c>
      <c r="D1861" s="2" t="inlineStr">
        <is>
          <t>05/06/2026</t>
        </is>
      </c>
      <c r="E1861" s="2" t="inlineStr">
        <is>
          <t>PIX</t>
        </is>
      </c>
      <c r="F1861" s="2" t="inlineStr">
        <is>
          <t>Boleto "54312" do cliente "JONAS LINDHOLM"</t>
        </is>
      </c>
      <c r="G1861" s="2" t="inlineStr">
        <is>
          <t>system</t>
        </is>
      </c>
      <c r="H1861" s="2" t="inlineStr">
        <is>
          <t>02.03.02.01 : Cobrança Bancaria</t>
        </is>
      </c>
      <c r="I1861" s="2" t="n"/>
      <c r="J1861" s="3" t="n">
        <v>-0.49</v>
      </c>
      <c r="K1861" s="2">
        <f>IF(H1861="02.09 : Outras Saídas", IF(OR(ISNUMBER(SEARCH("CHEQUE COMPE SICREDI", F1861)), ISNUMBER(SEARCH("aniversario", F1861)), ISNUMBER(SEARCH("churrasco", F1861)), ISNUMBER(SEARCH("bolo", F1861)), ISNUMBER(SEARCH("SUPERMERCADO", F1861))), "6.1 Despesas Administrativas (Pessoal)", IF(OR(ISNUMBER(SEARCH("DLKNET", F1861)), ISNUMBER(SEARCH("TESTE", F1861))), "6.1 Despesas Administrativas (Gerais)", IFERROR(VLOOKUP(H1861, De_Para!A:B, 2, FALSE), "NÃO MAPEADO"))), IFERROR(VLOOKUP(H1861, De_Para!A:B, 2, FALSE), "NÃO MAPEADO"))</f>
        <v/>
      </c>
    </row>
    <row r="1862">
      <c r="A1862" s="2" t="inlineStr">
        <is>
          <t>67824</t>
        </is>
      </c>
      <c r="B1862" s="2" t="inlineStr">
        <is>
          <t>Sicredi SNI</t>
        </is>
      </c>
      <c r="C1862" s="2" t="inlineStr">
        <is>
          <t>05/06/2026</t>
        </is>
      </c>
      <c r="D1862" s="2" t="inlineStr">
        <is>
          <t>05/06/2026</t>
        </is>
      </c>
      <c r="E1862" s="2" t="inlineStr">
        <is>
          <t>PIX</t>
        </is>
      </c>
      <c r="F1862" s="2" t="inlineStr">
        <is>
          <t>Boleto "54312" do cliente "JONAS LINDHOLM"</t>
        </is>
      </c>
      <c r="G1862" s="2" t="inlineStr">
        <is>
          <t>system</t>
        </is>
      </c>
      <c r="H1862" s="2" t="inlineStr">
        <is>
          <t>01.01.01 : Mensalidade</t>
        </is>
      </c>
      <c r="I1862" s="3" t="n">
        <v>105</v>
      </c>
      <c r="J1862" s="2" t="n"/>
      <c r="K1862" s="2">
        <f>IF(H1862="02.09 : Outras Saídas", IF(OR(ISNUMBER(SEARCH("CHEQUE COMPE SICREDI", F1862)), ISNUMBER(SEARCH("aniversario", F1862)), ISNUMBER(SEARCH("churrasco", F1862)), ISNUMBER(SEARCH("bolo", F1862)), ISNUMBER(SEARCH("SUPERMERCADO", F1862))), "6.1 Despesas Administrativas (Pessoal)", IF(OR(ISNUMBER(SEARCH("DLKNET", F1862)), ISNUMBER(SEARCH("TESTE", F1862))), "6.1 Despesas Administrativas (Gerais)", IFERROR(VLOOKUP(H1862, De_Para!A:B, 2, FALSE), "NÃO MAPEADO"))), IFERROR(VLOOKUP(H1862, De_Para!A:B, 2, FALSE), "NÃO MAPEADO"))</f>
        <v/>
      </c>
    </row>
    <row r="1863">
      <c r="A1863" s="2" t="inlineStr">
        <is>
          <t>67823</t>
        </is>
      </c>
      <c r="B1863" s="2" t="inlineStr">
        <is>
          <t>Sicredi SNI</t>
        </is>
      </c>
      <c r="C1863" s="2" t="inlineStr">
        <is>
          <t>05/06/2026</t>
        </is>
      </c>
      <c r="D1863" s="2" t="inlineStr">
        <is>
          <t>05/06/2026</t>
        </is>
      </c>
      <c r="E1863" s="2" t="inlineStr">
        <is>
          <t>PIX</t>
        </is>
      </c>
      <c r="F1863" s="2" t="inlineStr">
        <is>
          <t>Boleto "65566" do cliente "MARIA DE FÁTIMA SCREPANTE HONORATO"</t>
        </is>
      </c>
      <c r="G1863" s="2" t="inlineStr">
        <is>
          <t>system</t>
        </is>
      </c>
      <c r="H1863" s="2" t="inlineStr">
        <is>
          <t>02.03.02.01 : Cobrança Bancaria</t>
        </is>
      </c>
      <c r="I1863" s="2" t="n"/>
      <c r="J1863" s="3" t="n">
        <v>-0.49</v>
      </c>
      <c r="K1863" s="2">
        <f>IF(H1863="02.09 : Outras Saídas", IF(OR(ISNUMBER(SEARCH("CHEQUE COMPE SICREDI", F1863)), ISNUMBER(SEARCH("aniversario", F1863)), ISNUMBER(SEARCH("churrasco", F1863)), ISNUMBER(SEARCH("bolo", F1863)), ISNUMBER(SEARCH("SUPERMERCADO", F1863))), "6.1 Despesas Administrativas (Pessoal)", IF(OR(ISNUMBER(SEARCH("DLKNET", F1863)), ISNUMBER(SEARCH("TESTE", F1863))), "6.1 Despesas Administrativas (Gerais)", IFERROR(VLOOKUP(H1863, De_Para!A:B, 2, FALSE), "NÃO MAPEADO"))), IFERROR(VLOOKUP(H1863, De_Para!A:B, 2, FALSE), "NÃO MAPEADO"))</f>
        <v/>
      </c>
    </row>
    <row r="1864">
      <c r="A1864" s="2" t="inlineStr">
        <is>
          <t>67822</t>
        </is>
      </c>
      <c r="B1864" s="2" t="inlineStr">
        <is>
          <t>Sicredi SNI</t>
        </is>
      </c>
      <c r="C1864" s="2" t="inlineStr">
        <is>
          <t>05/06/2026</t>
        </is>
      </c>
      <c r="D1864" s="2" t="inlineStr">
        <is>
          <t>05/06/2026</t>
        </is>
      </c>
      <c r="E1864" s="2" t="inlineStr">
        <is>
          <t>PIX</t>
        </is>
      </c>
      <c r="F1864" s="2" t="inlineStr">
        <is>
          <t>Boleto "65566" do cliente "MARIA DE FÁTIMA SCREPANTE HONORATO"</t>
        </is>
      </c>
      <c r="G1864" s="2" t="inlineStr">
        <is>
          <t>system</t>
        </is>
      </c>
      <c r="H1864" s="2" t="inlineStr">
        <is>
          <t>01.01.01 : Mensalidade</t>
        </is>
      </c>
      <c r="I1864" s="3" t="n">
        <v>104.9</v>
      </c>
      <c r="J1864" s="2" t="n"/>
      <c r="K1864" s="2">
        <f>IF(H1864="02.09 : Outras Saídas", IF(OR(ISNUMBER(SEARCH("CHEQUE COMPE SICREDI", F1864)), ISNUMBER(SEARCH("aniversario", F1864)), ISNUMBER(SEARCH("churrasco", F1864)), ISNUMBER(SEARCH("bolo", F1864)), ISNUMBER(SEARCH("SUPERMERCADO", F1864))), "6.1 Despesas Administrativas (Pessoal)", IF(OR(ISNUMBER(SEARCH("DLKNET", F1864)), ISNUMBER(SEARCH("TESTE", F1864))), "6.1 Despesas Administrativas (Gerais)", IFERROR(VLOOKUP(H1864, De_Para!A:B, 2, FALSE), "NÃO MAPEADO"))), IFERROR(VLOOKUP(H1864, De_Para!A:B, 2, FALSE), "NÃO MAPEADO"))</f>
        <v/>
      </c>
    </row>
    <row r="1865">
      <c r="A1865" s="2" t="inlineStr">
        <is>
          <t>67821</t>
        </is>
      </c>
      <c r="B1865" s="2" t="inlineStr">
        <is>
          <t>Sicredi SNI</t>
        </is>
      </c>
      <c r="C1865" s="2" t="inlineStr">
        <is>
          <t>05/06/2026</t>
        </is>
      </c>
      <c r="D1865" s="2" t="inlineStr">
        <is>
          <t>05/06/2026</t>
        </is>
      </c>
      <c r="E1865" s="2" t="inlineStr">
        <is>
          <t>PIX</t>
        </is>
      </c>
      <c r="F1865" s="2" t="inlineStr">
        <is>
          <t>Boleto "62418" do cliente "PATRÍCIA  GISELE  DOS SANTOS CUSTODIO"</t>
        </is>
      </c>
      <c r="G1865" s="2" t="inlineStr">
        <is>
          <t>system</t>
        </is>
      </c>
      <c r="H1865" s="2" t="inlineStr">
        <is>
          <t>02.03.02.01 : Cobrança Bancaria</t>
        </is>
      </c>
      <c r="I1865" s="2" t="n"/>
      <c r="J1865" s="3" t="n">
        <v>-0.49</v>
      </c>
      <c r="K1865" s="2">
        <f>IF(H1865="02.09 : Outras Saídas", IF(OR(ISNUMBER(SEARCH("CHEQUE COMPE SICREDI", F1865)), ISNUMBER(SEARCH("aniversario", F1865)), ISNUMBER(SEARCH("churrasco", F1865)), ISNUMBER(SEARCH("bolo", F1865)), ISNUMBER(SEARCH("SUPERMERCADO", F1865))), "6.1 Despesas Administrativas (Pessoal)", IF(OR(ISNUMBER(SEARCH("DLKNET", F1865)), ISNUMBER(SEARCH("TESTE", F1865))), "6.1 Despesas Administrativas (Gerais)", IFERROR(VLOOKUP(H1865, De_Para!A:B, 2, FALSE), "NÃO MAPEADO"))), IFERROR(VLOOKUP(H1865, De_Para!A:B, 2, FALSE), "NÃO MAPEADO"))</f>
        <v/>
      </c>
    </row>
    <row r="1866">
      <c r="A1866" s="2" t="inlineStr">
        <is>
          <t>67820</t>
        </is>
      </c>
      <c r="B1866" s="2" t="inlineStr">
        <is>
          <t>Sicredi SNI</t>
        </is>
      </c>
      <c r="C1866" s="2" t="inlineStr">
        <is>
          <t>05/06/2026</t>
        </is>
      </c>
      <c r="D1866" s="2" t="inlineStr">
        <is>
          <t>05/06/2026</t>
        </is>
      </c>
      <c r="E1866" s="2" t="inlineStr">
        <is>
          <t>PIX</t>
        </is>
      </c>
      <c r="F1866" s="2" t="inlineStr">
        <is>
          <t>Boleto "62418" do cliente "PATRÍCIA  GISELE  DOS SANTOS CUSTODIO"</t>
        </is>
      </c>
      <c r="G1866" s="2" t="inlineStr">
        <is>
          <t>system</t>
        </is>
      </c>
      <c r="H1866" s="2" t="inlineStr">
        <is>
          <t>01.01.01 : Mensalidade</t>
        </is>
      </c>
      <c r="I1866" s="3" t="n">
        <v>104.9</v>
      </c>
      <c r="J1866" s="2" t="n"/>
      <c r="K1866" s="2">
        <f>IF(H1866="02.09 : Outras Saídas", IF(OR(ISNUMBER(SEARCH("CHEQUE COMPE SICREDI", F1866)), ISNUMBER(SEARCH("aniversario", F1866)), ISNUMBER(SEARCH("churrasco", F1866)), ISNUMBER(SEARCH("bolo", F1866)), ISNUMBER(SEARCH("SUPERMERCADO", F1866))), "6.1 Despesas Administrativas (Pessoal)", IF(OR(ISNUMBER(SEARCH("DLKNET", F1866)), ISNUMBER(SEARCH("TESTE", F1866))), "6.1 Despesas Administrativas (Gerais)", IFERROR(VLOOKUP(H1866, De_Para!A:B, 2, FALSE), "NÃO MAPEADO"))), IFERROR(VLOOKUP(H1866, De_Para!A:B, 2, FALSE), "NÃO MAPEADO"))</f>
        <v/>
      </c>
    </row>
    <row r="1867">
      <c r="A1867" s="2" t="inlineStr">
        <is>
          <t>67819</t>
        </is>
      </c>
      <c r="B1867" s="2" t="inlineStr">
        <is>
          <t>Sicredi SNI</t>
        </is>
      </c>
      <c r="C1867" s="2" t="inlineStr">
        <is>
          <t>05/06/2026</t>
        </is>
      </c>
      <c r="D1867" s="2" t="inlineStr">
        <is>
          <t>05/06/2026</t>
        </is>
      </c>
      <c r="E1867" s="2" t="inlineStr">
        <is>
          <t>Dinheiro</t>
        </is>
      </c>
      <c r="F1867" s="2" t="inlineStr">
        <is>
          <t>Boleto "64380" do cliente "APARECIDO ANTONIO DE FARIA"</t>
        </is>
      </c>
      <c r="G1867" s="2" t="inlineStr">
        <is>
          <t>system</t>
        </is>
      </c>
      <c r="H1867" s="2" t="inlineStr">
        <is>
          <t>02.03.02.01 : Cobrança Bancaria</t>
        </is>
      </c>
      <c r="I1867" s="2" t="n"/>
      <c r="J1867" s="3" t="n">
        <v>-1.08</v>
      </c>
      <c r="K1867" s="2">
        <f>IF(H1867="02.09 : Outras Saídas", IF(OR(ISNUMBER(SEARCH("CHEQUE COMPE SICREDI", F1867)), ISNUMBER(SEARCH("aniversario", F1867)), ISNUMBER(SEARCH("churrasco", F1867)), ISNUMBER(SEARCH("bolo", F1867)), ISNUMBER(SEARCH("SUPERMERCADO", F1867))), "6.1 Despesas Administrativas (Pessoal)", IF(OR(ISNUMBER(SEARCH("DLKNET", F1867)), ISNUMBER(SEARCH("TESTE", F1867))), "6.1 Despesas Administrativas (Gerais)", IFERROR(VLOOKUP(H1867, De_Para!A:B, 2, FALSE), "NÃO MAPEADO"))), IFERROR(VLOOKUP(H1867, De_Para!A:B, 2, FALSE), "NÃO MAPEADO"))</f>
        <v/>
      </c>
    </row>
    <row r="1868">
      <c r="A1868" s="2" t="inlineStr">
        <is>
          <t>67818</t>
        </is>
      </c>
      <c r="B1868" s="2" t="inlineStr">
        <is>
          <t>Sicredi SNI</t>
        </is>
      </c>
      <c r="C1868" s="2" t="inlineStr">
        <is>
          <t>05/06/2026</t>
        </is>
      </c>
      <c r="D1868" s="2" t="inlineStr">
        <is>
          <t>05/06/2026</t>
        </is>
      </c>
      <c r="E1868" s="2" t="inlineStr">
        <is>
          <t>Dinheiro</t>
        </is>
      </c>
      <c r="F1868" s="2" t="inlineStr">
        <is>
          <t>Boleto "64380" do cliente "APARECIDO ANTONIO DE FARIA"</t>
        </is>
      </c>
      <c r="G1868" s="2" t="inlineStr">
        <is>
          <t>system</t>
        </is>
      </c>
      <c r="H1868" s="2" t="inlineStr">
        <is>
          <t>01.01.01 : Mensalidade</t>
        </is>
      </c>
      <c r="I1868" s="3" t="n">
        <v>110</v>
      </c>
      <c r="J1868" s="2" t="n"/>
      <c r="K1868" s="2">
        <f>IF(H1868="02.09 : Outras Saídas", IF(OR(ISNUMBER(SEARCH("CHEQUE COMPE SICREDI", F1868)), ISNUMBER(SEARCH("aniversario", F1868)), ISNUMBER(SEARCH("churrasco", F1868)), ISNUMBER(SEARCH("bolo", F1868)), ISNUMBER(SEARCH("SUPERMERCADO", F1868))), "6.1 Despesas Administrativas (Pessoal)", IF(OR(ISNUMBER(SEARCH("DLKNET", F1868)), ISNUMBER(SEARCH("TESTE", F1868))), "6.1 Despesas Administrativas (Gerais)", IFERROR(VLOOKUP(H1868, De_Para!A:B, 2, FALSE), "NÃO MAPEADO"))), IFERROR(VLOOKUP(H1868, De_Para!A:B, 2, FALSE), "NÃO MAPEADO"))</f>
        <v/>
      </c>
    </row>
    <row r="1869">
      <c r="A1869" s="2" t="inlineStr">
        <is>
          <t>67817</t>
        </is>
      </c>
      <c r="B1869" s="2" t="inlineStr">
        <is>
          <t>Sicredi SNI</t>
        </is>
      </c>
      <c r="C1869" s="2" t="inlineStr">
        <is>
          <t>05/06/2026</t>
        </is>
      </c>
      <c r="D1869" s="2" t="inlineStr">
        <is>
          <t>05/06/2026</t>
        </is>
      </c>
      <c r="E1869" s="2" t="inlineStr">
        <is>
          <t>Dinheiro</t>
        </is>
      </c>
      <c r="F1869" s="2" t="inlineStr">
        <is>
          <t>Boleto "59960" do cliente "JOSE MARIA MIOTI"</t>
        </is>
      </c>
      <c r="G1869" s="2" t="inlineStr">
        <is>
          <t>system</t>
        </is>
      </c>
      <c r="H1869" s="2" t="inlineStr">
        <is>
          <t>02.03.02.01 : Cobrança Bancaria</t>
        </is>
      </c>
      <c r="I1869" s="2" t="n"/>
      <c r="J1869" s="3" t="n">
        <v>-1.08</v>
      </c>
      <c r="K1869" s="2">
        <f>IF(H1869="02.09 : Outras Saídas", IF(OR(ISNUMBER(SEARCH("CHEQUE COMPE SICREDI", F1869)), ISNUMBER(SEARCH("aniversario", F1869)), ISNUMBER(SEARCH("churrasco", F1869)), ISNUMBER(SEARCH("bolo", F1869)), ISNUMBER(SEARCH("SUPERMERCADO", F1869))), "6.1 Despesas Administrativas (Pessoal)", IF(OR(ISNUMBER(SEARCH("DLKNET", F1869)), ISNUMBER(SEARCH("TESTE", F1869))), "6.1 Despesas Administrativas (Gerais)", IFERROR(VLOOKUP(H1869, De_Para!A:B, 2, FALSE), "NÃO MAPEADO"))), IFERROR(VLOOKUP(H1869, De_Para!A:B, 2, FALSE), "NÃO MAPEADO"))</f>
        <v/>
      </c>
    </row>
    <row r="1870">
      <c r="A1870" s="2" t="inlineStr">
        <is>
          <t>67816</t>
        </is>
      </c>
      <c r="B1870" s="2" t="inlineStr">
        <is>
          <t>Sicredi SNI</t>
        </is>
      </c>
      <c r="C1870" s="2" t="inlineStr">
        <is>
          <t>05/06/2026</t>
        </is>
      </c>
      <c r="D1870" s="2" t="inlineStr">
        <is>
          <t>05/06/2026</t>
        </is>
      </c>
      <c r="E1870" s="2" t="inlineStr">
        <is>
          <t>Dinheiro</t>
        </is>
      </c>
      <c r="F1870" s="2" t="inlineStr">
        <is>
          <t>Boleto "59960" do cliente "JOSE MARIA MIOTI"</t>
        </is>
      </c>
      <c r="G1870" s="2" t="inlineStr">
        <is>
          <t>system</t>
        </is>
      </c>
      <c r="H1870" s="2" t="inlineStr">
        <is>
          <t>01.03.01 : Mensalidade</t>
        </is>
      </c>
      <c r="I1870" s="3" t="n">
        <v>105</v>
      </c>
      <c r="J1870" s="2" t="n"/>
      <c r="K1870" s="2">
        <f>IF(H1870="02.09 : Outras Saídas", IF(OR(ISNUMBER(SEARCH("CHEQUE COMPE SICREDI", F1870)), ISNUMBER(SEARCH("aniversario", F1870)), ISNUMBER(SEARCH("churrasco", F1870)), ISNUMBER(SEARCH("bolo", F1870)), ISNUMBER(SEARCH("SUPERMERCADO", F1870))), "6.1 Despesas Administrativas (Pessoal)", IF(OR(ISNUMBER(SEARCH("DLKNET", F1870)), ISNUMBER(SEARCH("TESTE", F1870))), "6.1 Despesas Administrativas (Gerais)", IFERROR(VLOOKUP(H1870, De_Para!A:B, 2, FALSE), "NÃO MAPEADO"))), IFERROR(VLOOKUP(H1870, De_Para!A:B, 2, FALSE), "NÃO MAPEADO"))</f>
        <v/>
      </c>
    </row>
    <row r="1871">
      <c r="A1871" s="2" t="inlineStr">
        <is>
          <t>67815</t>
        </is>
      </c>
      <c r="B1871" s="2" t="inlineStr">
        <is>
          <t>Sicredi SNI</t>
        </is>
      </c>
      <c r="C1871" s="2" t="inlineStr">
        <is>
          <t>05/06/2026</t>
        </is>
      </c>
      <c r="D1871" s="2" t="inlineStr">
        <is>
          <t>05/06/2026</t>
        </is>
      </c>
      <c r="E1871" s="2" t="inlineStr">
        <is>
          <t>Dinheiro</t>
        </is>
      </c>
      <c r="F1871" s="2" t="inlineStr">
        <is>
          <t>Boleto "59272" do cliente "CRISTIANO DE CAMARGO DOS SANTOS"</t>
        </is>
      </c>
      <c r="G1871" s="2" t="inlineStr">
        <is>
          <t>system</t>
        </is>
      </c>
      <c r="H1871" s="2" t="inlineStr">
        <is>
          <t>02.03.02.01 : Cobrança Bancaria</t>
        </is>
      </c>
      <c r="I1871" s="2" t="n"/>
      <c r="J1871" s="3" t="n">
        <v>-1.08</v>
      </c>
      <c r="K1871" s="2">
        <f>IF(H1871="02.09 : Outras Saídas", IF(OR(ISNUMBER(SEARCH("CHEQUE COMPE SICREDI", F1871)), ISNUMBER(SEARCH("aniversario", F1871)), ISNUMBER(SEARCH("churrasco", F1871)), ISNUMBER(SEARCH("bolo", F1871)), ISNUMBER(SEARCH("SUPERMERCADO", F1871))), "6.1 Despesas Administrativas (Pessoal)", IF(OR(ISNUMBER(SEARCH("DLKNET", F1871)), ISNUMBER(SEARCH("TESTE", F1871))), "6.1 Despesas Administrativas (Gerais)", IFERROR(VLOOKUP(H1871, De_Para!A:B, 2, FALSE), "NÃO MAPEADO"))), IFERROR(VLOOKUP(H1871, De_Para!A:B, 2, FALSE), "NÃO MAPEADO"))</f>
        <v/>
      </c>
    </row>
    <row r="1872">
      <c r="A1872" s="2" t="inlineStr">
        <is>
          <t>67814</t>
        </is>
      </c>
      <c r="B1872" s="2" t="inlineStr">
        <is>
          <t>Sicredi SNI</t>
        </is>
      </c>
      <c r="C1872" s="2" t="inlineStr">
        <is>
          <t>05/06/2026</t>
        </is>
      </c>
      <c r="D1872" s="2" t="inlineStr">
        <is>
          <t>05/06/2026</t>
        </is>
      </c>
      <c r="E1872" s="2" t="inlineStr">
        <is>
          <t>Dinheiro</t>
        </is>
      </c>
      <c r="F1872" s="2" t="inlineStr">
        <is>
          <t>Boleto "59272" do cliente "CRISTIANO DE CAMARGO DOS SANTOS"</t>
        </is>
      </c>
      <c r="G1872" s="2" t="inlineStr">
        <is>
          <t>system</t>
        </is>
      </c>
      <c r="H1872" s="2" t="inlineStr">
        <is>
          <t>01.01.01 : Mensalidade</t>
        </is>
      </c>
      <c r="I1872" s="3" t="n">
        <v>107.34</v>
      </c>
      <c r="J1872" s="2" t="n"/>
      <c r="K1872" s="2">
        <f>IF(H1872="02.09 : Outras Saídas", IF(OR(ISNUMBER(SEARCH("CHEQUE COMPE SICREDI", F1872)), ISNUMBER(SEARCH("aniversario", F1872)), ISNUMBER(SEARCH("churrasco", F1872)), ISNUMBER(SEARCH("bolo", F1872)), ISNUMBER(SEARCH("SUPERMERCADO", F1872))), "6.1 Despesas Administrativas (Pessoal)", IF(OR(ISNUMBER(SEARCH("DLKNET", F1872)), ISNUMBER(SEARCH("TESTE", F1872))), "6.1 Despesas Administrativas (Gerais)", IFERROR(VLOOKUP(H1872, De_Para!A:B, 2, FALSE), "NÃO MAPEADO"))), IFERROR(VLOOKUP(H1872, De_Para!A:B, 2, FALSE), "NÃO MAPEADO"))</f>
        <v/>
      </c>
    </row>
    <row r="1873">
      <c r="A1873" s="2" t="inlineStr">
        <is>
          <t>67813</t>
        </is>
      </c>
      <c r="B1873" s="2" t="inlineStr">
        <is>
          <t>Sicredi SNI</t>
        </is>
      </c>
      <c r="C1873" s="2" t="inlineStr">
        <is>
          <t>05/06/2026</t>
        </is>
      </c>
      <c r="D1873" s="2" t="inlineStr">
        <is>
          <t>05/06/2026</t>
        </is>
      </c>
      <c r="E1873" s="2" t="inlineStr">
        <is>
          <t>Dinheiro</t>
        </is>
      </c>
      <c r="F1873" s="2" t="inlineStr">
        <is>
          <t>Boleto "55928" do cliente "MARCELO RODRIGO DE FARIA"</t>
        </is>
      </c>
      <c r="G1873" s="2" t="inlineStr">
        <is>
          <t>system</t>
        </is>
      </c>
      <c r="H1873" s="2" t="inlineStr">
        <is>
          <t>02.03.02.01 : Cobrança Bancaria</t>
        </is>
      </c>
      <c r="I1873" s="2" t="n"/>
      <c r="J1873" s="3" t="n">
        <v>-1.08</v>
      </c>
      <c r="K1873" s="2">
        <f>IF(H1873="02.09 : Outras Saídas", IF(OR(ISNUMBER(SEARCH("CHEQUE COMPE SICREDI", F1873)), ISNUMBER(SEARCH("aniversario", F1873)), ISNUMBER(SEARCH("churrasco", F1873)), ISNUMBER(SEARCH("bolo", F1873)), ISNUMBER(SEARCH("SUPERMERCADO", F1873))), "6.1 Despesas Administrativas (Pessoal)", IF(OR(ISNUMBER(SEARCH("DLKNET", F1873)), ISNUMBER(SEARCH("TESTE", F1873))), "6.1 Despesas Administrativas (Gerais)", IFERROR(VLOOKUP(H1873, De_Para!A:B, 2, FALSE), "NÃO MAPEADO"))), IFERROR(VLOOKUP(H1873, De_Para!A:B, 2, FALSE), "NÃO MAPEADO"))</f>
        <v/>
      </c>
    </row>
    <row r="1874">
      <c r="A1874" s="2" t="inlineStr">
        <is>
          <t>67812</t>
        </is>
      </c>
      <c r="B1874" s="2" t="inlineStr">
        <is>
          <t>Sicredi SNI</t>
        </is>
      </c>
      <c r="C1874" s="2" t="inlineStr">
        <is>
          <t>05/06/2026</t>
        </is>
      </c>
      <c r="D1874" s="2" t="inlineStr">
        <is>
          <t>05/06/2026</t>
        </is>
      </c>
      <c r="E1874" s="2" t="inlineStr">
        <is>
          <t>Dinheiro</t>
        </is>
      </c>
      <c r="F1874" s="2" t="inlineStr">
        <is>
          <t>Boleto "55928" do cliente "MARCELO RODRIGO DE FARIA"</t>
        </is>
      </c>
      <c r="G1874" s="2" t="inlineStr">
        <is>
          <t>system</t>
        </is>
      </c>
      <c r="H1874" s="2" t="inlineStr">
        <is>
          <t>01.01.01 : Mensalidade</t>
        </is>
      </c>
      <c r="I1874" s="3" t="n">
        <v>100</v>
      </c>
      <c r="J1874" s="2" t="n"/>
      <c r="K1874" s="2">
        <f>IF(H1874="02.09 : Outras Saídas", IF(OR(ISNUMBER(SEARCH("CHEQUE COMPE SICREDI", F1874)), ISNUMBER(SEARCH("aniversario", F1874)), ISNUMBER(SEARCH("churrasco", F1874)), ISNUMBER(SEARCH("bolo", F1874)), ISNUMBER(SEARCH("SUPERMERCADO", F1874))), "6.1 Despesas Administrativas (Pessoal)", IF(OR(ISNUMBER(SEARCH("DLKNET", F1874)), ISNUMBER(SEARCH("TESTE", F1874))), "6.1 Despesas Administrativas (Gerais)", IFERROR(VLOOKUP(H1874, De_Para!A:B, 2, FALSE), "NÃO MAPEADO"))), IFERROR(VLOOKUP(H1874, De_Para!A:B, 2, FALSE), "NÃO MAPEADO"))</f>
        <v/>
      </c>
    </row>
    <row r="1875">
      <c r="A1875" s="2" t="inlineStr">
        <is>
          <t>67811</t>
        </is>
      </c>
      <c r="B1875" s="2" t="inlineStr">
        <is>
          <t>Sicredi SNI</t>
        </is>
      </c>
      <c r="C1875" s="2" t="inlineStr">
        <is>
          <t>05/06/2026</t>
        </is>
      </c>
      <c r="D1875" s="2" t="inlineStr">
        <is>
          <t>05/06/2026</t>
        </is>
      </c>
      <c r="E1875" s="2" t="inlineStr">
        <is>
          <t>Dinheiro</t>
        </is>
      </c>
      <c r="F1875" s="2" t="inlineStr">
        <is>
          <t>Boleto "55674" do cliente "MIGUEL ALVES BARBOSA"</t>
        </is>
      </c>
      <c r="G1875" s="2" t="inlineStr">
        <is>
          <t>system</t>
        </is>
      </c>
      <c r="H1875" s="2" t="inlineStr">
        <is>
          <t>02.03.02.01 : Cobrança Bancaria</t>
        </is>
      </c>
      <c r="I1875" s="2" t="n"/>
      <c r="J1875" s="3" t="n">
        <v>-1.08</v>
      </c>
      <c r="K1875" s="2">
        <f>IF(H1875="02.09 : Outras Saídas", IF(OR(ISNUMBER(SEARCH("CHEQUE COMPE SICREDI", F1875)), ISNUMBER(SEARCH("aniversario", F1875)), ISNUMBER(SEARCH("churrasco", F1875)), ISNUMBER(SEARCH("bolo", F1875)), ISNUMBER(SEARCH("SUPERMERCADO", F1875))), "6.1 Despesas Administrativas (Pessoal)", IF(OR(ISNUMBER(SEARCH("DLKNET", F1875)), ISNUMBER(SEARCH("TESTE", F1875))), "6.1 Despesas Administrativas (Gerais)", IFERROR(VLOOKUP(H1875, De_Para!A:B, 2, FALSE), "NÃO MAPEADO"))), IFERROR(VLOOKUP(H1875, De_Para!A:B, 2, FALSE), "NÃO MAPEADO"))</f>
        <v/>
      </c>
    </row>
    <row r="1876">
      <c r="A1876" s="2" t="inlineStr">
        <is>
          <t>67810</t>
        </is>
      </c>
      <c r="B1876" s="2" t="inlineStr">
        <is>
          <t>Sicredi SNI</t>
        </is>
      </c>
      <c r="C1876" s="2" t="inlineStr">
        <is>
          <t>05/06/2026</t>
        </is>
      </c>
      <c r="D1876" s="2" t="inlineStr">
        <is>
          <t>05/06/2026</t>
        </is>
      </c>
      <c r="E1876" s="2" t="inlineStr">
        <is>
          <t>Dinheiro</t>
        </is>
      </c>
      <c r="F1876" s="2" t="inlineStr">
        <is>
          <t>Boleto "55674" do cliente "MIGUEL ALVES BARBOSA"</t>
        </is>
      </c>
      <c r="G1876" s="2" t="inlineStr">
        <is>
          <t>system</t>
        </is>
      </c>
      <c r="H1876" s="2" t="inlineStr">
        <is>
          <t>01.01.01 : Mensalidade</t>
        </is>
      </c>
      <c r="I1876" s="3" t="n">
        <v>110</v>
      </c>
      <c r="J1876" s="2" t="n"/>
      <c r="K1876" s="2">
        <f>IF(H1876="02.09 : Outras Saídas", IF(OR(ISNUMBER(SEARCH("CHEQUE COMPE SICREDI", F1876)), ISNUMBER(SEARCH("aniversario", F1876)), ISNUMBER(SEARCH("churrasco", F1876)), ISNUMBER(SEARCH("bolo", F1876)), ISNUMBER(SEARCH("SUPERMERCADO", F1876))), "6.1 Despesas Administrativas (Pessoal)", IF(OR(ISNUMBER(SEARCH("DLKNET", F1876)), ISNUMBER(SEARCH("TESTE", F1876))), "6.1 Despesas Administrativas (Gerais)", IFERROR(VLOOKUP(H1876, De_Para!A:B, 2, FALSE), "NÃO MAPEADO"))), IFERROR(VLOOKUP(H1876, De_Para!A:B, 2, FALSE), "NÃO MAPEADO"))</f>
        <v/>
      </c>
    </row>
    <row r="1877">
      <c r="A1877" s="2" t="inlineStr">
        <is>
          <t>67809</t>
        </is>
      </c>
      <c r="B1877" s="2" t="inlineStr">
        <is>
          <t>Sicredi SNI</t>
        </is>
      </c>
      <c r="C1877" s="2" t="inlineStr">
        <is>
          <t>05/06/2026</t>
        </is>
      </c>
      <c r="D1877" s="2" t="inlineStr">
        <is>
          <t>05/06/2026</t>
        </is>
      </c>
      <c r="E1877" s="2" t="inlineStr">
        <is>
          <t>Dinheiro</t>
        </is>
      </c>
      <c r="F1877" s="2" t="inlineStr">
        <is>
          <t>Boleto "55550" do cliente "ADEMIR IZIDORO"</t>
        </is>
      </c>
      <c r="G1877" s="2" t="inlineStr">
        <is>
          <t>system</t>
        </is>
      </c>
      <c r="H1877" s="2" t="inlineStr">
        <is>
          <t>02.03.02.01 : Cobrança Bancaria</t>
        </is>
      </c>
      <c r="I1877" s="2" t="n"/>
      <c r="J1877" s="3" t="n">
        <v>-1.08</v>
      </c>
      <c r="K1877" s="2">
        <f>IF(H1877="02.09 : Outras Saídas", IF(OR(ISNUMBER(SEARCH("CHEQUE COMPE SICREDI", F1877)), ISNUMBER(SEARCH("aniversario", F1877)), ISNUMBER(SEARCH("churrasco", F1877)), ISNUMBER(SEARCH("bolo", F1877)), ISNUMBER(SEARCH("SUPERMERCADO", F1877))), "6.1 Despesas Administrativas (Pessoal)", IF(OR(ISNUMBER(SEARCH("DLKNET", F1877)), ISNUMBER(SEARCH("TESTE", F1877))), "6.1 Despesas Administrativas (Gerais)", IFERROR(VLOOKUP(H1877, De_Para!A:B, 2, FALSE), "NÃO MAPEADO"))), IFERROR(VLOOKUP(H1877, De_Para!A:B, 2, FALSE), "NÃO MAPEADO"))</f>
        <v/>
      </c>
    </row>
    <row r="1878">
      <c r="A1878" s="2" t="inlineStr">
        <is>
          <t>67808</t>
        </is>
      </c>
      <c r="B1878" s="2" t="inlineStr">
        <is>
          <t>Sicredi SNI</t>
        </is>
      </c>
      <c r="C1878" s="2" t="inlineStr">
        <is>
          <t>05/06/2026</t>
        </is>
      </c>
      <c r="D1878" s="2" t="inlineStr">
        <is>
          <t>05/06/2026</t>
        </is>
      </c>
      <c r="E1878" s="2" t="inlineStr">
        <is>
          <t>Dinheiro</t>
        </is>
      </c>
      <c r="F1878" s="2" t="inlineStr">
        <is>
          <t>Boleto "55550" do cliente "ADEMIR IZIDORO"</t>
        </is>
      </c>
      <c r="G1878" s="2" t="inlineStr">
        <is>
          <t>system</t>
        </is>
      </c>
      <c r="H1878" s="2" t="inlineStr">
        <is>
          <t>01.01.01 : Mensalidade</t>
        </is>
      </c>
      <c r="I1878" s="3" t="n">
        <v>105</v>
      </c>
      <c r="J1878" s="2" t="n"/>
      <c r="K1878" s="2">
        <f>IF(H1878="02.09 : Outras Saídas", IF(OR(ISNUMBER(SEARCH("CHEQUE COMPE SICREDI", F1878)), ISNUMBER(SEARCH("aniversario", F1878)), ISNUMBER(SEARCH("churrasco", F1878)), ISNUMBER(SEARCH("bolo", F1878)), ISNUMBER(SEARCH("SUPERMERCADO", F1878))), "6.1 Despesas Administrativas (Pessoal)", IF(OR(ISNUMBER(SEARCH("DLKNET", F1878)), ISNUMBER(SEARCH("TESTE", F1878))), "6.1 Despesas Administrativas (Gerais)", IFERROR(VLOOKUP(H1878, De_Para!A:B, 2, FALSE), "NÃO MAPEADO"))), IFERROR(VLOOKUP(H1878, De_Para!A:B, 2, FALSE), "NÃO MAPEADO"))</f>
        <v/>
      </c>
    </row>
    <row r="1879">
      <c r="A1879" s="2" t="inlineStr">
        <is>
          <t>67807</t>
        </is>
      </c>
      <c r="B1879" s="2" t="inlineStr">
        <is>
          <t>Sicoob</t>
        </is>
      </c>
      <c r="C1879" s="2" t="inlineStr">
        <is>
          <t>05/06/2026</t>
        </is>
      </c>
      <c r="D1879" s="2" t="inlineStr">
        <is>
          <t>05/06/2026</t>
        </is>
      </c>
      <c r="E1879" s="2" t="inlineStr">
        <is>
          <t>Dinheiro</t>
        </is>
      </c>
      <c r="F1879" s="2" t="inlineStr">
        <is>
          <t>Boleto "66095" do cliente "ALTAMIRO BRUN DE SOUZA"</t>
        </is>
      </c>
      <c r="G1879" s="2" t="inlineStr">
        <is>
          <t>system</t>
        </is>
      </c>
      <c r="H1879" s="2" t="inlineStr">
        <is>
          <t>02.03.02.01 : Cobrança Bancaria</t>
        </is>
      </c>
      <c r="I1879" s="2" t="n"/>
      <c r="J1879" s="3" t="n">
        <v>-0.88</v>
      </c>
      <c r="K1879" s="2">
        <f>IF(H1879="02.09 : Outras Saídas", IF(OR(ISNUMBER(SEARCH("CHEQUE COMPE SICREDI", F1879)), ISNUMBER(SEARCH("aniversario", F1879)), ISNUMBER(SEARCH("churrasco", F1879)), ISNUMBER(SEARCH("bolo", F1879)), ISNUMBER(SEARCH("SUPERMERCADO", F1879))), "6.1 Despesas Administrativas (Pessoal)", IF(OR(ISNUMBER(SEARCH("DLKNET", F1879)), ISNUMBER(SEARCH("TESTE", F1879))), "6.1 Despesas Administrativas (Gerais)", IFERROR(VLOOKUP(H1879, De_Para!A:B, 2, FALSE), "NÃO MAPEADO"))), IFERROR(VLOOKUP(H1879, De_Para!A:B, 2, FALSE), "NÃO MAPEADO"))</f>
        <v/>
      </c>
    </row>
    <row r="1880">
      <c r="A1880" s="2" t="inlineStr">
        <is>
          <t>67806</t>
        </is>
      </c>
      <c r="B1880" s="2" t="inlineStr">
        <is>
          <t>Sicoob</t>
        </is>
      </c>
      <c r="C1880" s="2" t="inlineStr">
        <is>
          <t>05/06/2026</t>
        </is>
      </c>
      <c r="D1880" s="2" t="inlineStr">
        <is>
          <t>05/06/2026</t>
        </is>
      </c>
      <c r="E1880" s="2" t="inlineStr">
        <is>
          <t>Dinheiro</t>
        </is>
      </c>
      <c r="F1880" s="2" t="inlineStr">
        <is>
          <t>Boleto "66095" do cliente "ALTAMIRO BRUN DE SOUZA"</t>
        </is>
      </c>
      <c r="G1880" s="2" t="inlineStr">
        <is>
          <t>system</t>
        </is>
      </c>
      <c r="H1880" s="2" t="inlineStr">
        <is>
          <t>01.01.01 : Mensalidade</t>
        </is>
      </c>
      <c r="I1880" s="3" t="n">
        <v>109.9</v>
      </c>
      <c r="J1880" s="2" t="n"/>
      <c r="K1880" s="2">
        <f>IF(H1880="02.09 : Outras Saídas", IF(OR(ISNUMBER(SEARCH("CHEQUE COMPE SICREDI", F1880)), ISNUMBER(SEARCH("aniversario", F1880)), ISNUMBER(SEARCH("churrasco", F1880)), ISNUMBER(SEARCH("bolo", F1880)), ISNUMBER(SEARCH("SUPERMERCADO", F1880))), "6.1 Despesas Administrativas (Pessoal)", IF(OR(ISNUMBER(SEARCH("DLKNET", F1880)), ISNUMBER(SEARCH("TESTE", F1880))), "6.1 Despesas Administrativas (Gerais)", IFERROR(VLOOKUP(H1880, De_Para!A:B, 2, FALSE), "NÃO MAPEADO"))), IFERROR(VLOOKUP(H1880, De_Para!A:B, 2, FALSE), "NÃO MAPEADO"))</f>
        <v/>
      </c>
    </row>
    <row r="1881">
      <c r="A1881" s="2" t="inlineStr">
        <is>
          <t>67805</t>
        </is>
      </c>
      <c r="B1881" s="2" t="inlineStr">
        <is>
          <t>Sicoob</t>
        </is>
      </c>
      <c r="C1881" s="2" t="inlineStr">
        <is>
          <t>05/06/2026</t>
        </is>
      </c>
      <c r="D1881" s="2" t="inlineStr">
        <is>
          <t>05/06/2026</t>
        </is>
      </c>
      <c r="E1881" s="2" t="inlineStr">
        <is>
          <t>Dinheiro</t>
        </is>
      </c>
      <c r="F1881" s="2" t="inlineStr">
        <is>
          <t>Boleto "64710" do cliente "RENATO ROSA DE LIMA"</t>
        </is>
      </c>
      <c r="G1881" s="2" t="inlineStr">
        <is>
          <t>system</t>
        </is>
      </c>
      <c r="H1881" s="2" t="inlineStr">
        <is>
          <t>02.03.02.01 : Cobrança Bancaria</t>
        </is>
      </c>
      <c r="I1881" s="2" t="n"/>
      <c r="J1881" s="3" t="n">
        <v>-0.88</v>
      </c>
      <c r="K1881" s="2">
        <f>IF(H1881="02.09 : Outras Saídas", IF(OR(ISNUMBER(SEARCH("CHEQUE COMPE SICREDI", F1881)), ISNUMBER(SEARCH("aniversario", F1881)), ISNUMBER(SEARCH("churrasco", F1881)), ISNUMBER(SEARCH("bolo", F1881)), ISNUMBER(SEARCH("SUPERMERCADO", F1881))), "6.1 Despesas Administrativas (Pessoal)", IF(OR(ISNUMBER(SEARCH("DLKNET", F1881)), ISNUMBER(SEARCH("TESTE", F1881))), "6.1 Despesas Administrativas (Gerais)", IFERROR(VLOOKUP(H1881, De_Para!A:B, 2, FALSE), "NÃO MAPEADO"))), IFERROR(VLOOKUP(H1881, De_Para!A:B, 2, FALSE), "NÃO MAPEADO"))</f>
        <v/>
      </c>
    </row>
    <row r="1882">
      <c r="A1882" s="2" t="inlineStr">
        <is>
          <t>67804</t>
        </is>
      </c>
      <c r="B1882" s="2" t="inlineStr">
        <is>
          <t>Sicoob</t>
        </is>
      </c>
      <c r="C1882" s="2" t="inlineStr">
        <is>
          <t>05/06/2026</t>
        </is>
      </c>
      <c r="D1882" s="2" t="inlineStr">
        <is>
          <t>05/06/2026</t>
        </is>
      </c>
      <c r="E1882" s="2" t="inlineStr">
        <is>
          <t>Dinheiro</t>
        </is>
      </c>
      <c r="F1882" s="2" t="inlineStr">
        <is>
          <t>Boleto "64710" do cliente "RENATO ROSA DE LIMA"</t>
        </is>
      </c>
      <c r="G1882" s="2" t="inlineStr">
        <is>
          <t>system</t>
        </is>
      </c>
      <c r="H1882" s="2" t="inlineStr">
        <is>
          <t>01.01.01 : Mensalidade</t>
        </is>
      </c>
      <c r="I1882" s="3" t="n">
        <v>104.9</v>
      </c>
      <c r="J1882" s="2" t="n"/>
      <c r="K1882" s="2">
        <f>IF(H1882="02.09 : Outras Saídas", IF(OR(ISNUMBER(SEARCH("CHEQUE COMPE SICREDI", F1882)), ISNUMBER(SEARCH("aniversario", F1882)), ISNUMBER(SEARCH("churrasco", F1882)), ISNUMBER(SEARCH("bolo", F1882)), ISNUMBER(SEARCH("SUPERMERCADO", F1882))), "6.1 Despesas Administrativas (Pessoal)", IF(OR(ISNUMBER(SEARCH("DLKNET", F1882)), ISNUMBER(SEARCH("TESTE", F1882))), "6.1 Despesas Administrativas (Gerais)", IFERROR(VLOOKUP(H1882, De_Para!A:B, 2, FALSE), "NÃO MAPEADO"))), IFERROR(VLOOKUP(H1882, De_Para!A:B, 2, FALSE), "NÃO MAPEADO"))</f>
        <v/>
      </c>
    </row>
    <row r="1883">
      <c r="A1883" s="2" t="inlineStr">
        <is>
          <t>67803</t>
        </is>
      </c>
      <c r="B1883" s="2" t="inlineStr">
        <is>
          <t>Sicoob</t>
        </is>
      </c>
      <c r="C1883" s="2" t="inlineStr">
        <is>
          <t>05/06/2026</t>
        </is>
      </c>
      <c r="D1883" s="2" t="inlineStr">
        <is>
          <t>05/06/2026</t>
        </is>
      </c>
      <c r="E1883" s="2" t="inlineStr">
        <is>
          <t>Dinheiro</t>
        </is>
      </c>
      <c r="F1883" s="2" t="inlineStr">
        <is>
          <t>Boleto "63476" do cliente "JOAO DARCI BIANCHINI"</t>
        </is>
      </c>
      <c r="G1883" s="2" t="inlineStr">
        <is>
          <t>system</t>
        </is>
      </c>
      <c r="H1883" s="2" t="inlineStr">
        <is>
          <t>02.03.02.01 : Cobrança Bancaria</t>
        </is>
      </c>
      <c r="I1883" s="2" t="n"/>
      <c r="J1883" s="3" t="n">
        <v>-0.88</v>
      </c>
      <c r="K1883" s="2">
        <f>IF(H1883="02.09 : Outras Saídas", IF(OR(ISNUMBER(SEARCH("CHEQUE COMPE SICREDI", F1883)), ISNUMBER(SEARCH("aniversario", F1883)), ISNUMBER(SEARCH("churrasco", F1883)), ISNUMBER(SEARCH("bolo", F1883)), ISNUMBER(SEARCH("SUPERMERCADO", F1883))), "6.1 Despesas Administrativas (Pessoal)", IF(OR(ISNUMBER(SEARCH("DLKNET", F1883)), ISNUMBER(SEARCH("TESTE", F1883))), "6.1 Despesas Administrativas (Gerais)", IFERROR(VLOOKUP(H1883, De_Para!A:B, 2, FALSE), "NÃO MAPEADO"))), IFERROR(VLOOKUP(H1883, De_Para!A:B, 2, FALSE), "NÃO MAPEADO"))</f>
        <v/>
      </c>
    </row>
    <row r="1884">
      <c r="A1884" s="2" t="inlineStr">
        <is>
          <t>67802</t>
        </is>
      </c>
      <c r="B1884" s="2" t="inlineStr">
        <is>
          <t>Sicoob</t>
        </is>
      </c>
      <c r="C1884" s="2" t="inlineStr">
        <is>
          <t>05/06/2026</t>
        </is>
      </c>
      <c r="D1884" s="2" t="inlineStr">
        <is>
          <t>05/06/2026</t>
        </is>
      </c>
      <c r="E1884" s="2" t="inlineStr">
        <is>
          <t>Dinheiro</t>
        </is>
      </c>
      <c r="F1884" s="2" t="inlineStr">
        <is>
          <t>Boleto "63476" do cliente "JOAO DARCI BIANCHINI"</t>
        </is>
      </c>
      <c r="G1884" s="2" t="inlineStr">
        <is>
          <t>system</t>
        </is>
      </c>
      <c r="H1884" s="2" t="inlineStr">
        <is>
          <t>01.01.01 : Mensalidade</t>
        </is>
      </c>
      <c r="I1884" s="3" t="n">
        <v>109.9</v>
      </c>
      <c r="J1884" s="2" t="n"/>
      <c r="K1884" s="2">
        <f>IF(H1884="02.09 : Outras Saídas", IF(OR(ISNUMBER(SEARCH("CHEQUE COMPE SICREDI", F1884)), ISNUMBER(SEARCH("aniversario", F1884)), ISNUMBER(SEARCH("churrasco", F1884)), ISNUMBER(SEARCH("bolo", F1884)), ISNUMBER(SEARCH("SUPERMERCADO", F1884))), "6.1 Despesas Administrativas (Pessoal)", IF(OR(ISNUMBER(SEARCH("DLKNET", F1884)), ISNUMBER(SEARCH("TESTE", F1884))), "6.1 Despesas Administrativas (Gerais)", IFERROR(VLOOKUP(H1884, De_Para!A:B, 2, FALSE), "NÃO MAPEADO"))), IFERROR(VLOOKUP(H1884, De_Para!A:B, 2, FALSE), "NÃO MAPEADO"))</f>
        <v/>
      </c>
    </row>
    <row r="1885">
      <c r="A1885" s="2" t="inlineStr">
        <is>
          <t>67801</t>
        </is>
      </c>
      <c r="B1885" s="2" t="inlineStr">
        <is>
          <t>Sicoob</t>
        </is>
      </c>
      <c r="C1885" s="2" t="inlineStr">
        <is>
          <t>05/06/2026</t>
        </is>
      </c>
      <c r="D1885" s="2" t="inlineStr">
        <is>
          <t>05/06/2026</t>
        </is>
      </c>
      <c r="E1885" s="2" t="inlineStr">
        <is>
          <t>Dinheiro</t>
        </is>
      </c>
      <c r="F1885" s="2" t="inlineStr">
        <is>
          <t>Boleto "61786" do cliente "RITA DE CASSIA LOPES"</t>
        </is>
      </c>
      <c r="G1885" s="2" t="inlineStr">
        <is>
          <t>system</t>
        </is>
      </c>
      <c r="H1885" s="2" t="inlineStr">
        <is>
          <t>02.03.02.01 : Cobrança Bancaria</t>
        </is>
      </c>
      <c r="I1885" s="2" t="n"/>
      <c r="J1885" s="3" t="n">
        <v>-0.88</v>
      </c>
      <c r="K1885" s="2">
        <f>IF(H1885="02.09 : Outras Saídas", IF(OR(ISNUMBER(SEARCH("CHEQUE COMPE SICREDI", F1885)), ISNUMBER(SEARCH("aniversario", F1885)), ISNUMBER(SEARCH("churrasco", F1885)), ISNUMBER(SEARCH("bolo", F1885)), ISNUMBER(SEARCH("SUPERMERCADO", F1885))), "6.1 Despesas Administrativas (Pessoal)", IF(OR(ISNUMBER(SEARCH("DLKNET", F1885)), ISNUMBER(SEARCH("TESTE", F1885))), "6.1 Despesas Administrativas (Gerais)", IFERROR(VLOOKUP(H1885, De_Para!A:B, 2, FALSE), "NÃO MAPEADO"))), IFERROR(VLOOKUP(H1885, De_Para!A:B, 2, FALSE), "NÃO MAPEADO"))</f>
        <v/>
      </c>
    </row>
    <row r="1886">
      <c r="A1886" s="2" t="inlineStr">
        <is>
          <t>67800</t>
        </is>
      </c>
      <c r="B1886" s="2" t="inlineStr">
        <is>
          <t>Sicoob</t>
        </is>
      </c>
      <c r="C1886" s="2" t="inlineStr">
        <is>
          <t>05/06/2026</t>
        </is>
      </c>
      <c r="D1886" s="2" t="inlineStr">
        <is>
          <t>05/06/2026</t>
        </is>
      </c>
      <c r="E1886" s="2" t="inlineStr">
        <is>
          <t>Dinheiro</t>
        </is>
      </c>
      <c r="F1886" s="2" t="inlineStr">
        <is>
          <t>Boleto "61786" do cliente "RITA DE CASSIA LOPES"</t>
        </is>
      </c>
      <c r="G1886" s="2" t="inlineStr">
        <is>
          <t>system</t>
        </is>
      </c>
      <c r="H1886" s="2" t="inlineStr">
        <is>
          <t>01.01.01 : Mensalidade</t>
        </is>
      </c>
      <c r="I1886" s="3" t="n">
        <v>102.36</v>
      </c>
      <c r="J1886" s="2" t="n"/>
      <c r="K1886" s="2">
        <f>IF(H1886="02.09 : Outras Saídas", IF(OR(ISNUMBER(SEARCH("CHEQUE COMPE SICREDI", F1886)), ISNUMBER(SEARCH("aniversario", F1886)), ISNUMBER(SEARCH("churrasco", F1886)), ISNUMBER(SEARCH("bolo", F1886)), ISNUMBER(SEARCH("SUPERMERCADO", F1886))), "6.1 Despesas Administrativas (Pessoal)", IF(OR(ISNUMBER(SEARCH("DLKNET", F1886)), ISNUMBER(SEARCH("TESTE", F1886))), "6.1 Despesas Administrativas (Gerais)", IFERROR(VLOOKUP(H1886, De_Para!A:B, 2, FALSE), "NÃO MAPEADO"))), IFERROR(VLOOKUP(H1886, De_Para!A:B, 2, FALSE), "NÃO MAPEADO"))</f>
        <v/>
      </c>
    </row>
    <row r="1887">
      <c r="A1887" s="2" t="inlineStr">
        <is>
          <t>67799</t>
        </is>
      </c>
      <c r="B1887" s="2" t="inlineStr">
        <is>
          <t>Sicoob</t>
        </is>
      </c>
      <c r="C1887" s="2" t="inlineStr">
        <is>
          <t>05/06/2026</t>
        </is>
      </c>
      <c r="D1887" s="2" t="inlineStr">
        <is>
          <t>05/06/2026</t>
        </is>
      </c>
      <c r="E1887" s="2" t="inlineStr">
        <is>
          <t>Dinheiro</t>
        </is>
      </c>
      <c r="F1887" s="2" t="inlineStr">
        <is>
          <t>Boleto "60174" do cliente "RAFAELE MARIA BALBINO"</t>
        </is>
      </c>
      <c r="G1887" s="2" t="inlineStr">
        <is>
          <t>system</t>
        </is>
      </c>
      <c r="H1887" s="2" t="inlineStr">
        <is>
          <t>02.03.02.01 : Cobrança Bancaria</t>
        </is>
      </c>
      <c r="I1887" s="2" t="n"/>
      <c r="J1887" s="3" t="n">
        <v>-0.88</v>
      </c>
      <c r="K1887" s="2">
        <f>IF(H1887="02.09 : Outras Saídas", IF(OR(ISNUMBER(SEARCH("CHEQUE COMPE SICREDI", F1887)), ISNUMBER(SEARCH("aniversario", F1887)), ISNUMBER(SEARCH("churrasco", F1887)), ISNUMBER(SEARCH("bolo", F1887)), ISNUMBER(SEARCH("SUPERMERCADO", F1887))), "6.1 Despesas Administrativas (Pessoal)", IF(OR(ISNUMBER(SEARCH("DLKNET", F1887)), ISNUMBER(SEARCH("TESTE", F1887))), "6.1 Despesas Administrativas (Gerais)", IFERROR(VLOOKUP(H1887, De_Para!A:B, 2, FALSE), "NÃO MAPEADO"))), IFERROR(VLOOKUP(H1887, De_Para!A:B, 2, FALSE), "NÃO MAPEADO"))</f>
        <v/>
      </c>
    </row>
    <row r="1888">
      <c r="A1888" s="2" t="inlineStr">
        <is>
          <t>67798</t>
        </is>
      </c>
      <c r="B1888" s="2" t="inlineStr">
        <is>
          <t>Sicoob</t>
        </is>
      </c>
      <c r="C1888" s="2" t="inlineStr">
        <is>
          <t>05/06/2026</t>
        </is>
      </c>
      <c r="D1888" s="2" t="inlineStr">
        <is>
          <t>05/06/2026</t>
        </is>
      </c>
      <c r="E1888" s="2" t="inlineStr">
        <is>
          <t>Dinheiro</t>
        </is>
      </c>
      <c r="F1888" s="2" t="inlineStr">
        <is>
          <t>Boleto "60174" do cliente "RAFAELE MARIA BALBINO"</t>
        </is>
      </c>
      <c r="G1888" s="2" t="inlineStr">
        <is>
          <t>system</t>
        </is>
      </c>
      <c r="H1888" s="2" t="inlineStr">
        <is>
          <t>01.01.01 : Mensalidade</t>
        </is>
      </c>
      <c r="I1888" s="3" t="n">
        <v>102.2</v>
      </c>
      <c r="J1888" s="2" t="n"/>
      <c r="K1888" s="2">
        <f>IF(H1888="02.09 : Outras Saídas", IF(OR(ISNUMBER(SEARCH("CHEQUE COMPE SICREDI", F1888)), ISNUMBER(SEARCH("aniversario", F1888)), ISNUMBER(SEARCH("churrasco", F1888)), ISNUMBER(SEARCH("bolo", F1888)), ISNUMBER(SEARCH("SUPERMERCADO", F1888))), "6.1 Despesas Administrativas (Pessoal)", IF(OR(ISNUMBER(SEARCH("DLKNET", F1888)), ISNUMBER(SEARCH("TESTE", F1888))), "6.1 Despesas Administrativas (Gerais)", IFERROR(VLOOKUP(H1888, De_Para!A:B, 2, FALSE), "NÃO MAPEADO"))), IFERROR(VLOOKUP(H1888, De_Para!A:B, 2, FALSE), "NÃO MAPEADO"))</f>
        <v/>
      </c>
    </row>
    <row r="1889">
      <c r="A1889" s="2" t="inlineStr">
        <is>
          <t>67797</t>
        </is>
      </c>
      <c r="B1889" s="2" t="inlineStr">
        <is>
          <t>Sicoob</t>
        </is>
      </c>
      <c r="C1889" s="2" t="inlineStr">
        <is>
          <t>05/06/2026</t>
        </is>
      </c>
      <c r="D1889" s="2" t="inlineStr">
        <is>
          <t>05/06/2026</t>
        </is>
      </c>
      <c r="E1889" s="2" t="inlineStr">
        <is>
          <t>Dinheiro</t>
        </is>
      </c>
      <c r="F1889" s="2" t="inlineStr">
        <is>
          <t>Boleto "59885" do cliente "CAMILA SABINO GRACIANO"</t>
        </is>
      </c>
      <c r="G1889" s="2" t="inlineStr">
        <is>
          <t>system</t>
        </is>
      </c>
      <c r="H1889" s="2" t="inlineStr">
        <is>
          <t>02.03.02.01 : Cobrança Bancaria</t>
        </is>
      </c>
      <c r="I1889" s="2" t="n"/>
      <c r="J1889" s="3" t="n">
        <v>-0.88</v>
      </c>
      <c r="K1889" s="2">
        <f>IF(H1889="02.09 : Outras Saídas", IF(OR(ISNUMBER(SEARCH("CHEQUE COMPE SICREDI", F1889)), ISNUMBER(SEARCH("aniversario", F1889)), ISNUMBER(SEARCH("churrasco", F1889)), ISNUMBER(SEARCH("bolo", F1889)), ISNUMBER(SEARCH("SUPERMERCADO", F1889))), "6.1 Despesas Administrativas (Pessoal)", IF(OR(ISNUMBER(SEARCH("DLKNET", F1889)), ISNUMBER(SEARCH("TESTE", F1889))), "6.1 Despesas Administrativas (Gerais)", IFERROR(VLOOKUP(H1889, De_Para!A:B, 2, FALSE), "NÃO MAPEADO"))), IFERROR(VLOOKUP(H1889, De_Para!A:B, 2, FALSE), "NÃO MAPEADO"))</f>
        <v/>
      </c>
    </row>
    <row r="1890">
      <c r="A1890" s="2" t="inlineStr">
        <is>
          <t>67796</t>
        </is>
      </c>
      <c r="B1890" s="2" t="inlineStr">
        <is>
          <t>Sicoob</t>
        </is>
      </c>
      <c r="C1890" s="2" t="inlineStr">
        <is>
          <t>05/06/2026</t>
        </is>
      </c>
      <c r="D1890" s="2" t="inlineStr">
        <is>
          <t>05/06/2026</t>
        </is>
      </c>
      <c r="E1890" s="2" t="inlineStr">
        <is>
          <t>Dinheiro</t>
        </is>
      </c>
      <c r="F1890" s="2" t="inlineStr">
        <is>
          <t>Boleto "59885" do cliente "CAMILA SABINO GRACIANO"</t>
        </is>
      </c>
      <c r="G1890" s="2" t="inlineStr">
        <is>
          <t>system</t>
        </is>
      </c>
      <c r="H1890" s="2" t="inlineStr">
        <is>
          <t>01.01.01 : Mensalidade</t>
        </is>
      </c>
      <c r="I1890" s="3" t="n">
        <v>100</v>
      </c>
      <c r="J1890" s="2" t="n"/>
      <c r="K1890" s="2">
        <f>IF(H1890="02.09 : Outras Saídas", IF(OR(ISNUMBER(SEARCH("CHEQUE COMPE SICREDI", F1890)), ISNUMBER(SEARCH("aniversario", F1890)), ISNUMBER(SEARCH("churrasco", F1890)), ISNUMBER(SEARCH("bolo", F1890)), ISNUMBER(SEARCH("SUPERMERCADO", F1890))), "6.1 Despesas Administrativas (Pessoal)", IF(OR(ISNUMBER(SEARCH("DLKNET", F1890)), ISNUMBER(SEARCH("TESTE", F1890))), "6.1 Despesas Administrativas (Gerais)", IFERROR(VLOOKUP(H1890, De_Para!A:B, 2, FALSE), "NÃO MAPEADO"))), IFERROR(VLOOKUP(H1890, De_Para!A:B, 2, FALSE), "NÃO MAPEADO"))</f>
        <v/>
      </c>
    </row>
    <row r="1891">
      <c r="A1891" s="2" t="inlineStr">
        <is>
          <t>67795</t>
        </is>
      </c>
      <c r="B1891" s="2" t="inlineStr">
        <is>
          <t>Sicoob</t>
        </is>
      </c>
      <c r="C1891" s="2" t="inlineStr">
        <is>
          <t>05/06/2026</t>
        </is>
      </c>
      <c r="D1891" s="2" t="inlineStr">
        <is>
          <t>05/06/2026</t>
        </is>
      </c>
      <c r="E1891" s="2" t="inlineStr">
        <is>
          <t>Dinheiro</t>
        </is>
      </c>
      <c r="F1891" s="2" t="inlineStr">
        <is>
          <t>Boleto "59740" do cliente "JAIR NUNES DA ROSA"</t>
        </is>
      </c>
      <c r="G1891" s="2" t="inlineStr">
        <is>
          <t>system</t>
        </is>
      </c>
      <c r="H1891" s="2" t="inlineStr">
        <is>
          <t>02.03.02.01 : Cobrança Bancaria</t>
        </is>
      </c>
      <c r="I1891" s="2" t="n"/>
      <c r="J1891" s="3" t="n">
        <v>-0.88</v>
      </c>
      <c r="K1891" s="2">
        <f>IF(H1891="02.09 : Outras Saídas", IF(OR(ISNUMBER(SEARCH("CHEQUE COMPE SICREDI", F1891)), ISNUMBER(SEARCH("aniversario", F1891)), ISNUMBER(SEARCH("churrasco", F1891)), ISNUMBER(SEARCH("bolo", F1891)), ISNUMBER(SEARCH("SUPERMERCADO", F1891))), "6.1 Despesas Administrativas (Pessoal)", IF(OR(ISNUMBER(SEARCH("DLKNET", F1891)), ISNUMBER(SEARCH("TESTE", F1891))), "6.1 Despesas Administrativas (Gerais)", IFERROR(VLOOKUP(H1891, De_Para!A:B, 2, FALSE), "NÃO MAPEADO"))), IFERROR(VLOOKUP(H1891, De_Para!A:B, 2, FALSE), "NÃO MAPEADO"))</f>
        <v/>
      </c>
    </row>
    <row r="1892">
      <c r="A1892" s="2" t="inlineStr">
        <is>
          <t>67794</t>
        </is>
      </c>
      <c r="B1892" s="2" t="inlineStr">
        <is>
          <t>Sicoob</t>
        </is>
      </c>
      <c r="C1892" s="2" t="inlineStr">
        <is>
          <t>05/06/2026</t>
        </is>
      </c>
      <c r="D1892" s="2" t="inlineStr">
        <is>
          <t>05/06/2026</t>
        </is>
      </c>
      <c r="E1892" s="2" t="inlineStr">
        <is>
          <t>Dinheiro</t>
        </is>
      </c>
      <c r="F1892" s="2" t="inlineStr">
        <is>
          <t>Boleto "59740" do cliente "JAIR NUNES DA ROSA"</t>
        </is>
      </c>
      <c r="G1892" s="2" t="inlineStr">
        <is>
          <t>system</t>
        </is>
      </c>
      <c r="H1892" s="2" t="inlineStr">
        <is>
          <t>01.01.01 : Mensalidade</t>
        </is>
      </c>
      <c r="I1892" s="3" t="n">
        <v>100</v>
      </c>
      <c r="J1892" s="2" t="n"/>
      <c r="K1892" s="2">
        <f>IF(H1892="02.09 : Outras Saídas", IF(OR(ISNUMBER(SEARCH("CHEQUE COMPE SICREDI", F1892)), ISNUMBER(SEARCH("aniversario", F1892)), ISNUMBER(SEARCH("churrasco", F1892)), ISNUMBER(SEARCH("bolo", F1892)), ISNUMBER(SEARCH("SUPERMERCADO", F1892))), "6.1 Despesas Administrativas (Pessoal)", IF(OR(ISNUMBER(SEARCH("DLKNET", F1892)), ISNUMBER(SEARCH("TESTE", F1892))), "6.1 Despesas Administrativas (Gerais)", IFERROR(VLOOKUP(H1892, De_Para!A:B, 2, FALSE), "NÃO MAPEADO"))), IFERROR(VLOOKUP(H1892, De_Para!A:B, 2, FALSE), "NÃO MAPEADO"))</f>
        <v/>
      </c>
    </row>
    <row r="1893">
      <c r="A1893" s="2" t="inlineStr">
        <is>
          <t>67793</t>
        </is>
      </c>
      <c r="B1893" s="2" t="inlineStr">
        <is>
          <t>Sicoob</t>
        </is>
      </c>
      <c r="C1893" s="2" t="inlineStr">
        <is>
          <t>05/06/2026</t>
        </is>
      </c>
      <c r="D1893" s="2" t="inlineStr">
        <is>
          <t>05/06/2026</t>
        </is>
      </c>
      <c r="E1893" s="2" t="inlineStr">
        <is>
          <t>Dinheiro</t>
        </is>
      </c>
      <c r="F1893" s="2" t="inlineStr">
        <is>
          <t>Boleto "59362" do cliente "RIVANIL RIBEIRO DO VALE"</t>
        </is>
      </c>
      <c r="G1893" s="2" t="inlineStr">
        <is>
          <t>system</t>
        </is>
      </c>
      <c r="H1893" s="2" t="inlineStr">
        <is>
          <t>02.03.02.01 : Cobrança Bancaria</t>
        </is>
      </c>
      <c r="I1893" s="2" t="n"/>
      <c r="J1893" s="3" t="n">
        <v>-0.88</v>
      </c>
      <c r="K1893" s="2">
        <f>IF(H1893="02.09 : Outras Saídas", IF(OR(ISNUMBER(SEARCH("CHEQUE COMPE SICREDI", F1893)), ISNUMBER(SEARCH("aniversario", F1893)), ISNUMBER(SEARCH("churrasco", F1893)), ISNUMBER(SEARCH("bolo", F1893)), ISNUMBER(SEARCH("SUPERMERCADO", F1893))), "6.1 Despesas Administrativas (Pessoal)", IF(OR(ISNUMBER(SEARCH("DLKNET", F1893)), ISNUMBER(SEARCH("TESTE", F1893))), "6.1 Despesas Administrativas (Gerais)", IFERROR(VLOOKUP(H1893, De_Para!A:B, 2, FALSE), "NÃO MAPEADO"))), IFERROR(VLOOKUP(H1893, De_Para!A:B, 2, FALSE), "NÃO MAPEADO"))</f>
        <v/>
      </c>
    </row>
    <row r="1894">
      <c r="A1894" s="2" t="inlineStr">
        <is>
          <t>67792</t>
        </is>
      </c>
      <c r="B1894" s="2" t="inlineStr">
        <is>
          <t>Sicoob</t>
        </is>
      </c>
      <c r="C1894" s="2" t="inlineStr">
        <is>
          <t>05/06/2026</t>
        </is>
      </c>
      <c r="D1894" s="2" t="inlineStr">
        <is>
          <t>05/06/2026</t>
        </is>
      </c>
      <c r="E1894" s="2" t="inlineStr">
        <is>
          <t>Dinheiro</t>
        </is>
      </c>
      <c r="F1894" s="2" t="inlineStr">
        <is>
          <t>Boleto "59362" do cliente "RIVANIL RIBEIRO DO VALE"</t>
        </is>
      </c>
      <c r="G1894" s="2" t="inlineStr">
        <is>
          <t>system</t>
        </is>
      </c>
      <c r="H1894" s="2" t="inlineStr">
        <is>
          <t>01.01.01 : Mensalidade</t>
        </is>
      </c>
      <c r="I1894" s="3" t="n">
        <v>100</v>
      </c>
      <c r="J1894" s="2" t="n"/>
      <c r="K1894" s="2">
        <f>IF(H1894="02.09 : Outras Saídas", IF(OR(ISNUMBER(SEARCH("CHEQUE COMPE SICREDI", F1894)), ISNUMBER(SEARCH("aniversario", F1894)), ISNUMBER(SEARCH("churrasco", F1894)), ISNUMBER(SEARCH("bolo", F1894)), ISNUMBER(SEARCH("SUPERMERCADO", F1894))), "6.1 Despesas Administrativas (Pessoal)", IF(OR(ISNUMBER(SEARCH("DLKNET", F1894)), ISNUMBER(SEARCH("TESTE", F1894))), "6.1 Despesas Administrativas (Gerais)", IFERROR(VLOOKUP(H1894, De_Para!A:B, 2, FALSE), "NÃO MAPEADO"))), IFERROR(VLOOKUP(H1894, De_Para!A:B, 2, FALSE), "NÃO MAPEADO"))</f>
        <v/>
      </c>
    </row>
    <row r="1895">
      <c r="A1895" s="2" t="inlineStr">
        <is>
          <t>67791</t>
        </is>
      </c>
      <c r="B1895" s="2" t="inlineStr">
        <is>
          <t>Sicoob</t>
        </is>
      </c>
      <c r="C1895" s="2" t="inlineStr">
        <is>
          <t>05/06/2026</t>
        </is>
      </c>
      <c r="D1895" s="2" t="inlineStr">
        <is>
          <t>05/06/2026</t>
        </is>
      </c>
      <c r="E1895" s="2" t="inlineStr">
        <is>
          <t>Dinheiro</t>
        </is>
      </c>
      <c r="F1895" s="2" t="inlineStr">
        <is>
          <t>Boleto "58069" do cliente "NEUZA FERNANDES"</t>
        </is>
      </c>
      <c r="G1895" s="2" t="inlineStr">
        <is>
          <t>system</t>
        </is>
      </c>
      <c r="H1895" s="2" t="inlineStr">
        <is>
          <t>02.03.02.01 : Cobrança Bancaria</t>
        </is>
      </c>
      <c r="I1895" s="2" t="n"/>
      <c r="J1895" s="3" t="n">
        <v>-0.88</v>
      </c>
      <c r="K1895" s="2">
        <f>IF(H1895="02.09 : Outras Saídas", IF(OR(ISNUMBER(SEARCH("CHEQUE COMPE SICREDI", F1895)), ISNUMBER(SEARCH("aniversario", F1895)), ISNUMBER(SEARCH("churrasco", F1895)), ISNUMBER(SEARCH("bolo", F1895)), ISNUMBER(SEARCH("SUPERMERCADO", F1895))), "6.1 Despesas Administrativas (Pessoal)", IF(OR(ISNUMBER(SEARCH("DLKNET", F1895)), ISNUMBER(SEARCH("TESTE", F1895))), "6.1 Despesas Administrativas (Gerais)", IFERROR(VLOOKUP(H1895, De_Para!A:B, 2, FALSE), "NÃO MAPEADO"))), IFERROR(VLOOKUP(H1895, De_Para!A:B, 2, FALSE), "NÃO MAPEADO"))</f>
        <v/>
      </c>
    </row>
    <row r="1896">
      <c r="A1896" s="2" t="inlineStr">
        <is>
          <t>67790</t>
        </is>
      </c>
      <c r="B1896" s="2" t="inlineStr">
        <is>
          <t>Sicoob</t>
        </is>
      </c>
      <c r="C1896" s="2" t="inlineStr">
        <is>
          <t>05/06/2026</t>
        </is>
      </c>
      <c r="D1896" s="2" t="inlineStr">
        <is>
          <t>05/06/2026</t>
        </is>
      </c>
      <c r="E1896" s="2" t="inlineStr">
        <is>
          <t>Dinheiro</t>
        </is>
      </c>
      <c r="F1896" s="2" t="inlineStr">
        <is>
          <t>Boleto "58069" do cliente "NEUZA FERNANDES"</t>
        </is>
      </c>
      <c r="G1896" s="2" t="inlineStr">
        <is>
          <t>system</t>
        </is>
      </c>
      <c r="H1896" s="2" t="inlineStr">
        <is>
          <t>01.01.01 : Mensalidade</t>
        </is>
      </c>
      <c r="I1896" s="3" t="n">
        <v>105</v>
      </c>
      <c r="J1896" s="2" t="n"/>
      <c r="K1896" s="2">
        <f>IF(H1896="02.09 : Outras Saídas", IF(OR(ISNUMBER(SEARCH("CHEQUE COMPE SICREDI", F1896)), ISNUMBER(SEARCH("aniversario", F1896)), ISNUMBER(SEARCH("churrasco", F1896)), ISNUMBER(SEARCH("bolo", F1896)), ISNUMBER(SEARCH("SUPERMERCADO", F1896))), "6.1 Despesas Administrativas (Pessoal)", IF(OR(ISNUMBER(SEARCH("DLKNET", F1896)), ISNUMBER(SEARCH("TESTE", F1896))), "6.1 Despesas Administrativas (Gerais)", IFERROR(VLOOKUP(H1896, De_Para!A:B, 2, FALSE), "NÃO MAPEADO"))), IFERROR(VLOOKUP(H1896, De_Para!A:B, 2, FALSE), "NÃO MAPEADO"))</f>
        <v/>
      </c>
    </row>
    <row r="1897">
      <c r="A1897" s="2" t="inlineStr">
        <is>
          <t>67789</t>
        </is>
      </c>
      <c r="B1897" s="2" t="inlineStr">
        <is>
          <t>Sicoob</t>
        </is>
      </c>
      <c r="C1897" s="2" t="inlineStr">
        <is>
          <t>05/06/2026</t>
        </is>
      </c>
      <c r="D1897" s="2" t="inlineStr">
        <is>
          <t>05/06/2026</t>
        </is>
      </c>
      <c r="E1897" s="2" t="inlineStr">
        <is>
          <t>Dinheiro</t>
        </is>
      </c>
      <c r="F1897" s="2" t="inlineStr">
        <is>
          <t>Boleto "57769" do cliente "RODRIGO ANACLETO ANDRADE CRUZ"</t>
        </is>
      </c>
      <c r="G1897" s="2" t="inlineStr">
        <is>
          <t>system</t>
        </is>
      </c>
      <c r="H1897" s="2" t="inlineStr">
        <is>
          <t>02.03.02.01 : Cobrança Bancaria</t>
        </is>
      </c>
      <c r="I1897" s="2" t="n"/>
      <c r="J1897" s="3" t="n">
        <v>-0.88</v>
      </c>
      <c r="K1897" s="2">
        <f>IF(H1897="02.09 : Outras Saídas", IF(OR(ISNUMBER(SEARCH("CHEQUE COMPE SICREDI", F1897)), ISNUMBER(SEARCH("aniversario", F1897)), ISNUMBER(SEARCH("churrasco", F1897)), ISNUMBER(SEARCH("bolo", F1897)), ISNUMBER(SEARCH("SUPERMERCADO", F1897))), "6.1 Despesas Administrativas (Pessoal)", IF(OR(ISNUMBER(SEARCH("DLKNET", F1897)), ISNUMBER(SEARCH("TESTE", F1897))), "6.1 Despesas Administrativas (Gerais)", IFERROR(VLOOKUP(H1897, De_Para!A:B, 2, FALSE), "NÃO MAPEADO"))), IFERROR(VLOOKUP(H1897, De_Para!A:B, 2, FALSE), "NÃO MAPEADO"))</f>
        <v/>
      </c>
    </row>
    <row r="1898">
      <c r="A1898" s="2" t="inlineStr">
        <is>
          <t>67788</t>
        </is>
      </c>
      <c r="B1898" s="2" t="inlineStr">
        <is>
          <t>Sicoob</t>
        </is>
      </c>
      <c r="C1898" s="2" t="inlineStr">
        <is>
          <t>05/06/2026</t>
        </is>
      </c>
      <c r="D1898" s="2" t="inlineStr">
        <is>
          <t>05/06/2026</t>
        </is>
      </c>
      <c r="E1898" s="2" t="inlineStr">
        <is>
          <t>Dinheiro</t>
        </is>
      </c>
      <c r="F1898" s="2" t="inlineStr">
        <is>
          <t>Boleto "57769" do cliente "RODRIGO ANACLETO ANDRADE CRUZ"</t>
        </is>
      </c>
      <c r="G1898" s="2" t="inlineStr">
        <is>
          <t>system</t>
        </is>
      </c>
      <c r="H1898" s="2" t="inlineStr">
        <is>
          <t>01.03.01 : Mensalidade</t>
        </is>
      </c>
      <c r="I1898" s="3" t="n">
        <v>105</v>
      </c>
      <c r="J1898" s="2" t="n"/>
      <c r="K1898" s="2">
        <f>IF(H1898="02.09 : Outras Saídas", IF(OR(ISNUMBER(SEARCH("CHEQUE COMPE SICREDI", F1898)), ISNUMBER(SEARCH("aniversario", F1898)), ISNUMBER(SEARCH("churrasco", F1898)), ISNUMBER(SEARCH("bolo", F1898)), ISNUMBER(SEARCH("SUPERMERCADO", F1898))), "6.1 Despesas Administrativas (Pessoal)", IF(OR(ISNUMBER(SEARCH("DLKNET", F1898)), ISNUMBER(SEARCH("TESTE", F1898))), "6.1 Despesas Administrativas (Gerais)", IFERROR(VLOOKUP(H1898, De_Para!A:B, 2, FALSE), "NÃO MAPEADO"))), IFERROR(VLOOKUP(H1898, De_Para!A:B, 2, FALSE), "NÃO MAPEADO"))</f>
        <v/>
      </c>
    </row>
    <row r="1899">
      <c r="A1899" s="2" t="inlineStr">
        <is>
          <t>67787</t>
        </is>
      </c>
      <c r="B1899" s="2" t="inlineStr">
        <is>
          <t>Sicoob</t>
        </is>
      </c>
      <c r="C1899" s="2" t="inlineStr">
        <is>
          <t>05/06/2026</t>
        </is>
      </c>
      <c r="D1899" s="2" t="inlineStr">
        <is>
          <t>05/06/2026</t>
        </is>
      </c>
      <c r="E1899" s="2" t="inlineStr">
        <is>
          <t>Dinheiro</t>
        </is>
      </c>
      <c r="F1899" s="2" t="inlineStr">
        <is>
          <t>Boleto "57469" do cliente "MARLEI CARSTER NUNES"</t>
        </is>
      </c>
      <c r="G1899" s="2" t="inlineStr">
        <is>
          <t>system</t>
        </is>
      </c>
      <c r="H1899" s="2" t="inlineStr">
        <is>
          <t>02.03.02.01 : Cobrança Bancaria</t>
        </is>
      </c>
      <c r="I1899" s="2" t="n"/>
      <c r="J1899" s="3" t="n">
        <v>-0.88</v>
      </c>
      <c r="K1899" s="2">
        <f>IF(H1899="02.09 : Outras Saídas", IF(OR(ISNUMBER(SEARCH("CHEQUE COMPE SICREDI", F1899)), ISNUMBER(SEARCH("aniversario", F1899)), ISNUMBER(SEARCH("churrasco", F1899)), ISNUMBER(SEARCH("bolo", F1899)), ISNUMBER(SEARCH("SUPERMERCADO", F1899))), "6.1 Despesas Administrativas (Pessoal)", IF(OR(ISNUMBER(SEARCH("DLKNET", F1899)), ISNUMBER(SEARCH("TESTE", F1899))), "6.1 Despesas Administrativas (Gerais)", IFERROR(VLOOKUP(H1899, De_Para!A:B, 2, FALSE), "NÃO MAPEADO"))), IFERROR(VLOOKUP(H1899, De_Para!A:B, 2, FALSE), "NÃO MAPEADO"))</f>
        <v/>
      </c>
    </row>
    <row r="1900">
      <c r="A1900" s="2" t="inlineStr">
        <is>
          <t>67786</t>
        </is>
      </c>
      <c r="B1900" s="2" t="inlineStr">
        <is>
          <t>Sicoob</t>
        </is>
      </c>
      <c r="C1900" s="2" t="inlineStr">
        <is>
          <t>05/06/2026</t>
        </is>
      </c>
      <c r="D1900" s="2" t="inlineStr">
        <is>
          <t>05/06/2026</t>
        </is>
      </c>
      <c r="E1900" s="2" t="inlineStr">
        <is>
          <t>Dinheiro</t>
        </is>
      </c>
      <c r="F1900" s="2" t="inlineStr">
        <is>
          <t>Boleto "57469" do cliente "MARLEI CARSTER NUNES"</t>
        </is>
      </c>
      <c r="G1900" s="2" t="inlineStr">
        <is>
          <t>system</t>
        </is>
      </c>
      <c r="H1900" s="2" t="inlineStr">
        <is>
          <t>01.01.01 : Mensalidade</t>
        </is>
      </c>
      <c r="I1900" s="3" t="n">
        <v>105</v>
      </c>
      <c r="J1900" s="2" t="n"/>
      <c r="K1900" s="2">
        <f>IF(H1900="02.09 : Outras Saídas", IF(OR(ISNUMBER(SEARCH("CHEQUE COMPE SICREDI", F1900)), ISNUMBER(SEARCH("aniversario", F1900)), ISNUMBER(SEARCH("churrasco", F1900)), ISNUMBER(SEARCH("bolo", F1900)), ISNUMBER(SEARCH("SUPERMERCADO", F1900))), "6.1 Despesas Administrativas (Pessoal)", IF(OR(ISNUMBER(SEARCH("DLKNET", F1900)), ISNUMBER(SEARCH("TESTE", F1900))), "6.1 Despesas Administrativas (Gerais)", IFERROR(VLOOKUP(H1900, De_Para!A:B, 2, FALSE), "NÃO MAPEADO"))), IFERROR(VLOOKUP(H1900, De_Para!A:B, 2, FALSE), "NÃO MAPEADO"))</f>
        <v/>
      </c>
    </row>
    <row r="1901">
      <c r="A1901" s="2" t="inlineStr">
        <is>
          <t>67785</t>
        </is>
      </c>
      <c r="B1901" s="2" t="inlineStr">
        <is>
          <t>Sicoob</t>
        </is>
      </c>
      <c r="C1901" s="2" t="inlineStr">
        <is>
          <t>05/06/2026</t>
        </is>
      </c>
      <c r="D1901" s="2" t="inlineStr">
        <is>
          <t>05/06/2026</t>
        </is>
      </c>
      <c r="E1901" s="2" t="inlineStr">
        <is>
          <t>Dinheiro</t>
        </is>
      </c>
      <c r="F1901" s="2" t="inlineStr">
        <is>
          <t>Boleto "57260" do cliente "ANTONIO ELIAS CARLOS DEXTRE"</t>
        </is>
      </c>
      <c r="G1901" s="2" t="inlineStr">
        <is>
          <t>system</t>
        </is>
      </c>
      <c r="H1901" s="2" t="inlineStr">
        <is>
          <t>02.03.02.01 : Cobrança Bancaria</t>
        </is>
      </c>
      <c r="I1901" s="2" t="n"/>
      <c r="J1901" s="3" t="n">
        <v>-0.88</v>
      </c>
      <c r="K1901" s="2">
        <f>IF(H1901="02.09 : Outras Saídas", IF(OR(ISNUMBER(SEARCH("CHEQUE COMPE SICREDI", F1901)), ISNUMBER(SEARCH("aniversario", F1901)), ISNUMBER(SEARCH("churrasco", F1901)), ISNUMBER(SEARCH("bolo", F1901)), ISNUMBER(SEARCH("SUPERMERCADO", F1901))), "6.1 Despesas Administrativas (Pessoal)", IF(OR(ISNUMBER(SEARCH("DLKNET", F1901)), ISNUMBER(SEARCH("TESTE", F1901))), "6.1 Despesas Administrativas (Gerais)", IFERROR(VLOOKUP(H1901, De_Para!A:B, 2, FALSE), "NÃO MAPEADO"))), IFERROR(VLOOKUP(H1901, De_Para!A:B, 2, FALSE), "NÃO MAPEADO"))</f>
        <v/>
      </c>
    </row>
    <row r="1902">
      <c r="A1902" s="2" t="inlineStr">
        <is>
          <t>67784</t>
        </is>
      </c>
      <c r="B1902" s="2" t="inlineStr">
        <is>
          <t>Sicoob</t>
        </is>
      </c>
      <c r="C1902" s="2" t="inlineStr">
        <is>
          <t>05/06/2026</t>
        </is>
      </c>
      <c r="D1902" s="2" t="inlineStr">
        <is>
          <t>05/06/2026</t>
        </is>
      </c>
      <c r="E1902" s="2" t="inlineStr">
        <is>
          <t>Dinheiro</t>
        </is>
      </c>
      <c r="F1902" s="2" t="inlineStr">
        <is>
          <t>Boleto "57260" do cliente "ANTONIO ELIAS CARLOS DEXTRE"</t>
        </is>
      </c>
      <c r="G1902" s="2" t="inlineStr">
        <is>
          <t>system</t>
        </is>
      </c>
      <c r="H1902" s="2" t="inlineStr">
        <is>
          <t>01.01.01 : Mensalidade</t>
        </is>
      </c>
      <c r="I1902" s="3" t="n">
        <v>105</v>
      </c>
      <c r="J1902" s="2" t="n"/>
      <c r="K1902" s="2">
        <f>IF(H1902="02.09 : Outras Saídas", IF(OR(ISNUMBER(SEARCH("CHEQUE COMPE SICREDI", F1902)), ISNUMBER(SEARCH("aniversario", F1902)), ISNUMBER(SEARCH("churrasco", F1902)), ISNUMBER(SEARCH("bolo", F1902)), ISNUMBER(SEARCH("SUPERMERCADO", F1902))), "6.1 Despesas Administrativas (Pessoal)", IF(OR(ISNUMBER(SEARCH("DLKNET", F1902)), ISNUMBER(SEARCH("TESTE", F1902))), "6.1 Despesas Administrativas (Gerais)", IFERROR(VLOOKUP(H1902, De_Para!A:B, 2, FALSE), "NÃO MAPEADO"))), IFERROR(VLOOKUP(H1902, De_Para!A:B, 2, FALSE), "NÃO MAPEADO"))</f>
        <v/>
      </c>
    </row>
    <row r="1903">
      <c r="A1903" s="2" t="inlineStr">
        <is>
          <t>67783</t>
        </is>
      </c>
      <c r="B1903" s="2" t="inlineStr">
        <is>
          <t>Sicoob</t>
        </is>
      </c>
      <c r="C1903" s="2" t="inlineStr">
        <is>
          <t>05/06/2026</t>
        </is>
      </c>
      <c r="D1903" s="2" t="inlineStr">
        <is>
          <t>05/06/2026</t>
        </is>
      </c>
      <c r="E1903" s="2" t="inlineStr">
        <is>
          <t>Dinheiro</t>
        </is>
      </c>
      <c r="F1903" s="2" t="inlineStr">
        <is>
          <t>Boleto "57129" do cliente "LUIZ FERNANDO PEGORER E OUTROS"</t>
        </is>
      </c>
      <c r="G1903" s="2" t="inlineStr">
        <is>
          <t>system</t>
        </is>
      </c>
      <c r="H1903" s="2" t="inlineStr">
        <is>
          <t>02.03.02.01 : Cobrança Bancaria</t>
        </is>
      </c>
      <c r="I1903" s="2" t="n"/>
      <c r="J1903" s="3" t="n">
        <v>-0.88</v>
      </c>
      <c r="K1903" s="2">
        <f>IF(H1903="02.09 : Outras Saídas", IF(OR(ISNUMBER(SEARCH("CHEQUE COMPE SICREDI", F1903)), ISNUMBER(SEARCH("aniversario", F1903)), ISNUMBER(SEARCH("churrasco", F1903)), ISNUMBER(SEARCH("bolo", F1903)), ISNUMBER(SEARCH("SUPERMERCADO", F1903))), "6.1 Despesas Administrativas (Pessoal)", IF(OR(ISNUMBER(SEARCH("DLKNET", F1903)), ISNUMBER(SEARCH("TESTE", F1903))), "6.1 Despesas Administrativas (Gerais)", IFERROR(VLOOKUP(H1903, De_Para!A:B, 2, FALSE), "NÃO MAPEADO"))), IFERROR(VLOOKUP(H1903, De_Para!A:B, 2, FALSE), "NÃO MAPEADO"))</f>
        <v/>
      </c>
    </row>
    <row r="1904">
      <c r="A1904" s="2" t="inlineStr">
        <is>
          <t>67782</t>
        </is>
      </c>
      <c r="B1904" s="2" t="inlineStr">
        <is>
          <t>Sicoob</t>
        </is>
      </c>
      <c r="C1904" s="2" t="inlineStr">
        <is>
          <t>05/06/2026</t>
        </is>
      </c>
      <c r="D1904" s="2" t="inlineStr">
        <is>
          <t>05/06/2026</t>
        </is>
      </c>
      <c r="E1904" s="2" t="inlineStr">
        <is>
          <t>Dinheiro</t>
        </is>
      </c>
      <c r="F1904" s="2" t="inlineStr">
        <is>
          <t>Boleto "57129" do cliente "LUIZ FERNANDO PEGORER E OUTROS"</t>
        </is>
      </c>
      <c r="G1904" s="2" t="inlineStr">
        <is>
          <t>system</t>
        </is>
      </c>
      <c r="H1904" s="2" t="inlineStr">
        <is>
          <t>01.01.01 : Mensalidade</t>
        </is>
      </c>
      <c r="I1904" s="3" t="n">
        <v>105</v>
      </c>
      <c r="J1904" s="2" t="n"/>
      <c r="K1904" s="2">
        <f>IF(H1904="02.09 : Outras Saídas", IF(OR(ISNUMBER(SEARCH("CHEQUE COMPE SICREDI", F1904)), ISNUMBER(SEARCH("aniversario", F1904)), ISNUMBER(SEARCH("churrasco", F1904)), ISNUMBER(SEARCH("bolo", F1904)), ISNUMBER(SEARCH("SUPERMERCADO", F1904))), "6.1 Despesas Administrativas (Pessoal)", IF(OR(ISNUMBER(SEARCH("DLKNET", F1904)), ISNUMBER(SEARCH("TESTE", F1904))), "6.1 Despesas Administrativas (Gerais)", IFERROR(VLOOKUP(H1904, De_Para!A:B, 2, FALSE), "NÃO MAPEADO"))), IFERROR(VLOOKUP(H1904, De_Para!A:B, 2, FALSE), "NÃO MAPEADO"))</f>
        <v/>
      </c>
    </row>
    <row r="1905">
      <c r="A1905" s="2" t="inlineStr">
        <is>
          <t>67781</t>
        </is>
      </c>
      <c r="B1905" s="2" t="inlineStr">
        <is>
          <t>Sicoob</t>
        </is>
      </c>
      <c r="C1905" s="2" t="inlineStr">
        <is>
          <t>05/06/2026</t>
        </is>
      </c>
      <c r="D1905" s="2" t="inlineStr">
        <is>
          <t>05/06/2026</t>
        </is>
      </c>
      <c r="E1905" s="2" t="inlineStr">
        <is>
          <t>Dinheiro</t>
        </is>
      </c>
      <c r="F1905" s="2" t="inlineStr">
        <is>
          <t>Boleto "56149" do cliente "CREMILSON INOCENCIO ROSA DA CUNHA"</t>
        </is>
      </c>
      <c r="G1905" s="2" t="inlineStr">
        <is>
          <t>system</t>
        </is>
      </c>
      <c r="H1905" s="2" t="inlineStr">
        <is>
          <t>02.03.02.01 : Cobrança Bancaria</t>
        </is>
      </c>
      <c r="I1905" s="2" t="n"/>
      <c r="J1905" s="3" t="n">
        <v>-0.88</v>
      </c>
      <c r="K1905" s="2">
        <f>IF(H1905="02.09 : Outras Saídas", IF(OR(ISNUMBER(SEARCH("CHEQUE COMPE SICREDI", F1905)), ISNUMBER(SEARCH("aniversario", F1905)), ISNUMBER(SEARCH("churrasco", F1905)), ISNUMBER(SEARCH("bolo", F1905)), ISNUMBER(SEARCH("SUPERMERCADO", F1905))), "6.1 Despesas Administrativas (Pessoal)", IF(OR(ISNUMBER(SEARCH("DLKNET", F1905)), ISNUMBER(SEARCH("TESTE", F1905))), "6.1 Despesas Administrativas (Gerais)", IFERROR(VLOOKUP(H1905, De_Para!A:B, 2, FALSE), "NÃO MAPEADO"))), IFERROR(VLOOKUP(H1905, De_Para!A:B, 2, FALSE), "NÃO MAPEADO"))</f>
        <v/>
      </c>
    </row>
    <row r="1906">
      <c r="A1906" s="2" t="inlineStr">
        <is>
          <t>67780</t>
        </is>
      </c>
      <c r="B1906" s="2" t="inlineStr">
        <is>
          <t>Sicoob</t>
        </is>
      </c>
      <c r="C1906" s="2" t="inlineStr">
        <is>
          <t>05/06/2026</t>
        </is>
      </c>
      <c r="D1906" s="2" t="inlineStr">
        <is>
          <t>05/06/2026</t>
        </is>
      </c>
      <c r="E1906" s="2" t="inlineStr">
        <is>
          <t>Dinheiro</t>
        </is>
      </c>
      <c r="F1906" s="2" t="inlineStr">
        <is>
          <t>Boleto "56149" do cliente "CREMILSON INOCENCIO ROSA DA CUNHA"</t>
        </is>
      </c>
      <c r="G1906" s="2" t="inlineStr">
        <is>
          <t>system</t>
        </is>
      </c>
      <c r="H1906" s="2" t="inlineStr">
        <is>
          <t>01.01.01 : Mensalidade</t>
        </is>
      </c>
      <c r="I1906" s="3" t="n">
        <v>110</v>
      </c>
      <c r="J1906" s="2" t="n"/>
      <c r="K1906" s="2">
        <f>IF(H1906="02.09 : Outras Saídas", IF(OR(ISNUMBER(SEARCH("CHEQUE COMPE SICREDI", F1906)), ISNUMBER(SEARCH("aniversario", F1906)), ISNUMBER(SEARCH("churrasco", F1906)), ISNUMBER(SEARCH("bolo", F1906)), ISNUMBER(SEARCH("SUPERMERCADO", F1906))), "6.1 Despesas Administrativas (Pessoal)", IF(OR(ISNUMBER(SEARCH("DLKNET", F1906)), ISNUMBER(SEARCH("TESTE", F1906))), "6.1 Despesas Administrativas (Gerais)", IFERROR(VLOOKUP(H1906, De_Para!A:B, 2, FALSE), "NÃO MAPEADO"))), IFERROR(VLOOKUP(H1906, De_Para!A:B, 2, FALSE), "NÃO MAPEADO"))</f>
        <v/>
      </c>
    </row>
    <row r="1907">
      <c r="A1907" s="2" t="inlineStr">
        <is>
          <t>67779</t>
        </is>
      </c>
      <c r="B1907" s="2" t="inlineStr">
        <is>
          <t>Sicoob</t>
        </is>
      </c>
      <c r="C1907" s="2" t="inlineStr">
        <is>
          <t>05/06/2026</t>
        </is>
      </c>
      <c r="D1907" s="2" t="inlineStr">
        <is>
          <t>05/06/2026</t>
        </is>
      </c>
      <c r="E1907" s="2" t="inlineStr">
        <is>
          <t>Dinheiro</t>
        </is>
      </c>
      <c r="F1907" s="2" t="inlineStr">
        <is>
          <t>Boleto "56128" do cliente "JOSE LEITE DE CARVALHO FILHO"</t>
        </is>
      </c>
      <c r="G1907" s="2" t="inlineStr">
        <is>
          <t>system</t>
        </is>
      </c>
      <c r="H1907" s="2" t="inlineStr">
        <is>
          <t>02.03.02.01 : Cobrança Bancaria</t>
        </is>
      </c>
      <c r="I1907" s="2" t="n"/>
      <c r="J1907" s="3" t="n">
        <v>-0.88</v>
      </c>
      <c r="K1907" s="2">
        <f>IF(H1907="02.09 : Outras Saídas", IF(OR(ISNUMBER(SEARCH("CHEQUE COMPE SICREDI", F1907)), ISNUMBER(SEARCH("aniversario", F1907)), ISNUMBER(SEARCH("churrasco", F1907)), ISNUMBER(SEARCH("bolo", F1907)), ISNUMBER(SEARCH("SUPERMERCADO", F1907))), "6.1 Despesas Administrativas (Pessoal)", IF(OR(ISNUMBER(SEARCH("DLKNET", F1907)), ISNUMBER(SEARCH("TESTE", F1907))), "6.1 Despesas Administrativas (Gerais)", IFERROR(VLOOKUP(H1907, De_Para!A:B, 2, FALSE), "NÃO MAPEADO"))), IFERROR(VLOOKUP(H1907, De_Para!A:B, 2, FALSE), "NÃO MAPEADO"))</f>
        <v/>
      </c>
    </row>
    <row r="1908">
      <c r="A1908" s="2" t="inlineStr">
        <is>
          <t>67778</t>
        </is>
      </c>
      <c r="B1908" s="2" t="inlineStr">
        <is>
          <t>Sicoob</t>
        </is>
      </c>
      <c r="C1908" s="2" t="inlineStr">
        <is>
          <t>05/06/2026</t>
        </is>
      </c>
      <c r="D1908" s="2" t="inlineStr">
        <is>
          <t>05/06/2026</t>
        </is>
      </c>
      <c r="E1908" s="2" t="inlineStr">
        <is>
          <t>Dinheiro</t>
        </is>
      </c>
      <c r="F1908" s="2" t="inlineStr">
        <is>
          <t>Boleto "56128" do cliente "JOSE LEITE DE CARVALHO FILHO"</t>
        </is>
      </c>
      <c r="G1908" s="2" t="inlineStr">
        <is>
          <t>system</t>
        </is>
      </c>
      <c r="H1908" s="2" t="inlineStr">
        <is>
          <t>01.01.01 : Mensalidade</t>
        </is>
      </c>
      <c r="I1908" s="3" t="n">
        <v>105</v>
      </c>
      <c r="J1908" s="2" t="n"/>
      <c r="K1908" s="2">
        <f>IF(H1908="02.09 : Outras Saídas", IF(OR(ISNUMBER(SEARCH("CHEQUE COMPE SICREDI", F1908)), ISNUMBER(SEARCH("aniversario", F1908)), ISNUMBER(SEARCH("churrasco", F1908)), ISNUMBER(SEARCH("bolo", F1908)), ISNUMBER(SEARCH("SUPERMERCADO", F1908))), "6.1 Despesas Administrativas (Pessoal)", IF(OR(ISNUMBER(SEARCH("DLKNET", F1908)), ISNUMBER(SEARCH("TESTE", F1908))), "6.1 Despesas Administrativas (Gerais)", IFERROR(VLOOKUP(H1908, De_Para!A:B, 2, FALSE), "NÃO MAPEADO"))), IFERROR(VLOOKUP(H1908, De_Para!A:B, 2, FALSE), "NÃO MAPEADO"))</f>
        <v/>
      </c>
    </row>
    <row r="1909">
      <c r="A1909" s="2" t="inlineStr">
        <is>
          <t>67777</t>
        </is>
      </c>
      <c r="B1909" s="2" t="inlineStr">
        <is>
          <t>Sicoob</t>
        </is>
      </c>
      <c r="C1909" s="2" t="inlineStr">
        <is>
          <t>05/06/2026</t>
        </is>
      </c>
      <c r="D1909" s="2" t="inlineStr">
        <is>
          <t>05/06/2026</t>
        </is>
      </c>
      <c r="E1909" s="2" t="inlineStr">
        <is>
          <t>Dinheiro</t>
        </is>
      </c>
      <c r="F1909" s="2" t="inlineStr">
        <is>
          <t>Boleto "55747" do cliente "CICERA FERNANDES DA SILVA FURLANETO"</t>
        </is>
      </c>
      <c r="G1909" s="2" t="inlineStr">
        <is>
          <t>system</t>
        </is>
      </c>
      <c r="H1909" s="2" t="inlineStr">
        <is>
          <t>02.03.02.01 : Cobrança Bancaria</t>
        </is>
      </c>
      <c r="I1909" s="2" t="n"/>
      <c r="J1909" s="3" t="n">
        <v>-0.88</v>
      </c>
      <c r="K1909" s="2">
        <f>IF(H1909="02.09 : Outras Saídas", IF(OR(ISNUMBER(SEARCH("CHEQUE COMPE SICREDI", F1909)), ISNUMBER(SEARCH("aniversario", F1909)), ISNUMBER(SEARCH("churrasco", F1909)), ISNUMBER(SEARCH("bolo", F1909)), ISNUMBER(SEARCH("SUPERMERCADO", F1909))), "6.1 Despesas Administrativas (Pessoal)", IF(OR(ISNUMBER(SEARCH("DLKNET", F1909)), ISNUMBER(SEARCH("TESTE", F1909))), "6.1 Despesas Administrativas (Gerais)", IFERROR(VLOOKUP(H1909, De_Para!A:B, 2, FALSE), "NÃO MAPEADO"))), IFERROR(VLOOKUP(H1909, De_Para!A:B, 2, FALSE), "NÃO MAPEADO"))</f>
        <v/>
      </c>
    </row>
    <row r="1910">
      <c r="A1910" s="2" t="inlineStr">
        <is>
          <t>67776</t>
        </is>
      </c>
      <c r="B1910" s="2" t="inlineStr">
        <is>
          <t>Sicoob</t>
        </is>
      </c>
      <c r="C1910" s="2" t="inlineStr">
        <is>
          <t>05/06/2026</t>
        </is>
      </c>
      <c r="D1910" s="2" t="inlineStr">
        <is>
          <t>05/06/2026</t>
        </is>
      </c>
      <c r="E1910" s="2" t="inlineStr">
        <is>
          <t>Dinheiro</t>
        </is>
      </c>
      <c r="F1910" s="2" t="inlineStr">
        <is>
          <t>Boleto "55747" do cliente "CICERA FERNANDES DA SILVA FURLANETO"</t>
        </is>
      </c>
      <c r="G1910" s="2" t="inlineStr">
        <is>
          <t>system</t>
        </is>
      </c>
      <c r="H1910" s="2" t="inlineStr">
        <is>
          <t>01.01.01 : Mensalidade</t>
        </is>
      </c>
      <c r="I1910" s="3" t="n">
        <v>110</v>
      </c>
      <c r="J1910" s="2" t="n"/>
      <c r="K1910" s="2">
        <f>IF(H1910="02.09 : Outras Saídas", IF(OR(ISNUMBER(SEARCH("CHEQUE COMPE SICREDI", F1910)), ISNUMBER(SEARCH("aniversario", F1910)), ISNUMBER(SEARCH("churrasco", F1910)), ISNUMBER(SEARCH("bolo", F1910)), ISNUMBER(SEARCH("SUPERMERCADO", F1910))), "6.1 Despesas Administrativas (Pessoal)", IF(OR(ISNUMBER(SEARCH("DLKNET", F1910)), ISNUMBER(SEARCH("TESTE", F1910))), "6.1 Despesas Administrativas (Gerais)", IFERROR(VLOOKUP(H1910, De_Para!A:B, 2, FALSE), "NÃO MAPEADO"))), IFERROR(VLOOKUP(H1910, De_Para!A:B, 2, FALSE), "NÃO MAPEADO"))</f>
        <v/>
      </c>
    </row>
    <row r="1911">
      <c r="A1911" s="2" t="inlineStr">
        <is>
          <t>67775</t>
        </is>
      </c>
      <c r="B1911" s="2" t="inlineStr">
        <is>
          <t>Sicoob</t>
        </is>
      </c>
      <c r="C1911" s="2" t="inlineStr">
        <is>
          <t>05/06/2026</t>
        </is>
      </c>
      <c r="D1911" s="2" t="inlineStr">
        <is>
          <t>05/06/2026</t>
        </is>
      </c>
      <c r="E1911" s="2" t="inlineStr">
        <is>
          <t>Dinheiro</t>
        </is>
      </c>
      <c r="F1911" s="2" t="inlineStr">
        <is>
          <t>Boleto "55469" do cliente "JOAO PEREIRA MACHADO"</t>
        </is>
      </c>
      <c r="G1911" s="2" t="inlineStr">
        <is>
          <t>system</t>
        </is>
      </c>
      <c r="H1911" s="2" t="inlineStr">
        <is>
          <t>02.03.02.01 : Cobrança Bancaria</t>
        </is>
      </c>
      <c r="I1911" s="2" t="n"/>
      <c r="J1911" s="3" t="n">
        <v>-0.88</v>
      </c>
      <c r="K1911" s="2">
        <f>IF(H1911="02.09 : Outras Saídas", IF(OR(ISNUMBER(SEARCH("CHEQUE COMPE SICREDI", F1911)), ISNUMBER(SEARCH("aniversario", F1911)), ISNUMBER(SEARCH("churrasco", F1911)), ISNUMBER(SEARCH("bolo", F1911)), ISNUMBER(SEARCH("SUPERMERCADO", F1911))), "6.1 Despesas Administrativas (Pessoal)", IF(OR(ISNUMBER(SEARCH("DLKNET", F1911)), ISNUMBER(SEARCH("TESTE", F1911))), "6.1 Despesas Administrativas (Gerais)", IFERROR(VLOOKUP(H1911, De_Para!A:B, 2, FALSE), "NÃO MAPEADO"))), IFERROR(VLOOKUP(H1911, De_Para!A:B, 2, FALSE), "NÃO MAPEADO"))</f>
        <v/>
      </c>
    </row>
    <row r="1912">
      <c r="A1912" s="2" t="inlineStr">
        <is>
          <t>67774</t>
        </is>
      </c>
      <c r="B1912" s="2" t="inlineStr">
        <is>
          <t>Sicoob</t>
        </is>
      </c>
      <c r="C1912" s="2" t="inlineStr">
        <is>
          <t>05/06/2026</t>
        </is>
      </c>
      <c r="D1912" s="2" t="inlineStr">
        <is>
          <t>05/06/2026</t>
        </is>
      </c>
      <c r="E1912" s="2" t="inlineStr">
        <is>
          <t>Dinheiro</t>
        </is>
      </c>
      <c r="F1912" s="2" t="inlineStr">
        <is>
          <t>Boleto "55469" do cliente "JOAO PEREIRA MACHADO"</t>
        </is>
      </c>
      <c r="G1912" s="2" t="inlineStr">
        <is>
          <t>system</t>
        </is>
      </c>
      <c r="H1912" s="2" t="inlineStr">
        <is>
          <t>01.01.01 : Mensalidade</t>
        </is>
      </c>
      <c r="I1912" s="3" t="n">
        <v>105</v>
      </c>
      <c r="J1912" s="2" t="n"/>
      <c r="K1912" s="2">
        <f>IF(H1912="02.09 : Outras Saídas", IF(OR(ISNUMBER(SEARCH("CHEQUE COMPE SICREDI", F1912)), ISNUMBER(SEARCH("aniversario", F1912)), ISNUMBER(SEARCH("churrasco", F1912)), ISNUMBER(SEARCH("bolo", F1912)), ISNUMBER(SEARCH("SUPERMERCADO", F1912))), "6.1 Despesas Administrativas (Pessoal)", IF(OR(ISNUMBER(SEARCH("DLKNET", F1912)), ISNUMBER(SEARCH("TESTE", F1912))), "6.1 Despesas Administrativas (Gerais)", IFERROR(VLOOKUP(H1912, De_Para!A:B, 2, FALSE), "NÃO MAPEADO"))), IFERROR(VLOOKUP(H1912, De_Para!A:B, 2, FALSE), "NÃO MAPEADO"))</f>
        <v/>
      </c>
    </row>
    <row r="1913">
      <c r="A1913" s="2" t="inlineStr">
        <is>
          <t>67773</t>
        </is>
      </c>
      <c r="B1913" s="2" t="inlineStr">
        <is>
          <t>Sicoob</t>
        </is>
      </c>
      <c r="C1913" s="2" t="inlineStr">
        <is>
          <t>05/06/2026</t>
        </is>
      </c>
      <c r="D1913" s="2" t="inlineStr">
        <is>
          <t>05/06/2026</t>
        </is>
      </c>
      <c r="E1913" s="2" t="inlineStr">
        <is>
          <t>Dinheiro</t>
        </is>
      </c>
      <c r="F1913" s="2" t="inlineStr">
        <is>
          <t>Boleto "55134" do cliente "MARCIO JOSE DO CARMO"</t>
        </is>
      </c>
      <c r="G1913" s="2" t="inlineStr">
        <is>
          <t>system</t>
        </is>
      </c>
      <c r="H1913" s="2" t="inlineStr">
        <is>
          <t>02.03.02.01 : Cobrança Bancaria</t>
        </is>
      </c>
      <c r="I1913" s="2" t="n"/>
      <c r="J1913" s="3" t="n">
        <v>-0.88</v>
      </c>
      <c r="K1913" s="2">
        <f>IF(H1913="02.09 : Outras Saídas", IF(OR(ISNUMBER(SEARCH("CHEQUE COMPE SICREDI", F1913)), ISNUMBER(SEARCH("aniversario", F1913)), ISNUMBER(SEARCH("churrasco", F1913)), ISNUMBER(SEARCH("bolo", F1913)), ISNUMBER(SEARCH("SUPERMERCADO", F1913))), "6.1 Despesas Administrativas (Pessoal)", IF(OR(ISNUMBER(SEARCH("DLKNET", F1913)), ISNUMBER(SEARCH("TESTE", F1913))), "6.1 Despesas Administrativas (Gerais)", IFERROR(VLOOKUP(H1913, De_Para!A:B, 2, FALSE), "NÃO MAPEADO"))), IFERROR(VLOOKUP(H1913, De_Para!A:B, 2, FALSE), "NÃO MAPEADO"))</f>
        <v/>
      </c>
    </row>
    <row r="1914">
      <c r="A1914" s="2" t="inlineStr">
        <is>
          <t>67772</t>
        </is>
      </c>
      <c r="B1914" s="2" t="inlineStr">
        <is>
          <t>Sicoob</t>
        </is>
      </c>
      <c r="C1914" s="2" t="inlineStr">
        <is>
          <t>05/06/2026</t>
        </is>
      </c>
      <c r="D1914" s="2" t="inlineStr">
        <is>
          <t>05/06/2026</t>
        </is>
      </c>
      <c r="E1914" s="2" t="inlineStr">
        <is>
          <t>Dinheiro</t>
        </is>
      </c>
      <c r="F1914" s="2" t="inlineStr">
        <is>
          <t>Boleto "55134" do cliente "MARCIO JOSE DO CARMO"</t>
        </is>
      </c>
      <c r="G1914" s="2" t="inlineStr">
        <is>
          <t>system</t>
        </is>
      </c>
      <c r="H1914" s="2" t="inlineStr">
        <is>
          <t>01.01.01 : Mensalidade</t>
        </is>
      </c>
      <c r="I1914" s="3" t="n">
        <v>100</v>
      </c>
      <c r="J1914" s="2" t="n"/>
      <c r="K1914" s="2">
        <f>IF(H1914="02.09 : Outras Saídas", IF(OR(ISNUMBER(SEARCH("CHEQUE COMPE SICREDI", F1914)), ISNUMBER(SEARCH("aniversario", F1914)), ISNUMBER(SEARCH("churrasco", F1914)), ISNUMBER(SEARCH("bolo", F1914)), ISNUMBER(SEARCH("SUPERMERCADO", F1914))), "6.1 Despesas Administrativas (Pessoal)", IF(OR(ISNUMBER(SEARCH("DLKNET", F1914)), ISNUMBER(SEARCH("TESTE", F1914))), "6.1 Despesas Administrativas (Gerais)", IFERROR(VLOOKUP(H1914, De_Para!A:B, 2, FALSE), "NÃO MAPEADO"))), IFERROR(VLOOKUP(H1914, De_Para!A:B, 2, FALSE), "NÃO MAPEADO"))</f>
        <v/>
      </c>
    </row>
    <row r="1915">
      <c r="A1915" s="2" t="inlineStr">
        <is>
          <t>67771</t>
        </is>
      </c>
      <c r="B1915" s="2" t="inlineStr">
        <is>
          <t>Sicredi SNI</t>
        </is>
      </c>
      <c r="C1915" s="2" t="inlineStr">
        <is>
          <t>05/06/2026</t>
        </is>
      </c>
      <c r="D1915" s="2" t="inlineStr">
        <is>
          <t>05/06/2026</t>
        </is>
      </c>
      <c r="E1915" s="2" t="inlineStr">
        <is>
          <t>PIX</t>
        </is>
      </c>
      <c r="F1915" s="2" t="inlineStr">
        <is>
          <t>Boleto "61493" do cliente "MARCELA FERREIRA ABRANTES DA SILVA"</t>
        </is>
      </c>
      <c r="G1915" s="2" t="inlineStr">
        <is>
          <t>system</t>
        </is>
      </c>
      <c r="H1915" s="2" t="inlineStr">
        <is>
          <t>02.03.02.01 : Cobrança Bancaria</t>
        </is>
      </c>
      <c r="I1915" s="2" t="n"/>
      <c r="J1915" s="3" t="n">
        <v>-0.49</v>
      </c>
      <c r="K1915" s="2">
        <f>IF(H1915="02.09 : Outras Saídas", IF(OR(ISNUMBER(SEARCH("CHEQUE COMPE SICREDI", F1915)), ISNUMBER(SEARCH("aniversario", F1915)), ISNUMBER(SEARCH("churrasco", F1915)), ISNUMBER(SEARCH("bolo", F1915)), ISNUMBER(SEARCH("SUPERMERCADO", F1915))), "6.1 Despesas Administrativas (Pessoal)", IF(OR(ISNUMBER(SEARCH("DLKNET", F1915)), ISNUMBER(SEARCH("TESTE", F1915))), "6.1 Despesas Administrativas (Gerais)", IFERROR(VLOOKUP(H1915, De_Para!A:B, 2, FALSE), "NÃO MAPEADO"))), IFERROR(VLOOKUP(H1915, De_Para!A:B, 2, FALSE), "NÃO MAPEADO"))</f>
        <v/>
      </c>
    </row>
    <row r="1916">
      <c r="A1916" s="2" t="inlineStr">
        <is>
          <t>67770</t>
        </is>
      </c>
      <c r="B1916" s="2" t="inlineStr">
        <is>
          <t>Sicredi SNI</t>
        </is>
      </c>
      <c r="C1916" s="2" t="inlineStr">
        <is>
          <t>05/06/2026</t>
        </is>
      </c>
      <c r="D1916" s="2" t="inlineStr">
        <is>
          <t>05/06/2026</t>
        </is>
      </c>
      <c r="E1916" s="2" t="inlineStr">
        <is>
          <t>PIX</t>
        </is>
      </c>
      <c r="F1916" s="2" t="inlineStr">
        <is>
          <t>Boleto "61493" do cliente "MARCELA FERREIRA ABRANTES DA SILVA"</t>
        </is>
      </c>
      <c r="G1916" s="2" t="inlineStr">
        <is>
          <t>system</t>
        </is>
      </c>
      <c r="H1916" s="2" t="inlineStr">
        <is>
          <t>01.01.01 : Mensalidade</t>
        </is>
      </c>
      <c r="I1916" s="3" t="n">
        <v>88</v>
      </c>
      <c r="J1916" s="2" t="n"/>
      <c r="K1916" s="2">
        <f>IF(H1916="02.09 : Outras Saídas", IF(OR(ISNUMBER(SEARCH("CHEQUE COMPE SICREDI", F1916)), ISNUMBER(SEARCH("aniversario", F1916)), ISNUMBER(SEARCH("churrasco", F1916)), ISNUMBER(SEARCH("bolo", F1916)), ISNUMBER(SEARCH("SUPERMERCADO", F1916))), "6.1 Despesas Administrativas (Pessoal)", IF(OR(ISNUMBER(SEARCH("DLKNET", F1916)), ISNUMBER(SEARCH("TESTE", F1916))), "6.1 Despesas Administrativas (Gerais)", IFERROR(VLOOKUP(H1916, De_Para!A:B, 2, FALSE), "NÃO MAPEADO"))), IFERROR(VLOOKUP(H1916, De_Para!A:B, 2, FALSE), "NÃO MAPEADO"))</f>
        <v/>
      </c>
    </row>
    <row r="1917">
      <c r="A1917" s="2" t="inlineStr">
        <is>
          <t>67769</t>
        </is>
      </c>
      <c r="B1917" s="2" t="inlineStr">
        <is>
          <t>Sicredi SNI</t>
        </is>
      </c>
      <c r="C1917" s="2" t="inlineStr">
        <is>
          <t>05/06/2026</t>
        </is>
      </c>
      <c r="D1917" s="2" t="inlineStr">
        <is>
          <t>05/06/2026</t>
        </is>
      </c>
      <c r="E1917" s="2" t="inlineStr">
        <is>
          <t>PIX</t>
        </is>
      </c>
      <c r="F1917" s="2" t="inlineStr">
        <is>
          <t>Boleto "61732" do cliente "ARISTIDES DOMICIANO FILHO"</t>
        </is>
      </c>
      <c r="G1917" s="2" t="inlineStr">
        <is>
          <t>system</t>
        </is>
      </c>
      <c r="H1917" s="2" t="inlineStr">
        <is>
          <t>02.03.02.01 : Cobrança Bancaria</t>
        </is>
      </c>
      <c r="I1917" s="2" t="n"/>
      <c r="J1917" s="3" t="n">
        <v>-0.49</v>
      </c>
      <c r="K1917" s="2">
        <f>IF(H1917="02.09 : Outras Saídas", IF(OR(ISNUMBER(SEARCH("CHEQUE COMPE SICREDI", F1917)), ISNUMBER(SEARCH("aniversario", F1917)), ISNUMBER(SEARCH("churrasco", F1917)), ISNUMBER(SEARCH("bolo", F1917)), ISNUMBER(SEARCH("SUPERMERCADO", F1917))), "6.1 Despesas Administrativas (Pessoal)", IF(OR(ISNUMBER(SEARCH("DLKNET", F1917)), ISNUMBER(SEARCH("TESTE", F1917))), "6.1 Despesas Administrativas (Gerais)", IFERROR(VLOOKUP(H1917, De_Para!A:B, 2, FALSE), "NÃO MAPEADO"))), IFERROR(VLOOKUP(H1917, De_Para!A:B, 2, FALSE), "NÃO MAPEADO"))</f>
        <v/>
      </c>
    </row>
    <row r="1918">
      <c r="A1918" s="2" t="inlineStr">
        <is>
          <t>67768</t>
        </is>
      </c>
      <c r="B1918" s="2" t="inlineStr">
        <is>
          <t>Sicredi SNI</t>
        </is>
      </c>
      <c r="C1918" s="2" t="inlineStr">
        <is>
          <t>05/06/2026</t>
        </is>
      </c>
      <c r="D1918" s="2" t="inlineStr">
        <is>
          <t>05/06/2026</t>
        </is>
      </c>
      <c r="E1918" s="2" t="inlineStr">
        <is>
          <t>PIX</t>
        </is>
      </c>
      <c r="F1918" s="2" t="inlineStr">
        <is>
          <t>Boleto "61732" do cliente "ARISTIDES DOMICIANO FILHO"</t>
        </is>
      </c>
      <c r="G1918" s="2" t="inlineStr">
        <is>
          <t>system</t>
        </is>
      </c>
      <c r="H1918" s="2" t="inlineStr">
        <is>
          <t>01.01.01 : Mensalidade</t>
        </is>
      </c>
      <c r="I1918" s="3" t="n">
        <v>107.2</v>
      </c>
      <c r="J1918" s="2" t="n"/>
      <c r="K1918" s="2">
        <f>IF(H1918="02.09 : Outras Saídas", IF(OR(ISNUMBER(SEARCH("CHEQUE COMPE SICREDI", F1918)), ISNUMBER(SEARCH("aniversario", F1918)), ISNUMBER(SEARCH("churrasco", F1918)), ISNUMBER(SEARCH("bolo", F1918)), ISNUMBER(SEARCH("SUPERMERCADO", F1918))), "6.1 Despesas Administrativas (Pessoal)", IF(OR(ISNUMBER(SEARCH("DLKNET", F1918)), ISNUMBER(SEARCH("TESTE", F1918))), "6.1 Despesas Administrativas (Gerais)", IFERROR(VLOOKUP(H1918, De_Para!A:B, 2, FALSE), "NÃO MAPEADO"))), IFERROR(VLOOKUP(H1918, De_Para!A:B, 2, FALSE), "NÃO MAPEADO"))</f>
        <v/>
      </c>
    </row>
    <row r="1919">
      <c r="A1919" s="2" t="inlineStr">
        <is>
          <t>67767</t>
        </is>
      </c>
      <c r="B1919" s="2" t="inlineStr">
        <is>
          <t>Sicredi SNI</t>
        </is>
      </c>
      <c r="C1919" s="2" t="inlineStr">
        <is>
          <t>05/06/2026</t>
        </is>
      </c>
      <c r="D1919" s="2" t="inlineStr">
        <is>
          <t>05/06/2026</t>
        </is>
      </c>
      <c r="E1919" s="2" t="inlineStr">
        <is>
          <t>PIX</t>
        </is>
      </c>
      <c r="F1919" s="2" t="inlineStr">
        <is>
          <t>Boleto "64222" do cliente "IREMAR CARLOS SILVA"</t>
        </is>
      </c>
      <c r="G1919" s="2" t="inlineStr">
        <is>
          <t>system</t>
        </is>
      </c>
      <c r="H1919" s="2" t="inlineStr">
        <is>
          <t>02.03.02.01 : Cobrança Bancaria</t>
        </is>
      </c>
      <c r="I1919" s="2" t="n"/>
      <c r="J1919" s="3" t="n">
        <v>-0.49</v>
      </c>
      <c r="K1919" s="2">
        <f>IF(H1919="02.09 : Outras Saídas", IF(OR(ISNUMBER(SEARCH("CHEQUE COMPE SICREDI", F1919)), ISNUMBER(SEARCH("aniversario", F1919)), ISNUMBER(SEARCH("churrasco", F1919)), ISNUMBER(SEARCH("bolo", F1919)), ISNUMBER(SEARCH("SUPERMERCADO", F1919))), "6.1 Despesas Administrativas (Pessoal)", IF(OR(ISNUMBER(SEARCH("DLKNET", F1919)), ISNUMBER(SEARCH("TESTE", F1919))), "6.1 Despesas Administrativas (Gerais)", IFERROR(VLOOKUP(H1919, De_Para!A:B, 2, FALSE), "NÃO MAPEADO"))), IFERROR(VLOOKUP(H1919, De_Para!A:B, 2, FALSE), "NÃO MAPEADO"))</f>
        <v/>
      </c>
    </row>
    <row r="1920">
      <c r="A1920" s="2" t="inlineStr">
        <is>
          <t>67766</t>
        </is>
      </c>
      <c r="B1920" s="2" t="inlineStr">
        <is>
          <t>Sicredi SNI</t>
        </is>
      </c>
      <c r="C1920" s="2" t="inlineStr">
        <is>
          <t>05/06/2026</t>
        </is>
      </c>
      <c r="D1920" s="2" t="inlineStr">
        <is>
          <t>05/06/2026</t>
        </is>
      </c>
      <c r="E1920" s="2" t="inlineStr">
        <is>
          <t>PIX</t>
        </is>
      </c>
      <c r="F1920" s="2" t="inlineStr">
        <is>
          <t>Boleto "64222" do cliente "IREMAR CARLOS SILVA"</t>
        </is>
      </c>
      <c r="G1920" s="2" t="inlineStr">
        <is>
          <t>system</t>
        </is>
      </c>
      <c r="H1920" s="2" t="inlineStr">
        <is>
          <t>01.01.01 : Mensalidade</t>
        </is>
      </c>
      <c r="I1920" s="3" t="n">
        <v>109.9</v>
      </c>
      <c r="J1920" s="2" t="n"/>
      <c r="K1920" s="2">
        <f>IF(H1920="02.09 : Outras Saídas", IF(OR(ISNUMBER(SEARCH("CHEQUE COMPE SICREDI", F1920)), ISNUMBER(SEARCH("aniversario", F1920)), ISNUMBER(SEARCH("churrasco", F1920)), ISNUMBER(SEARCH("bolo", F1920)), ISNUMBER(SEARCH("SUPERMERCADO", F1920))), "6.1 Despesas Administrativas (Pessoal)", IF(OR(ISNUMBER(SEARCH("DLKNET", F1920)), ISNUMBER(SEARCH("TESTE", F1920))), "6.1 Despesas Administrativas (Gerais)", IFERROR(VLOOKUP(H1920, De_Para!A:B, 2, FALSE), "NÃO MAPEADO"))), IFERROR(VLOOKUP(H1920, De_Para!A:B, 2, FALSE), "NÃO MAPEADO"))</f>
        <v/>
      </c>
    </row>
    <row r="1921">
      <c r="A1921" s="2" t="inlineStr">
        <is>
          <t>67765</t>
        </is>
      </c>
      <c r="B1921" s="2" t="inlineStr">
        <is>
          <t>Sicredi SNI</t>
        </is>
      </c>
      <c r="C1921" s="2" t="inlineStr">
        <is>
          <t>05/06/2026</t>
        </is>
      </c>
      <c r="D1921" s="2" t="inlineStr">
        <is>
          <t>05/06/2026</t>
        </is>
      </c>
      <c r="E1921" s="2" t="inlineStr">
        <is>
          <t>PIX</t>
        </is>
      </c>
      <c r="F1921" s="2" t="inlineStr">
        <is>
          <t>Boleto "67141" do cliente "GERALDO ABREU"</t>
        </is>
      </c>
      <c r="G1921" s="2" t="inlineStr">
        <is>
          <t>system</t>
        </is>
      </c>
      <c r="H1921" s="2" t="inlineStr">
        <is>
          <t>02.03.02.01 : Cobrança Bancaria</t>
        </is>
      </c>
      <c r="I1921" s="2" t="n"/>
      <c r="J1921" s="3" t="n">
        <v>-0.49</v>
      </c>
      <c r="K1921" s="2">
        <f>IF(H1921="02.09 : Outras Saídas", IF(OR(ISNUMBER(SEARCH("CHEQUE COMPE SICREDI", F1921)), ISNUMBER(SEARCH("aniversario", F1921)), ISNUMBER(SEARCH("churrasco", F1921)), ISNUMBER(SEARCH("bolo", F1921)), ISNUMBER(SEARCH("SUPERMERCADO", F1921))), "6.1 Despesas Administrativas (Pessoal)", IF(OR(ISNUMBER(SEARCH("DLKNET", F1921)), ISNUMBER(SEARCH("TESTE", F1921))), "6.1 Despesas Administrativas (Gerais)", IFERROR(VLOOKUP(H1921, De_Para!A:B, 2, FALSE), "NÃO MAPEADO"))), IFERROR(VLOOKUP(H1921, De_Para!A:B, 2, FALSE), "NÃO MAPEADO"))</f>
        <v/>
      </c>
    </row>
    <row r="1922">
      <c r="A1922" s="2" t="inlineStr">
        <is>
          <t>67764</t>
        </is>
      </c>
      <c r="B1922" s="2" t="inlineStr">
        <is>
          <t>Sicredi SNI</t>
        </is>
      </c>
      <c r="C1922" s="2" t="inlineStr">
        <is>
          <t>05/06/2026</t>
        </is>
      </c>
      <c r="D1922" s="2" t="inlineStr">
        <is>
          <t>05/06/2026</t>
        </is>
      </c>
      <c r="E1922" s="2" t="inlineStr">
        <is>
          <t>PIX</t>
        </is>
      </c>
      <c r="F1922" s="2" t="inlineStr">
        <is>
          <t>Boleto "67141" do cliente "GERALDO ABREU"</t>
        </is>
      </c>
      <c r="G1922" s="2" t="inlineStr">
        <is>
          <t>system</t>
        </is>
      </c>
      <c r="H1922" s="2" t="inlineStr">
        <is>
          <t>01.01.01 : Mensalidade</t>
        </is>
      </c>
      <c r="I1922" s="3" t="n">
        <v>104.9</v>
      </c>
      <c r="J1922" s="2" t="n"/>
      <c r="K1922" s="2">
        <f>IF(H1922="02.09 : Outras Saídas", IF(OR(ISNUMBER(SEARCH("CHEQUE COMPE SICREDI", F1922)), ISNUMBER(SEARCH("aniversario", F1922)), ISNUMBER(SEARCH("churrasco", F1922)), ISNUMBER(SEARCH("bolo", F1922)), ISNUMBER(SEARCH("SUPERMERCADO", F1922))), "6.1 Despesas Administrativas (Pessoal)", IF(OR(ISNUMBER(SEARCH("DLKNET", F1922)), ISNUMBER(SEARCH("TESTE", F1922))), "6.1 Despesas Administrativas (Gerais)", IFERROR(VLOOKUP(H1922, De_Para!A:B, 2, FALSE), "NÃO MAPEADO"))), IFERROR(VLOOKUP(H1922, De_Para!A:B, 2, FALSE), "NÃO MAPEADO"))</f>
        <v/>
      </c>
    </row>
    <row r="1923">
      <c r="A1923" s="2" t="inlineStr">
        <is>
          <t>67763</t>
        </is>
      </c>
      <c r="B1923" s="2" t="inlineStr">
        <is>
          <t>Sicredi SNI</t>
        </is>
      </c>
      <c r="C1923" s="2" t="inlineStr">
        <is>
          <t>05/06/2026</t>
        </is>
      </c>
      <c r="D1923" s="2" t="inlineStr">
        <is>
          <t>05/06/2026</t>
        </is>
      </c>
      <c r="E1923" s="2" t="inlineStr">
        <is>
          <t>PIX</t>
        </is>
      </c>
      <c r="F1923" s="2" t="inlineStr">
        <is>
          <t>Boleto "54246" do cliente "LEONARDO RAFAEL GLOMBA"</t>
        </is>
      </c>
      <c r="G1923" s="2" t="inlineStr">
        <is>
          <t>system</t>
        </is>
      </c>
      <c r="H1923" s="2" t="inlineStr">
        <is>
          <t>02.03.02.01 : Cobrança Bancaria</t>
        </is>
      </c>
      <c r="I1923" s="2" t="n"/>
      <c r="J1923" s="3" t="n">
        <v>-0.49</v>
      </c>
      <c r="K1923" s="2">
        <f>IF(H1923="02.09 : Outras Saídas", IF(OR(ISNUMBER(SEARCH("CHEQUE COMPE SICREDI", F1923)), ISNUMBER(SEARCH("aniversario", F1923)), ISNUMBER(SEARCH("churrasco", F1923)), ISNUMBER(SEARCH("bolo", F1923)), ISNUMBER(SEARCH("SUPERMERCADO", F1923))), "6.1 Despesas Administrativas (Pessoal)", IF(OR(ISNUMBER(SEARCH("DLKNET", F1923)), ISNUMBER(SEARCH("TESTE", F1923))), "6.1 Despesas Administrativas (Gerais)", IFERROR(VLOOKUP(H1923, De_Para!A:B, 2, FALSE), "NÃO MAPEADO"))), IFERROR(VLOOKUP(H1923, De_Para!A:B, 2, FALSE), "NÃO MAPEADO"))</f>
        <v/>
      </c>
    </row>
    <row r="1924">
      <c r="A1924" s="2" t="inlineStr">
        <is>
          <t>67762</t>
        </is>
      </c>
      <c r="B1924" s="2" t="inlineStr">
        <is>
          <t>Sicredi SNI</t>
        </is>
      </c>
      <c r="C1924" s="2" t="inlineStr">
        <is>
          <t>05/06/2026</t>
        </is>
      </c>
      <c r="D1924" s="2" t="inlineStr">
        <is>
          <t>05/06/2026</t>
        </is>
      </c>
      <c r="E1924" s="2" t="inlineStr">
        <is>
          <t>PIX</t>
        </is>
      </c>
      <c r="F1924" s="2" t="inlineStr">
        <is>
          <t>Boleto "54246" do cliente "LEONARDO RAFAEL GLOMBA"</t>
        </is>
      </c>
      <c r="G1924" s="2" t="inlineStr">
        <is>
          <t>system</t>
        </is>
      </c>
      <c r="H1924" s="2" t="inlineStr">
        <is>
          <t>01.01.01 : Mensalidade</t>
        </is>
      </c>
      <c r="I1924" s="3" t="n">
        <v>100</v>
      </c>
      <c r="J1924" s="2" t="n"/>
      <c r="K1924" s="2">
        <f>IF(H1924="02.09 : Outras Saídas", IF(OR(ISNUMBER(SEARCH("CHEQUE COMPE SICREDI", F1924)), ISNUMBER(SEARCH("aniversario", F1924)), ISNUMBER(SEARCH("churrasco", F1924)), ISNUMBER(SEARCH("bolo", F1924)), ISNUMBER(SEARCH("SUPERMERCADO", F1924))), "6.1 Despesas Administrativas (Pessoal)", IF(OR(ISNUMBER(SEARCH("DLKNET", F1924)), ISNUMBER(SEARCH("TESTE", F1924))), "6.1 Despesas Administrativas (Gerais)", IFERROR(VLOOKUP(H1924, De_Para!A:B, 2, FALSE), "NÃO MAPEADO"))), IFERROR(VLOOKUP(H1924, De_Para!A:B, 2, FALSE), "NÃO MAPEADO"))</f>
        <v/>
      </c>
    </row>
    <row r="1925">
      <c r="A1925" s="2" t="inlineStr">
        <is>
          <t>67761</t>
        </is>
      </c>
      <c r="B1925" s="2" t="inlineStr">
        <is>
          <t>Sicredi SNI</t>
        </is>
      </c>
      <c r="C1925" s="2" t="inlineStr">
        <is>
          <t>05/06/2026</t>
        </is>
      </c>
      <c r="D1925" s="2" t="inlineStr">
        <is>
          <t>05/06/2026</t>
        </is>
      </c>
      <c r="E1925" s="2" t="inlineStr">
        <is>
          <t>PIX</t>
        </is>
      </c>
      <c r="F1925" s="2" t="inlineStr">
        <is>
          <t>Boleto "60612" do cliente "CELSO BIUSSI"</t>
        </is>
      </c>
      <c r="G1925" s="2" t="inlineStr">
        <is>
          <t>system</t>
        </is>
      </c>
      <c r="H1925" s="2" t="inlineStr">
        <is>
          <t>02.03.02.01 : Cobrança Bancaria</t>
        </is>
      </c>
      <c r="I1925" s="2" t="n"/>
      <c r="J1925" s="3" t="n">
        <v>-0.49</v>
      </c>
      <c r="K1925" s="2">
        <f>IF(H1925="02.09 : Outras Saídas", IF(OR(ISNUMBER(SEARCH("CHEQUE COMPE SICREDI", F1925)), ISNUMBER(SEARCH("aniversario", F1925)), ISNUMBER(SEARCH("churrasco", F1925)), ISNUMBER(SEARCH("bolo", F1925)), ISNUMBER(SEARCH("SUPERMERCADO", F1925))), "6.1 Despesas Administrativas (Pessoal)", IF(OR(ISNUMBER(SEARCH("DLKNET", F1925)), ISNUMBER(SEARCH("TESTE", F1925))), "6.1 Despesas Administrativas (Gerais)", IFERROR(VLOOKUP(H1925, De_Para!A:B, 2, FALSE), "NÃO MAPEADO"))), IFERROR(VLOOKUP(H1925, De_Para!A:B, 2, FALSE), "NÃO MAPEADO"))</f>
        <v/>
      </c>
    </row>
    <row r="1926">
      <c r="A1926" s="2" t="inlineStr">
        <is>
          <t>67760</t>
        </is>
      </c>
      <c r="B1926" s="2" t="inlineStr">
        <is>
          <t>Sicredi SNI</t>
        </is>
      </c>
      <c r="C1926" s="2" t="inlineStr">
        <is>
          <t>05/06/2026</t>
        </is>
      </c>
      <c r="D1926" s="2" t="inlineStr">
        <is>
          <t>05/06/2026</t>
        </is>
      </c>
      <c r="E1926" s="2" t="inlineStr">
        <is>
          <t>PIX</t>
        </is>
      </c>
      <c r="F1926" s="2" t="inlineStr">
        <is>
          <t>Boleto "60612" do cliente "CELSO BIUSSI"</t>
        </is>
      </c>
      <c r="G1926" s="2" t="inlineStr">
        <is>
          <t>system</t>
        </is>
      </c>
      <c r="H1926" s="2" t="inlineStr">
        <is>
          <t>01.01.01 : Mensalidade</t>
        </is>
      </c>
      <c r="I1926" s="3" t="n">
        <v>105</v>
      </c>
      <c r="J1926" s="2" t="n"/>
      <c r="K1926" s="2">
        <f>IF(H1926="02.09 : Outras Saídas", IF(OR(ISNUMBER(SEARCH("CHEQUE COMPE SICREDI", F1926)), ISNUMBER(SEARCH("aniversario", F1926)), ISNUMBER(SEARCH("churrasco", F1926)), ISNUMBER(SEARCH("bolo", F1926)), ISNUMBER(SEARCH("SUPERMERCADO", F1926))), "6.1 Despesas Administrativas (Pessoal)", IF(OR(ISNUMBER(SEARCH("DLKNET", F1926)), ISNUMBER(SEARCH("TESTE", F1926))), "6.1 Despesas Administrativas (Gerais)", IFERROR(VLOOKUP(H1926, De_Para!A:B, 2, FALSE), "NÃO MAPEADO"))), IFERROR(VLOOKUP(H1926, De_Para!A:B, 2, FALSE), "NÃO MAPEADO"))</f>
        <v/>
      </c>
    </row>
    <row r="1927">
      <c r="A1927" s="2" t="inlineStr">
        <is>
          <t>67759</t>
        </is>
      </c>
      <c r="B1927" s="2" t="inlineStr">
        <is>
          <t>Sicredi SNI</t>
        </is>
      </c>
      <c r="C1927" s="2" t="inlineStr">
        <is>
          <t>05/06/2026</t>
        </is>
      </c>
      <c r="D1927" s="2" t="inlineStr">
        <is>
          <t>05/06/2026</t>
        </is>
      </c>
      <c r="E1927" s="2" t="inlineStr">
        <is>
          <t>PIX</t>
        </is>
      </c>
      <c r="F1927" s="2" t="inlineStr">
        <is>
          <t>Boleto "60714" do cliente "EDIO FERREIRA DA SILVA"</t>
        </is>
      </c>
      <c r="G1927" s="2" t="inlineStr">
        <is>
          <t>system</t>
        </is>
      </c>
      <c r="H1927" s="2" t="inlineStr">
        <is>
          <t>02.03.02.01 : Cobrança Bancaria</t>
        </is>
      </c>
      <c r="I1927" s="2" t="n"/>
      <c r="J1927" s="3" t="n">
        <v>-0.49</v>
      </c>
      <c r="K1927" s="2">
        <f>IF(H1927="02.09 : Outras Saídas", IF(OR(ISNUMBER(SEARCH("CHEQUE COMPE SICREDI", F1927)), ISNUMBER(SEARCH("aniversario", F1927)), ISNUMBER(SEARCH("churrasco", F1927)), ISNUMBER(SEARCH("bolo", F1927)), ISNUMBER(SEARCH("SUPERMERCADO", F1927))), "6.1 Despesas Administrativas (Pessoal)", IF(OR(ISNUMBER(SEARCH("DLKNET", F1927)), ISNUMBER(SEARCH("TESTE", F1927))), "6.1 Despesas Administrativas (Gerais)", IFERROR(VLOOKUP(H1927, De_Para!A:B, 2, FALSE), "NÃO MAPEADO"))), IFERROR(VLOOKUP(H1927, De_Para!A:B, 2, FALSE), "NÃO MAPEADO"))</f>
        <v/>
      </c>
    </row>
    <row r="1928">
      <c r="A1928" s="2" t="inlineStr">
        <is>
          <t>67758</t>
        </is>
      </c>
      <c r="B1928" s="2" t="inlineStr">
        <is>
          <t>Sicredi SNI</t>
        </is>
      </c>
      <c r="C1928" s="2" t="inlineStr">
        <is>
          <t>05/06/2026</t>
        </is>
      </c>
      <c r="D1928" s="2" t="inlineStr">
        <is>
          <t>05/06/2026</t>
        </is>
      </c>
      <c r="E1928" s="2" t="inlineStr">
        <is>
          <t>PIX</t>
        </is>
      </c>
      <c r="F1928" s="2" t="inlineStr">
        <is>
          <t>Boleto "60714" do cliente "EDIO FERREIRA DA SILVA"</t>
        </is>
      </c>
      <c r="G1928" s="2" t="inlineStr">
        <is>
          <t>system</t>
        </is>
      </c>
      <c r="H1928" s="2" t="inlineStr">
        <is>
          <t>01.01.01 : Mensalidade</t>
        </is>
      </c>
      <c r="I1928" s="3" t="n">
        <v>100</v>
      </c>
      <c r="J1928" s="2" t="n"/>
      <c r="K1928" s="2">
        <f>IF(H1928="02.09 : Outras Saídas", IF(OR(ISNUMBER(SEARCH("CHEQUE COMPE SICREDI", F1928)), ISNUMBER(SEARCH("aniversario", F1928)), ISNUMBER(SEARCH("churrasco", F1928)), ISNUMBER(SEARCH("bolo", F1928)), ISNUMBER(SEARCH("SUPERMERCADO", F1928))), "6.1 Despesas Administrativas (Pessoal)", IF(OR(ISNUMBER(SEARCH("DLKNET", F1928)), ISNUMBER(SEARCH("TESTE", F1928))), "6.1 Despesas Administrativas (Gerais)", IFERROR(VLOOKUP(H1928, De_Para!A:B, 2, FALSE), "NÃO MAPEADO"))), IFERROR(VLOOKUP(H1928, De_Para!A:B, 2, FALSE), "NÃO MAPEADO"))</f>
        <v/>
      </c>
    </row>
    <row r="1929">
      <c r="A1929" s="2" t="inlineStr">
        <is>
          <t>67757</t>
        </is>
      </c>
      <c r="B1929" s="2" t="inlineStr">
        <is>
          <t>Sicredi SNI</t>
        </is>
      </c>
      <c r="C1929" s="2" t="inlineStr">
        <is>
          <t>04/06/2026</t>
        </is>
      </c>
      <c r="D1929" s="2" t="inlineStr">
        <is>
          <t>04/06/2026</t>
        </is>
      </c>
      <c r="E1929" s="2" t="inlineStr">
        <is>
          <t>PIX</t>
        </is>
      </c>
      <c r="F1929" s="2" t="inlineStr">
        <is>
          <t>Boleto "55808" do cliente "ARNO HUMBERTO WEISS"</t>
        </is>
      </c>
      <c r="G1929" s="2" t="inlineStr">
        <is>
          <t>system</t>
        </is>
      </c>
      <c r="H1929" s="2" t="inlineStr">
        <is>
          <t>02.03.02.01 : Cobrança Bancaria</t>
        </is>
      </c>
      <c r="I1929" s="2" t="n"/>
      <c r="J1929" s="3" t="n">
        <v>-0.49</v>
      </c>
      <c r="K1929" s="2">
        <f>IF(H1929="02.09 : Outras Saídas", IF(OR(ISNUMBER(SEARCH("CHEQUE COMPE SICREDI", F1929)), ISNUMBER(SEARCH("aniversario", F1929)), ISNUMBER(SEARCH("churrasco", F1929)), ISNUMBER(SEARCH("bolo", F1929)), ISNUMBER(SEARCH("SUPERMERCADO", F1929))), "6.1 Despesas Administrativas (Pessoal)", IF(OR(ISNUMBER(SEARCH("DLKNET", F1929)), ISNUMBER(SEARCH("TESTE", F1929))), "6.1 Despesas Administrativas (Gerais)", IFERROR(VLOOKUP(H1929, De_Para!A:B, 2, FALSE), "NÃO MAPEADO"))), IFERROR(VLOOKUP(H1929, De_Para!A:B, 2, FALSE), "NÃO MAPEADO"))</f>
        <v/>
      </c>
    </row>
    <row r="1930">
      <c r="A1930" s="2" t="inlineStr">
        <is>
          <t>67756</t>
        </is>
      </c>
      <c r="B1930" s="2" t="inlineStr">
        <is>
          <t>Sicredi SNI</t>
        </is>
      </c>
      <c r="C1930" s="2" t="inlineStr">
        <is>
          <t>04/06/2026</t>
        </is>
      </c>
      <c r="D1930" s="2" t="inlineStr">
        <is>
          <t>04/06/2026</t>
        </is>
      </c>
      <c r="E1930" s="2" t="inlineStr">
        <is>
          <t>PIX</t>
        </is>
      </c>
      <c r="F1930" s="2" t="inlineStr">
        <is>
          <t>Boleto "55808" do cliente "ARNO HUMBERTO WEISS"</t>
        </is>
      </c>
      <c r="G1930" s="2" t="inlineStr">
        <is>
          <t>system</t>
        </is>
      </c>
      <c r="H1930" s="2" t="inlineStr">
        <is>
          <t>01.01.01 : Mensalidade</t>
        </is>
      </c>
      <c r="I1930" s="3" t="n">
        <v>110</v>
      </c>
      <c r="J1930" s="2" t="n"/>
      <c r="K1930" s="2">
        <f>IF(H1930="02.09 : Outras Saídas", IF(OR(ISNUMBER(SEARCH("CHEQUE COMPE SICREDI", F1930)), ISNUMBER(SEARCH("aniversario", F1930)), ISNUMBER(SEARCH("churrasco", F1930)), ISNUMBER(SEARCH("bolo", F1930)), ISNUMBER(SEARCH("SUPERMERCADO", F1930))), "6.1 Despesas Administrativas (Pessoal)", IF(OR(ISNUMBER(SEARCH("DLKNET", F1930)), ISNUMBER(SEARCH("TESTE", F1930))), "6.1 Despesas Administrativas (Gerais)", IFERROR(VLOOKUP(H1930, De_Para!A:B, 2, FALSE), "NÃO MAPEADO"))), IFERROR(VLOOKUP(H1930, De_Para!A:B, 2, FALSE), "NÃO MAPEADO"))</f>
        <v/>
      </c>
    </row>
    <row r="1931">
      <c r="A1931" s="2" t="inlineStr">
        <is>
          <t>67755</t>
        </is>
      </c>
      <c r="B1931" s="2" t="inlineStr">
        <is>
          <t>Sicredi SNI</t>
        </is>
      </c>
      <c r="C1931" s="2" t="inlineStr">
        <is>
          <t>04/06/2026</t>
        </is>
      </c>
      <c r="D1931" s="2" t="inlineStr">
        <is>
          <t>04/06/2026</t>
        </is>
      </c>
      <c r="E1931" s="2" t="inlineStr">
        <is>
          <t>PIX</t>
        </is>
      </c>
      <c r="F1931" s="2" t="inlineStr">
        <is>
          <t>Boleto "59616" do cliente "MADIELSO GRANDO"</t>
        </is>
      </c>
      <c r="G1931" s="2" t="inlineStr">
        <is>
          <t>system</t>
        </is>
      </c>
      <c r="H1931" s="2" t="inlineStr">
        <is>
          <t>02.03.02.01 : Cobrança Bancaria</t>
        </is>
      </c>
      <c r="I1931" s="2" t="n"/>
      <c r="J1931" s="3" t="n">
        <v>-0.49</v>
      </c>
      <c r="K1931" s="2">
        <f>IF(H1931="02.09 : Outras Saídas", IF(OR(ISNUMBER(SEARCH("CHEQUE COMPE SICREDI", F1931)), ISNUMBER(SEARCH("aniversario", F1931)), ISNUMBER(SEARCH("churrasco", F1931)), ISNUMBER(SEARCH("bolo", F1931)), ISNUMBER(SEARCH("SUPERMERCADO", F1931))), "6.1 Despesas Administrativas (Pessoal)", IF(OR(ISNUMBER(SEARCH("DLKNET", F1931)), ISNUMBER(SEARCH("TESTE", F1931))), "6.1 Despesas Administrativas (Gerais)", IFERROR(VLOOKUP(H1931, De_Para!A:B, 2, FALSE), "NÃO MAPEADO"))), IFERROR(VLOOKUP(H1931, De_Para!A:B, 2, FALSE), "NÃO MAPEADO"))</f>
        <v/>
      </c>
    </row>
    <row r="1932">
      <c r="A1932" s="2" t="inlineStr">
        <is>
          <t>67754</t>
        </is>
      </c>
      <c r="B1932" s="2" t="inlineStr">
        <is>
          <t>Sicredi SNI</t>
        </is>
      </c>
      <c r="C1932" s="2" t="inlineStr">
        <is>
          <t>04/06/2026</t>
        </is>
      </c>
      <c r="D1932" s="2" t="inlineStr">
        <is>
          <t>04/06/2026</t>
        </is>
      </c>
      <c r="E1932" s="2" t="inlineStr">
        <is>
          <t>PIX</t>
        </is>
      </c>
      <c r="F1932" s="2" t="inlineStr">
        <is>
          <t>Boleto "59616" do cliente "MADIELSO GRANDO"</t>
        </is>
      </c>
      <c r="G1932" s="2" t="inlineStr">
        <is>
          <t>system</t>
        </is>
      </c>
      <c r="H1932" s="2" t="inlineStr">
        <is>
          <t>01.01.01 : Mensalidade</t>
        </is>
      </c>
      <c r="I1932" s="3" t="n">
        <v>105</v>
      </c>
      <c r="J1932" s="2" t="n"/>
      <c r="K1932" s="2">
        <f>IF(H1932="02.09 : Outras Saídas", IF(OR(ISNUMBER(SEARCH("CHEQUE COMPE SICREDI", F1932)), ISNUMBER(SEARCH("aniversario", F1932)), ISNUMBER(SEARCH("churrasco", F1932)), ISNUMBER(SEARCH("bolo", F1932)), ISNUMBER(SEARCH("SUPERMERCADO", F1932))), "6.1 Despesas Administrativas (Pessoal)", IF(OR(ISNUMBER(SEARCH("DLKNET", F1932)), ISNUMBER(SEARCH("TESTE", F1932))), "6.1 Despesas Administrativas (Gerais)", IFERROR(VLOOKUP(H1932, De_Para!A:B, 2, FALSE), "NÃO MAPEADO"))), IFERROR(VLOOKUP(H1932, De_Para!A:B, 2, FALSE), "NÃO MAPEADO"))</f>
        <v/>
      </c>
    </row>
    <row r="1933">
      <c r="A1933" s="2" t="inlineStr">
        <is>
          <t>67753</t>
        </is>
      </c>
      <c r="B1933" s="2" t="inlineStr">
        <is>
          <t>Sicredi SNI</t>
        </is>
      </c>
      <c r="C1933" s="2" t="inlineStr">
        <is>
          <t>04/06/2026</t>
        </is>
      </c>
      <c r="D1933" s="2" t="inlineStr">
        <is>
          <t>04/06/2026</t>
        </is>
      </c>
      <c r="E1933" s="2" t="inlineStr">
        <is>
          <t>PIX</t>
        </is>
      </c>
      <c r="F1933" s="2" t="inlineStr">
        <is>
          <t>Boleto "57030" do cliente "OSNI CARLOS MUNHOZ"</t>
        </is>
      </c>
      <c r="G1933" s="2" t="inlineStr">
        <is>
          <t>system</t>
        </is>
      </c>
      <c r="H1933" s="2" t="inlineStr">
        <is>
          <t>02.03.02.01 : Cobrança Bancaria</t>
        </is>
      </c>
      <c r="I1933" s="2" t="n"/>
      <c r="J1933" s="3" t="n">
        <v>-0.49</v>
      </c>
      <c r="K1933" s="2">
        <f>IF(H1933="02.09 : Outras Saídas", IF(OR(ISNUMBER(SEARCH("CHEQUE COMPE SICREDI", F1933)), ISNUMBER(SEARCH("aniversario", F1933)), ISNUMBER(SEARCH("churrasco", F1933)), ISNUMBER(SEARCH("bolo", F1933)), ISNUMBER(SEARCH("SUPERMERCADO", F1933))), "6.1 Despesas Administrativas (Pessoal)", IF(OR(ISNUMBER(SEARCH("DLKNET", F1933)), ISNUMBER(SEARCH("TESTE", F1933))), "6.1 Despesas Administrativas (Gerais)", IFERROR(VLOOKUP(H1933, De_Para!A:B, 2, FALSE), "NÃO MAPEADO"))), IFERROR(VLOOKUP(H1933, De_Para!A:B, 2, FALSE), "NÃO MAPEADO"))</f>
        <v/>
      </c>
    </row>
    <row r="1934">
      <c r="A1934" s="2" t="inlineStr">
        <is>
          <t>67752</t>
        </is>
      </c>
      <c r="B1934" s="2" t="inlineStr">
        <is>
          <t>Sicredi SNI</t>
        </is>
      </c>
      <c r="C1934" s="2" t="inlineStr">
        <is>
          <t>04/06/2026</t>
        </is>
      </c>
      <c r="D1934" s="2" t="inlineStr">
        <is>
          <t>04/06/2026</t>
        </is>
      </c>
      <c r="E1934" s="2" t="inlineStr">
        <is>
          <t>PIX</t>
        </is>
      </c>
      <c r="F1934" s="2" t="inlineStr">
        <is>
          <t>Boleto "57030" do cliente "OSNI CARLOS MUNHOZ"</t>
        </is>
      </c>
      <c r="G1934" s="2" t="inlineStr">
        <is>
          <t>system</t>
        </is>
      </c>
      <c r="H1934" s="2" t="inlineStr">
        <is>
          <t>01.01.01 : Mensalidade</t>
        </is>
      </c>
      <c r="I1934" s="3" t="n">
        <v>100</v>
      </c>
      <c r="J1934" s="2" t="n"/>
      <c r="K1934" s="2">
        <f>IF(H1934="02.09 : Outras Saídas", IF(OR(ISNUMBER(SEARCH("CHEQUE COMPE SICREDI", F1934)), ISNUMBER(SEARCH("aniversario", F1934)), ISNUMBER(SEARCH("churrasco", F1934)), ISNUMBER(SEARCH("bolo", F1934)), ISNUMBER(SEARCH("SUPERMERCADO", F1934))), "6.1 Despesas Administrativas (Pessoal)", IF(OR(ISNUMBER(SEARCH("DLKNET", F1934)), ISNUMBER(SEARCH("TESTE", F1934))), "6.1 Despesas Administrativas (Gerais)", IFERROR(VLOOKUP(H1934, De_Para!A:B, 2, FALSE), "NÃO MAPEADO"))), IFERROR(VLOOKUP(H1934, De_Para!A:B, 2, FALSE), "NÃO MAPEADO"))</f>
        <v/>
      </c>
    </row>
    <row r="1935">
      <c r="A1935" s="2" t="inlineStr">
        <is>
          <t>67751</t>
        </is>
      </c>
      <c r="B1935" s="2" t="inlineStr">
        <is>
          <t>Sicredi SNI</t>
        </is>
      </c>
      <c r="C1935" s="2" t="inlineStr">
        <is>
          <t>04/06/2026</t>
        </is>
      </c>
      <c r="D1935" s="2" t="inlineStr">
        <is>
          <t>04/06/2026</t>
        </is>
      </c>
      <c r="E1935" s="2" t="inlineStr">
        <is>
          <t>PIX</t>
        </is>
      </c>
      <c r="F1935" s="2" t="inlineStr">
        <is>
          <t>Boleto "58310" do cliente "ANDREIA FERREIRA DA SILVA"</t>
        </is>
      </c>
      <c r="G1935" s="2" t="inlineStr">
        <is>
          <t>system</t>
        </is>
      </c>
      <c r="H1935" s="2" t="inlineStr">
        <is>
          <t>02.03.02.01 : Cobrança Bancaria</t>
        </is>
      </c>
      <c r="I1935" s="2" t="n"/>
      <c r="J1935" s="3" t="n">
        <v>-0.49</v>
      </c>
      <c r="K1935" s="2">
        <f>IF(H1935="02.09 : Outras Saídas", IF(OR(ISNUMBER(SEARCH("CHEQUE COMPE SICREDI", F1935)), ISNUMBER(SEARCH("aniversario", F1935)), ISNUMBER(SEARCH("churrasco", F1935)), ISNUMBER(SEARCH("bolo", F1935)), ISNUMBER(SEARCH("SUPERMERCADO", F1935))), "6.1 Despesas Administrativas (Pessoal)", IF(OR(ISNUMBER(SEARCH("DLKNET", F1935)), ISNUMBER(SEARCH("TESTE", F1935))), "6.1 Despesas Administrativas (Gerais)", IFERROR(VLOOKUP(H1935, De_Para!A:B, 2, FALSE), "NÃO MAPEADO"))), IFERROR(VLOOKUP(H1935, De_Para!A:B, 2, FALSE), "NÃO MAPEADO"))</f>
        <v/>
      </c>
    </row>
    <row r="1936">
      <c r="A1936" s="2" t="inlineStr">
        <is>
          <t>67750</t>
        </is>
      </c>
      <c r="B1936" s="2" t="inlineStr">
        <is>
          <t>Sicredi SNI</t>
        </is>
      </c>
      <c r="C1936" s="2" t="inlineStr">
        <is>
          <t>04/06/2026</t>
        </is>
      </c>
      <c r="D1936" s="2" t="inlineStr">
        <is>
          <t>04/06/2026</t>
        </is>
      </c>
      <c r="E1936" s="2" t="inlineStr">
        <is>
          <t>PIX</t>
        </is>
      </c>
      <c r="F1936" s="2" t="inlineStr">
        <is>
          <t>Boleto "58310" do cliente "ANDREIA FERREIRA DA SILVA"</t>
        </is>
      </c>
      <c r="G1936" s="2" t="inlineStr">
        <is>
          <t>system</t>
        </is>
      </c>
      <c r="H1936" s="2" t="inlineStr">
        <is>
          <t>01.01.01 : Mensalidade</t>
        </is>
      </c>
      <c r="I1936" s="3" t="n">
        <v>100</v>
      </c>
      <c r="J1936" s="2" t="n"/>
      <c r="K1936" s="2">
        <f>IF(H1936="02.09 : Outras Saídas", IF(OR(ISNUMBER(SEARCH("CHEQUE COMPE SICREDI", F1936)), ISNUMBER(SEARCH("aniversario", F1936)), ISNUMBER(SEARCH("churrasco", F1936)), ISNUMBER(SEARCH("bolo", F1936)), ISNUMBER(SEARCH("SUPERMERCADO", F1936))), "6.1 Despesas Administrativas (Pessoal)", IF(OR(ISNUMBER(SEARCH("DLKNET", F1936)), ISNUMBER(SEARCH("TESTE", F1936))), "6.1 Despesas Administrativas (Gerais)", IFERROR(VLOOKUP(H1936, De_Para!A:B, 2, FALSE), "NÃO MAPEADO"))), IFERROR(VLOOKUP(H1936, De_Para!A:B, 2, FALSE), "NÃO MAPEADO"))</f>
        <v/>
      </c>
    </row>
    <row r="1937">
      <c r="A1937" s="2" t="inlineStr">
        <is>
          <t>67749</t>
        </is>
      </c>
      <c r="B1937" s="2" t="inlineStr">
        <is>
          <t>Sicredi SNI</t>
        </is>
      </c>
      <c r="C1937" s="2" t="inlineStr">
        <is>
          <t>04/06/2026</t>
        </is>
      </c>
      <c r="D1937" s="2" t="inlineStr">
        <is>
          <t>04/06/2026</t>
        </is>
      </c>
      <c r="E1937" s="2" t="inlineStr">
        <is>
          <t>PIX</t>
        </is>
      </c>
      <c r="F1937" s="2" t="inlineStr">
        <is>
          <t>Boleto "59484" do cliente "VINICIUS GABRIEL DE OLIVEIRA"</t>
        </is>
      </c>
      <c r="G1937" s="2" t="inlineStr">
        <is>
          <t>system</t>
        </is>
      </c>
      <c r="H1937" s="2" t="inlineStr">
        <is>
          <t>02.03.02.01 : Cobrança Bancaria</t>
        </is>
      </c>
      <c r="I1937" s="2" t="n"/>
      <c r="J1937" s="3" t="n">
        <v>-0.49</v>
      </c>
      <c r="K1937" s="2">
        <f>IF(H1937="02.09 : Outras Saídas", IF(OR(ISNUMBER(SEARCH("CHEQUE COMPE SICREDI", F1937)), ISNUMBER(SEARCH("aniversario", F1937)), ISNUMBER(SEARCH("churrasco", F1937)), ISNUMBER(SEARCH("bolo", F1937)), ISNUMBER(SEARCH("SUPERMERCADO", F1937))), "6.1 Despesas Administrativas (Pessoal)", IF(OR(ISNUMBER(SEARCH("DLKNET", F1937)), ISNUMBER(SEARCH("TESTE", F1937))), "6.1 Despesas Administrativas (Gerais)", IFERROR(VLOOKUP(H1937, De_Para!A:B, 2, FALSE), "NÃO MAPEADO"))), IFERROR(VLOOKUP(H1937, De_Para!A:B, 2, FALSE), "NÃO MAPEADO"))</f>
        <v/>
      </c>
    </row>
    <row r="1938">
      <c r="A1938" s="2" t="inlineStr">
        <is>
          <t>67748</t>
        </is>
      </c>
      <c r="B1938" s="2" t="inlineStr">
        <is>
          <t>Sicredi SNI</t>
        </is>
      </c>
      <c r="C1938" s="2" t="inlineStr">
        <is>
          <t>04/06/2026</t>
        </is>
      </c>
      <c r="D1938" s="2" t="inlineStr">
        <is>
          <t>04/06/2026</t>
        </is>
      </c>
      <c r="E1938" s="2" t="inlineStr">
        <is>
          <t>PIX</t>
        </is>
      </c>
      <c r="F1938" s="2" t="inlineStr">
        <is>
          <t>Boleto "59484" do cliente "VINICIUS GABRIEL DE OLIVEIRA"</t>
        </is>
      </c>
      <c r="G1938" s="2" t="inlineStr">
        <is>
          <t>system</t>
        </is>
      </c>
      <c r="H1938" s="2" t="inlineStr">
        <is>
          <t>01.03.01 : Mensalidade</t>
        </is>
      </c>
      <c r="I1938" s="3" t="n">
        <v>107.27</v>
      </c>
      <c r="J1938" s="2" t="n"/>
      <c r="K1938" s="2">
        <f>IF(H1938="02.09 : Outras Saídas", IF(OR(ISNUMBER(SEARCH("CHEQUE COMPE SICREDI", F1938)), ISNUMBER(SEARCH("aniversario", F1938)), ISNUMBER(SEARCH("churrasco", F1938)), ISNUMBER(SEARCH("bolo", F1938)), ISNUMBER(SEARCH("SUPERMERCADO", F1938))), "6.1 Despesas Administrativas (Pessoal)", IF(OR(ISNUMBER(SEARCH("DLKNET", F1938)), ISNUMBER(SEARCH("TESTE", F1938))), "6.1 Despesas Administrativas (Gerais)", IFERROR(VLOOKUP(H1938, De_Para!A:B, 2, FALSE), "NÃO MAPEADO"))), IFERROR(VLOOKUP(H1938, De_Para!A:B, 2, FALSE), "NÃO MAPEADO"))</f>
        <v/>
      </c>
    </row>
    <row r="1939">
      <c r="A1939" s="2" t="inlineStr">
        <is>
          <t>67747</t>
        </is>
      </c>
      <c r="B1939" s="2" t="inlineStr">
        <is>
          <t>Sicredi SNI</t>
        </is>
      </c>
      <c r="C1939" s="2" t="inlineStr">
        <is>
          <t>04/06/2026</t>
        </is>
      </c>
      <c r="D1939" s="2" t="inlineStr">
        <is>
          <t>04/06/2026</t>
        </is>
      </c>
      <c r="E1939" s="2" t="inlineStr">
        <is>
          <t>PIX</t>
        </is>
      </c>
      <c r="F1939" s="2" t="inlineStr">
        <is>
          <t>Boleto "63014" do cliente "ROSA UCHAKI"</t>
        </is>
      </c>
      <c r="G1939" s="2" t="inlineStr">
        <is>
          <t>system</t>
        </is>
      </c>
      <c r="H1939" s="2" t="inlineStr">
        <is>
          <t>02.03.02.01 : Cobrança Bancaria</t>
        </is>
      </c>
      <c r="I1939" s="2" t="n"/>
      <c r="J1939" s="3" t="n">
        <v>-0.49</v>
      </c>
      <c r="K1939" s="2">
        <f>IF(H1939="02.09 : Outras Saídas", IF(OR(ISNUMBER(SEARCH("CHEQUE COMPE SICREDI", F1939)), ISNUMBER(SEARCH("aniversario", F1939)), ISNUMBER(SEARCH("churrasco", F1939)), ISNUMBER(SEARCH("bolo", F1939)), ISNUMBER(SEARCH("SUPERMERCADO", F1939))), "6.1 Despesas Administrativas (Pessoal)", IF(OR(ISNUMBER(SEARCH("DLKNET", F1939)), ISNUMBER(SEARCH("TESTE", F1939))), "6.1 Despesas Administrativas (Gerais)", IFERROR(VLOOKUP(H1939, De_Para!A:B, 2, FALSE), "NÃO MAPEADO"))), IFERROR(VLOOKUP(H1939, De_Para!A:B, 2, FALSE), "NÃO MAPEADO"))</f>
        <v/>
      </c>
    </row>
    <row r="1940">
      <c r="A1940" s="2" t="inlineStr">
        <is>
          <t>67746</t>
        </is>
      </c>
      <c r="B1940" s="2" t="inlineStr">
        <is>
          <t>Sicredi SNI</t>
        </is>
      </c>
      <c r="C1940" s="2" t="inlineStr">
        <is>
          <t>04/06/2026</t>
        </is>
      </c>
      <c r="D1940" s="2" t="inlineStr">
        <is>
          <t>04/06/2026</t>
        </is>
      </c>
      <c r="E1940" s="2" t="inlineStr">
        <is>
          <t>PIX</t>
        </is>
      </c>
      <c r="F1940" s="2" t="inlineStr">
        <is>
          <t>Boleto "63014" do cliente "ROSA UCHAKI"</t>
        </is>
      </c>
      <c r="G1940" s="2" t="inlineStr">
        <is>
          <t>system</t>
        </is>
      </c>
      <c r="H1940" s="2" t="inlineStr">
        <is>
          <t>01.01.01 : Mensalidade</t>
        </is>
      </c>
      <c r="I1940" s="3" t="n">
        <v>99.90000000000001</v>
      </c>
      <c r="J1940" s="2" t="n"/>
      <c r="K1940" s="2">
        <f>IF(H1940="02.09 : Outras Saídas", IF(OR(ISNUMBER(SEARCH("CHEQUE COMPE SICREDI", F1940)), ISNUMBER(SEARCH("aniversario", F1940)), ISNUMBER(SEARCH("churrasco", F1940)), ISNUMBER(SEARCH("bolo", F1940)), ISNUMBER(SEARCH("SUPERMERCADO", F1940))), "6.1 Despesas Administrativas (Pessoal)", IF(OR(ISNUMBER(SEARCH("DLKNET", F1940)), ISNUMBER(SEARCH("TESTE", F1940))), "6.1 Despesas Administrativas (Gerais)", IFERROR(VLOOKUP(H1940, De_Para!A:B, 2, FALSE), "NÃO MAPEADO"))), IFERROR(VLOOKUP(H1940, De_Para!A:B, 2, FALSE), "NÃO MAPEADO"))</f>
        <v/>
      </c>
    </row>
    <row r="1941">
      <c r="A1941" s="2" t="inlineStr">
        <is>
          <t>67745</t>
        </is>
      </c>
      <c r="B1941" s="2" t="inlineStr">
        <is>
          <t>Sicredi SNI</t>
        </is>
      </c>
      <c r="C1941" s="2" t="inlineStr">
        <is>
          <t>04/06/2026</t>
        </is>
      </c>
      <c r="D1941" s="2" t="inlineStr">
        <is>
          <t>04/06/2026</t>
        </is>
      </c>
      <c r="E1941" s="2" t="inlineStr">
        <is>
          <t>PIX</t>
        </is>
      </c>
      <c r="F1941" s="2" t="inlineStr">
        <is>
          <t>Boleto "62882" do cliente "CLAUDETE UCHAKI"</t>
        </is>
      </c>
      <c r="G1941" s="2" t="inlineStr">
        <is>
          <t>system</t>
        </is>
      </c>
      <c r="H1941" s="2" t="inlineStr">
        <is>
          <t>02.03.02.01 : Cobrança Bancaria</t>
        </is>
      </c>
      <c r="I1941" s="2" t="n"/>
      <c r="J1941" s="3" t="n">
        <v>-0.49</v>
      </c>
      <c r="K1941" s="2">
        <f>IF(H1941="02.09 : Outras Saídas", IF(OR(ISNUMBER(SEARCH("CHEQUE COMPE SICREDI", F1941)), ISNUMBER(SEARCH("aniversario", F1941)), ISNUMBER(SEARCH("churrasco", F1941)), ISNUMBER(SEARCH("bolo", F1941)), ISNUMBER(SEARCH("SUPERMERCADO", F1941))), "6.1 Despesas Administrativas (Pessoal)", IF(OR(ISNUMBER(SEARCH("DLKNET", F1941)), ISNUMBER(SEARCH("TESTE", F1941))), "6.1 Despesas Administrativas (Gerais)", IFERROR(VLOOKUP(H1941, De_Para!A:B, 2, FALSE), "NÃO MAPEADO"))), IFERROR(VLOOKUP(H1941, De_Para!A:B, 2, FALSE), "NÃO MAPEADO"))</f>
        <v/>
      </c>
    </row>
    <row r="1942">
      <c r="A1942" s="2" t="inlineStr">
        <is>
          <t>67744</t>
        </is>
      </c>
      <c r="B1942" s="2" t="inlineStr">
        <is>
          <t>Sicredi SNI</t>
        </is>
      </c>
      <c r="C1942" s="2" t="inlineStr">
        <is>
          <t>04/06/2026</t>
        </is>
      </c>
      <c r="D1942" s="2" t="inlineStr">
        <is>
          <t>04/06/2026</t>
        </is>
      </c>
      <c r="E1942" s="2" t="inlineStr">
        <is>
          <t>PIX</t>
        </is>
      </c>
      <c r="F1942" s="2" t="inlineStr">
        <is>
          <t>Boleto "62882" do cliente "CLAUDETE UCHAKI"</t>
        </is>
      </c>
      <c r="G1942" s="2" t="inlineStr">
        <is>
          <t>system</t>
        </is>
      </c>
      <c r="H1942" s="2" t="inlineStr">
        <is>
          <t>01.01.01 : Mensalidade</t>
        </is>
      </c>
      <c r="I1942" s="3" t="n">
        <v>104.9</v>
      </c>
      <c r="J1942" s="2" t="n"/>
      <c r="K1942" s="2">
        <f>IF(H1942="02.09 : Outras Saídas", IF(OR(ISNUMBER(SEARCH("CHEQUE COMPE SICREDI", F1942)), ISNUMBER(SEARCH("aniversario", F1942)), ISNUMBER(SEARCH("churrasco", F1942)), ISNUMBER(SEARCH("bolo", F1942)), ISNUMBER(SEARCH("SUPERMERCADO", F1942))), "6.1 Despesas Administrativas (Pessoal)", IF(OR(ISNUMBER(SEARCH("DLKNET", F1942)), ISNUMBER(SEARCH("TESTE", F1942))), "6.1 Despesas Administrativas (Gerais)", IFERROR(VLOOKUP(H1942, De_Para!A:B, 2, FALSE), "NÃO MAPEADO"))), IFERROR(VLOOKUP(H1942, De_Para!A:B, 2, FALSE), "NÃO MAPEADO"))</f>
        <v/>
      </c>
    </row>
    <row r="1943">
      <c r="A1943" s="2" t="inlineStr">
        <is>
          <t>67743</t>
        </is>
      </c>
      <c r="B1943" s="2" t="inlineStr">
        <is>
          <t>Sicoob</t>
        </is>
      </c>
      <c r="C1943" s="2" t="inlineStr">
        <is>
          <t>04/06/2026</t>
        </is>
      </c>
      <c r="D1943" s="2" t="inlineStr">
        <is>
          <t>03/06/2026</t>
        </is>
      </c>
      <c r="E1943" s="2" t="inlineStr">
        <is>
          <t>Dinheiro</t>
        </is>
      </c>
      <c r="F1943" s="2" t="inlineStr">
        <is>
          <t>Boleto "59751" do cliente "DANIELE ROBERTA  GERAGE MARTINS"</t>
        </is>
      </c>
      <c r="G1943" s="2" t="inlineStr">
        <is>
          <t>system</t>
        </is>
      </c>
      <c r="H1943" s="2" t="inlineStr">
        <is>
          <t>02.03.02.01 : Cobrança Bancaria</t>
        </is>
      </c>
      <c r="I1943" s="2" t="n"/>
      <c r="J1943" s="3" t="n">
        <v>-0.88</v>
      </c>
      <c r="K1943" s="2">
        <f>IF(H1943="02.09 : Outras Saídas", IF(OR(ISNUMBER(SEARCH("CHEQUE COMPE SICREDI", F1943)), ISNUMBER(SEARCH("aniversario", F1943)), ISNUMBER(SEARCH("churrasco", F1943)), ISNUMBER(SEARCH("bolo", F1943)), ISNUMBER(SEARCH("SUPERMERCADO", F1943))), "6.1 Despesas Administrativas (Pessoal)", IF(OR(ISNUMBER(SEARCH("DLKNET", F1943)), ISNUMBER(SEARCH("TESTE", F1943))), "6.1 Despesas Administrativas (Gerais)", IFERROR(VLOOKUP(H1943, De_Para!A:B, 2, FALSE), "NÃO MAPEADO"))), IFERROR(VLOOKUP(H1943, De_Para!A:B, 2, FALSE), "NÃO MAPEADO"))</f>
        <v/>
      </c>
    </row>
    <row r="1944">
      <c r="A1944" s="2" t="inlineStr">
        <is>
          <t>67742</t>
        </is>
      </c>
      <c r="B1944" s="2" t="inlineStr">
        <is>
          <t>Sicoob</t>
        </is>
      </c>
      <c r="C1944" s="2" t="inlineStr">
        <is>
          <t>04/06/2026</t>
        </is>
      </c>
      <c r="D1944" s="2" t="inlineStr">
        <is>
          <t>03/06/2026</t>
        </is>
      </c>
      <c r="E1944" s="2" t="inlineStr">
        <is>
          <t>Dinheiro</t>
        </is>
      </c>
      <c r="F1944" s="2" t="inlineStr">
        <is>
          <t>Boleto "59751" do cliente "DANIELE ROBERTA  GERAGE MARTINS"</t>
        </is>
      </c>
      <c r="G1944" s="2" t="inlineStr">
        <is>
          <t>system</t>
        </is>
      </c>
      <c r="H1944" s="2" t="inlineStr">
        <is>
          <t>01.01.01 : Mensalidade</t>
        </is>
      </c>
      <c r="I1944" s="3" t="n">
        <v>110</v>
      </c>
      <c r="J1944" s="2" t="n"/>
      <c r="K1944" s="2">
        <f>IF(H1944="02.09 : Outras Saídas", IF(OR(ISNUMBER(SEARCH("CHEQUE COMPE SICREDI", F1944)), ISNUMBER(SEARCH("aniversario", F1944)), ISNUMBER(SEARCH("churrasco", F1944)), ISNUMBER(SEARCH("bolo", F1944)), ISNUMBER(SEARCH("SUPERMERCADO", F1944))), "6.1 Despesas Administrativas (Pessoal)", IF(OR(ISNUMBER(SEARCH("DLKNET", F1944)), ISNUMBER(SEARCH("TESTE", F1944))), "6.1 Despesas Administrativas (Gerais)", IFERROR(VLOOKUP(H1944, De_Para!A:B, 2, FALSE), "NÃO MAPEADO"))), IFERROR(VLOOKUP(H1944, De_Para!A:B, 2, FALSE), "NÃO MAPEADO"))</f>
        <v/>
      </c>
    </row>
    <row r="1945">
      <c r="A1945" s="2" t="inlineStr">
        <is>
          <t>67741</t>
        </is>
      </c>
      <c r="B1945" s="2" t="inlineStr">
        <is>
          <t>Sicoob</t>
        </is>
      </c>
      <c r="C1945" s="2" t="inlineStr">
        <is>
          <t>04/06/2026</t>
        </is>
      </c>
      <c r="D1945" s="2" t="inlineStr">
        <is>
          <t>03/06/2026</t>
        </is>
      </c>
      <c r="E1945" s="2" t="inlineStr">
        <is>
          <t>Dinheiro</t>
        </is>
      </c>
      <c r="F1945" s="2" t="inlineStr">
        <is>
          <t>Boleto "58585" do cliente "VALDEIR MARTINS TOSTA"</t>
        </is>
      </c>
      <c r="G1945" s="2" t="inlineStr">
        <is>
          <t>system</t>
        </is>
      </c>
      <c r="H1945" s="2" t="inlineStr">
        <is>
          <t>02.03.02.01 : Cobrança Bancaria</t>
        </is>
      </c>
      <c r="I1945" s="2" t="n"/>
      <c r="J1945" s="3" t="n">
        <v>-0.3</v>
      </c>
      <c r="K1945" s="2">
        <f>IF(H1945="02.09 : Outras Saídas", IF(OR(ISNUMBER(SEARCH("CHEQUE COMPE SICREDI", F1945)), ISNUMBER(SEARCH("aniversario", F1945)), ISNUMBER(SEARCH("churrasco", F1945)), ISNUMBER(SEARCH("bolo", F1945)), ISNUMBER(SEARCH("SUPERMERCADO", F1945))), "6.1 Despesas Administrativas (Pessoal)", IF(OR(ISNUMBER(SEARCH("DLKNET", F1945)), ISNUMBER(SEARCH("TESTE", F1945))), "6.1 Despesas Administrativas (Gerais)", IFERROR(VLOOKUP(H1945, De_Para!A:B, 2, FALSE), "NÃO MAPEADO"))), IFERROR(VLOOKUP(H1945, De_Para!A:B, 2, FALSE), "NÃO MAPEADO"))</f>
        <v/>
      </c>
    </row>
    <row r="1946">
      <c r="A1946" s="2" t="inlineStr">
        <is>
          <t>67740</t>
        </is>
      </c>
      <c r="B1946" s="2" t="inlineStr">
        <is>
          <t>Sicoob</t>
        </is>
      </c>
      <c r="C1946" s="2" t="inlineStr">
        <is>
          <t>04/06/2026</t>
        </is>
      </c>
      <c r="D1946" s="2" t="inlineStr">
        <is>
          <t>03/06/2026</t>
        </is>
      </c>
      <c r="E1946" s="2" t="inlineStr">
        <is>
          <t>Dinheiro</t>
        </is>
      </c>
      <c r="F1946" s="2" t="inlineStr">
        <is>
          <t>Boleto "58585" do cliente "VALDEIR MARTINS TOSTA"</t>
        </is>
      </c>
      <c r="G1946" s="2" t="inlineStr">
        <is>
          <t>system</t>
        </is>
      </c>
      <c r="H1946" s="2" t="inlineStr">
        <is>
          <t>01.01.01 : Mensalidade</t>
        </is>
      </c>
      <c r="I1946" s="3" t="n">
        <v>100</v>
      </c>
      <c r="J1946" s="2" t="n"/>
      <c r="K1946" s="2">
        <f>IF(H1946="02.09 : Outras Saídas", IF(OR(ISNUMBER(SEARCH("CHEQUE COMPE SICREDI", F1946)), ISNUMBER(SEARCH("aniversario", F1946)), ISNUMBER(SEARCH("churrasco", F1946)), ISNUMBER(SEARCH("bolo", F1946)), ISNUMBER(SEARCH("SUPERMERCADO", F1946))), "6.1 Despesas Administrativas (Pessoal)", IF(OR(ISNUMBER(SEARCH("DLKNET", F1946)), ISNUMBER(SEARCH("TESTE", F1946))), "6.1 Despesas Administrativas (Gerais)", IFERROR(VLOOKUP(H1946, De_Para!A:B, 2, FALSE), "NÃO MAPEADO"))), IFERROR(VLOOKUP(H1946, De_Para!A:B, 2, FALSE), "NÃO MAPEADO"))</f>
        <v/>
      </c>
    </row>
    <row r="1947">
      <c r="A1947" s="2" t="inlineStr">
        <is>
          <t>67739</t>
        </is>
      </c>
      <c r="B1947" s="2" t="inlineStr">
        <is>
          <t>Sicoob</t>
        </is>
      </c>
      <c r="C1947" s="2" t="inlineStr">
        <is>
          <t>04/06/2026</t>
        </is>
      </c>
      <c r="D1947" s="2" t="inlineStr">
        <is>
          <t>03/06/2026</t>
        </is>
      </c>
      <c r="E1947" s="2" t="inlineStr">
        <is>
          <t>Dinheiro</t>
        </is>
      </c>
      <c r="F1947" s="2" t="inlineStr">
        <is>
          <t>Boleto "55489" do cliente "THEREZA DIAS MOURA"</t>
        </is>
      </c>
      <c r="G1947" s="2" t="inlineStr">
        <is>
          <t>system</t>
        </is>
      </c>
      <c r="H1947" s="2" t="inlineStr">
        <is>
          <t>02.03.02.01 : Cobrança Bancaria</t>
        </is>
      </c>
      <c r="I1947" s="2" t="n"/>
      <c r="J1947" s="3" t="n">
        <v>-0.88</v>
      </c>
      <c r="K1947" s="2">
        <f>IF(H1947="02.09 : Outras Saídas", IF(OR(ISNUMBER(SEARCH("CHEQUE COMPE SICREDI", F1947)), ISNUMBER(SEARCH("aniversario", F1947)), ISNUMBER(SEARCH("churrasco", F1947)), ISNUMBER(SEARCH("bolo", F1947)), ISNUMBER(SEARCH("SUPERMERCADO", F1947))), "6.1 Despesas Administrativas (Pessoal)", IF(OR(ISNUMBER(SEARCH("DLKNET", F1947)), ISNUMBER(SEARCH("TESTE", F1947))), "6.1 Despesas Administrativas (Gerais)", IFERROR(VLOOKUP(H1947, De_Para!A:B, 2, FALSE), "NÃO MAPEADO"))), IFERROR(VLOOKUP(H1947, De_Para!A:B, 2, FALSE), "NÃO MAPEADO"))</f>
        <v/>
      </c>
    </row>
    <row r="1948">
      <c r="A1948" s="2" t="inlineStr">
        <is>
          <t>67738</t>
        </is>
      </c>
      <c r="B1948" s="2" t="inlineStr">
        <is>
          <t>Sicoob</t>
        </is>
      </c>
      <c r="C1948" s="2" t="inlineStr">
        <is>
          <t>04/06/2026</t>
        </is>
      </c>
      <c r="D1948" s="2" t="inlineStr">
        <is>
          <t>03/06/2026</t>
        </is>
      </c>
      <c r="E1948" s="2" t="inlineStr">
        <is>
          <t>Dinheiro</t>
        </is>
      </c>
      <c r="F1948" s="2" t="inlineStr">
        <is>
          <t>Boleto "55489" do cliente "THEREZA DIAS MOURA"</t>
        </is>
      </c>
      <c r="G1948" s="2" t="inlineStr">
        <is>
          <t>system</t>
        </is>
      </c>
      <c r="H1948" s="2" t="inlineStr">
        <is>
          <t>01.01.01 : Mensalidade</t>
        </is>
      </c>
      <c r="I1948" s="3" t="n">
        <v>110</v>
      </c>
      <c r="J1948" s="2" t="n"/>
      <c r="K1948" s="2">
        <f>IF(H1948="02.09 : Outras Saídas", IF(OR(ISNUMBER(SEARCH("CHEQUE COMPE SICREDI", F1948)), ISNUMBER(SEARCH("aniversario", F1948)), ISNUMBER(SEARCH("churrasco", F1948)), ISNUMBER(SEARCH("bolo", F1948)), ISNUMBER(SEARCH("SUPERMERCADO", F1948))), "6.1 Despesas Administrativas (Pessoal)", IF(OR(ISNUMBER(SEARCH("DLKNET", F1948)), ISNUMBER(SEARCH("TESTE", F1948))), "6.1 Despesas Administrativas (Gerais)", IFERROR(VLOOKUP(H1948, De_Para!A:B, 2, FALSE), "NÃO MAPEADO"))), IFERROR(VLOOKUP(H1948, De_Para!A:B, 2, FALSE), "NÃO MAPEADO"))</f>
        <v/>
      </c>
    </row>
    <row r="1949">
      <c r="A1949" s="2" t="inlineStr">
        <is>
          <t>67737</t>
        </is>
      </c>
      <c r="B1949" s="2" t="inlineStr">
        <is>
          <t>Sicoob</t>
        </is>
      </c>
      <c r="C1949" s="2" t="inlineStr">
        <is>
          <t>04/06/2026</t>
        </is>
      </c>
      <c r="D1949" s="2" t="inlineStr">
        <is>
          <t>03/06/2026</t>
        </is>
      </c>
      <c r="E1949" s="2" t="inlineStr">
        <is>
          <t>Dinheiro</t>
        </is>
      </c>
      <c r="F1949" s="2" t="inlineStr">
        <is>
          <t>Boleto "55122" do cliente "NERLI PEREIRA DA CUNHA"</t>
        </is>
      </c>
      <c r="G1949" s="2" t="inlineStr">
        <is>
          <t>system</t>
        </is>
      </c>
      <c r="H1949" s="2" t="inlineStr">
        <is>
          <t>02.03.02.01 : Cobrança Bancaria</t>
        </is>
      </c>
      <c r="I1949" s="2" t="n"/>
      <c r="J1949" s="3" t="n">
        <v>-0.3</v>
      </c>
      <c r="K1949" s="2">
        <f>IF(H1949="02.09 : Outras Saídas", IF(OR(ISNUMBER(SEARCH("CHEQUE COMPE SICREDI", F1949)), ISNUMBER(SEARCH("aniversario", F1949)), ISNUMBER(SEARCH("churrasco", F1949)), ISNUMBER(SEARCH("bolo", F1949)), ISNUMBER(SEARCH("SUPERMERCADO", F1949))), "6.1 Despesas Administrativas (Pessoal)", IF(OR(ISNUMBER(SEARCH("DLKNET", F1949)), ISNUMBER(SEARCH("TESTE", F1949))), "6.1 Despesas Administrativas (Gerais)", IFERROR(VLOOKUP(H1949, De_Para!A:B, 2, FALSE), "NÃO MAPEADO"))), IFERROR(VLOOKUP(H1949, De_Para!A:B, 2, FALSE), "NÃO MAPEADO"))</f>
        <v/>
      </c>
    </row>
    <row r="1950">
      <c r="A1950" s="2" t="inlineStr">
        <is>
          <t>67736</t>
        </is>
      </c>
      <c r="B1950" s="2" t="inlineStr">
        <is>
          <t>Sicoob</t>
        </is>
      </c>
      <c r="C1950" s="2" t="inlineStr">
        <is>
          <t>04/06/2026</t>
        </is>
      </c>
      <c r="D1950" s="2" t="inlineStr">
        <is>
          <t>03/06/2026</t>
        </is>
      </c>
      <c r="E1950" s="2" t="inlineStr">
        <is>
          <t>Dinheiro</t>
        </is>
      </c>
      <c r="F1950" s="2" t="inlineStr">
        <is>
          <t>Boleto "55122" do cliente "NERLI PEREIRA DA CUNHA"</t>
        </is>
      </c>
      <c r="G1950" s="2" t="inlineStr">
        <is>
          <t>system</t>
        </is>
      </c>
      <c r="H1950" s="2" t="inlineStr">
        <is>
          <t>01.03.01 : Mensalidade</t>
        </is>
      </c>
      <c r="I1950" s="3" t="n">
        <v>107.58</v>
      </c>
      <c r="J1950" s="2" t="n"/>
      <c r="K1950" s="2">
        <f>IF(H1950="02.09 : Outras Saídas", IF(OR(ISNUMBER(SEARCH("CHEQUE COMPE SICREDI", F1950)), ISNUMBER(SEARCH("aniversario", F1950)), ISNUMBER(SEARCH("churrasco", F1950)), ISNUMBER(SEARCH("bolo", F1950)), ISNUMBER(SEARCH("SUPERMERCADO", F1950))), "6.1 Despesas Administrativas (Pessoal)", IF(OR(ISNUMBER(SEARCH("DLKNET", F1950)), ISNUMBER(SEARCH("TESTE", F1950))), "6.1 Despesas Administrativas (Gerais)", IFERROR(VLOOKUP(H1950, De_Para!A:B, 2, FALSE), "NÃO MAPEADO"))), IFERROR(VLOOKUP(H1950, De_Para!A:B, 2, FALSE), "NÃO MAPEADO"))</f>
        <v/>
      </c>
    </row>
    <row r="1951">
      <c r="A1951" s="2" t="inlineStr">
        <is>
          <t>67735</t>
        </is>
      </c>
      <c r="B1951" s="2" t="inlineStr">
        <is>
          <t>Sicoob</t>
        </is>
      </c>
      <c r="C1951" s="2" t="inlineStr">
        <is>
          <t>04/06/2026</t>
        </is>
      </c>
      <c r="D1951" s="2" t="inlineStr">
        <is>
          <t>03/06/2026</t>
        </is>
      </c>
      <c r="E1951" s="2" t="inlineStr">
        <is>
          <t>Dinheiro</t>
        </is>
      </c>
      <c r="F1951" s="2" t="inlineStr">
        <is>
          <t>Boleto "54803" do cliente "LEONARDO MATHIAS CRUZ DE SOUZA"</t>
        </is>
      </c>
      <c r="G1951" s="2" t="inlineStr">
        <is>
          <t>system</t>
        </is>
      </c>
      <c r="H1951" s="2" t="inlineStr">
        <is>
          <t>02.03.02.01 : Cobrança Bancaria</t>
        </is>
      </c>
      <c r="I1951" s="2" t="n"/>
      <c r="J1951" s="3" t="n">
        <v>-0.3</v>
      </c>
      <c r="K1951" s="2">
        <f>IF(H1951="02.09 : Outras Saídas", IF(OR(ISNUMBER(SEARCH("CHEQUE COMPE SICREDI", F1951)), ISNUMBER(SEARCH("aniversario", F1951)), ISNUMBER(SEARCH("churrasco", F1951)), ISNUMBER(SEARCH("bolo", F1951)), ISNUMBER(SEARCH("SUPERMERCADO", F1951))), "6.1 Despesas Administrativas (Pessoal)", IF(OR(ISNUMBER(SEARCH("DLKNET", F1951)), ISNUMBER(SEARCH("TESTE", F1951))), "6.1 Despesas Administrativas (Gerais)", IFERROR(VLOOKUP(H1951, De_Para!A:B, 2, FALSE), "NÃO MAPEADO"))), IFERROR(VLOOKUP(H1951, De_Para!A:B, 2, FALSE), "NÃO MAPEADO"))</f>
        <v/>
      </c>
    </row>
    <row r="1952">
      <c r="A1952" s="2" t="inlineStr">
        <is>
          <t>67734</t>
        </is>
      </c>
      <c r="B1952" s="2" t="inlineStr">
        <is>
          <t>Sicoob</t>
        </is>
      </c>
      <c r="C1952" s="2" t="inlineStr">
        <is>
          <t>04/06/2026</t>
        </is>
      </c>
      <c r="D1952" s="2" t="inlineStr">
        <is>
          <t>03/06/2026</t>
        </is>
      </c>
      <c r="E1952" s="2" t="inlineStr">
        <is>
          <t>Dinheiro</t>
        </is>
      </c>
      <c r="F1952" s="2" t="inlineStr">
        <is>
          <t>Boleto "54803" do cliente "LEONARDO MATHIAS CRUZ DE SOUZA"</t>
        </is>
      </c>
      <c r="G1952" s="2" t="inlineStr">
        <is>
          <t>system</t>
        </is>
      </c>
      <c r="H1952" s="2" t="inlineStr">
        <is>
          <t>01.01.01 : Mensalidade</t>
        </is>
      </c>
      <c r="I1952" s="3" t="n">
        <v>100</v>
      </c>
      <c r="J1952" s="2" t="n"/>
      <c r="K1952" s="2">
        <f>IF(H1952="02.09 : Outras Saídas", IF(OR(ISNUMBER(SEARCH("CHEQUE COMPE SICREDI", F1952)), ISNUMBER(SEARCH("aniversario", F1952)), ISNUMBER(SEARCH("churrasco", F1952)), ISNUMBER(SEARCH("bolo", F1952)), ISNUMBER(SEARCH("SUPERMERCADO", F1952))), "6.1 Despesas Administrativas (Pessoal)", IF(OR(ISNUMBER(SEARCH("DLKNET", F1952)), ISNUMBER(SEARCH("TESTE", F1952))), "6.1 Despesas Administrativas (Gerais)", IFERROR(VLOOKUP(H1952, De_Para!A:B, 2, FALSE), "NÃO MAPEADO"))), IFERROR(VLOOKUP(H1952, De_Para!A:B, 2, FALSE), "NÃO MAPEADO"))</f>
        <v/>
      </c>
    </row>
    <row r="1953">
      <c r="A1953" s="2" t="inlineStr">
        <is>
          <t>67733</t>
        </is>
      </c>
      <c r="B1953" s="2" t="inlineStr">
        <is>
          <t>Sicoob</t>
        </is>
      </c>
      <c r="C1953" s="2" t="inlineStr">
        <is>
          <t>03/06/2026</t>
        </is>
      </c>
      <c r="D1953" s="2" t="inlineStr">
        <is>
          <t>03/06/2026</t>
        </is>
      </c>
      <c r="E1953" s="2" t="inlineStr">
        <is>
          <t>Dinheiro</t>
        </is>
      </c>
      <c r="F1953" s="2" t="inlineStr">
        <is>
          <t>Boleto "66085" do cliente "ELITON FABIO MORFINATE"</t>
        </is>
      </c>
      <c r="G1953" s="2" t="inlineStr">
        <is>
          <t>system</t>
        </is>
      </c>
      <c r="H1953" s="2" t="inlineStr">
        <is>
          <t>02.03.02.01 : Cobrança Bancaria</t>
        </is>
      </c>
      <c r="I1953" s="2" t="n"/>
      <c r="J1953" s="3" t="n">
        <v>-0.88</v>
      </c>
      <c r="K1953" s="2">
        <f>IF(H1953="02.09 : Outras Saídas", IF(OR(ISNUMBER(SEARCH("CHEQUE COMPE SICREDI", F1953)), ISNUMBER(SEARCH("aniversario", F1953)), ISNUMBER(SEARCH("churrasco", F1953)), ISNUMBER(SEARCH("bolo", F1953)), ISNUMBER(SEARCH("SUPERMERCADO", F1953))), "6.1 Despesas Administrativas (Pessoal)", IF(OR(ISNUMBER(SEARCH("DLKNET", F1953)), ISNUMBER(SEARCH("TESTE", F1953))), "6.1 Despesas Administrativas (Gerais)", IFERROR(VLOOKUP(H1953, De_Para!A:B, 2, FALSE), "NÃO MAPEADO"))), IFERROR(VLOOKUP(H1953, De_Para!A:B, 2, FALSE), "NÃO MAPEADO"))</f>
        <v/>
      </c>
    </row>
    <row r="1954">
      <c r="A1954" s="2" t="inlineStr">
        <is>
          <t>67732</t>
        </is>
      </c>
      <c r="B1954" s="2" t="inlineStr">
        <is>
          <t>Sicoob</t>
        </is>
      </c>
      <c r="C1954" s="2" t="inlineStr">
        <is>
          <t>03/06/2026</t>
        </is>
      </c>
      <c r="D1954" s="2" t="inlineStr">
        <is>
          <t>03/06/2026</t>
        </is>
      </c>
      <c r="E1954" s="2" t="inlineStr">
        <is>
          <t>Dinheiro</t>
        </is>
      </c>
      <c r="F1954" s="2" t="inlineStr">
        <is>
          <t>Boleto "66085" do cliente "ELITON FABIO MORFINATE"</t>
        </is>
      </c>
      <c r="G1954" s="2" t="inlineStr">
        <is>
          <t>system</t>
        </is>
      </c>
      <c r="H1954" s="2" t="inlineStr">
        <is>
          <t>01.01.01 : Mensalidade</t>
        </is>
      </c>
      <c r="I1954" s="3" t="n">
        <v>104.9</v>
      </c>
      <c r="J1954" s="2" t="n"/>
      <c r="K1954" s="2">
        <f>IF(H1954="02.09 : Outras Saídas", IF(OR(ISNUMBER(SEARCH("CHEQUE COMPE SICREDI", F1954)), ISNUMBER(SEARCH("aniversario", F1954)), ISNUMBER(SEARCH("churrasco", F1954)), ISNUMBER(SEARCH("bolo", F1954)), ISNUMBER(SEARCH("SUPERMERCADO", F1954))), "6.1 Despesas Administrativas (Pessoal)", IF(OR(ISNUMBER(SEARCH("DLKNET", F1954)), ISNUMBER(SEARCH("TESTE", F1954))), "6.1 Despesas Administrativas (Gerais)", IFERROR(VLOOKUP(H1954, De_Para!A:B, 2, FALSE), "NÃO MAPEADO"))), IFERROR(VLOOKUP(H1954, De_Para!A:B, 2, FALSE), "NÃO MAPEADO"))</f>
        <v/>
      </c>
    </row>
    <row r="1955">
      <c r="A1955" s="2" t="inlineStr">
        <is>
          <t>67731</t>
        </is>
      </c>
      <c r="B1955" s="2" t="inlineStr">
        <is>
          <t>Sicoob</t>
        </is>
      </c>
      <c r="C1955" s="2" t="inlineStr">
        <is>
          <t>03/06/2026</t>
        </is>
      </c>
      <c r="D1955" s="2" t="inlineStr">
        <is>
          <t>03/06/2026</t>
        </is>
      </c>
      <c r="E1955" s="2" t="inlineStr">
        <is>
          <t>Dinheiro</t>
        </is>
      </c>
      <c r="F1955" s="2" t="inlineStr">
        <is>
          <t>Boleto "66073" do cliente "GELIANE PINHEIRO MARCELINO"</t>
        </is>
      </c>
      <c r="G1955" s="2" t="inlineStr">
        <is>
          <t>system</t>
        </is>
      </c>
      <c r="H1955" s="2" t="inlineStr">
        <is>
          <t>02.03.02.01 : Cobrança Bancaria</t>
        </is>
      </c>
      <c r="I1955" s="2" t="n"/>
      <c r="J1955" s="3" t="n">
        <v>-0.88</v>
      </c>
      <c r="K1955" s="2">
        <f>IF(H1955="02.09 : Outras Saídas", IF(OR(ISNUMBER(SEARCH("CHEQUE COMPE SICREDI", F1955)), ISNUMBER(SEARCH("aniversario", F1955)), ISNUMBER(SEARCH("churrasco", F1955)), ISNUMBER(SEARCH("bolo", F1955)), ISNUMBER(SEARCH("SUPERMERCADO", F1955))), "6.1 Despesas Administrativas (Pessoal)", IF(OR(ISNUMBER(SEARCH("DLKNET", F1955)), ISNUMBER(SEARCH("TESTE", F1955))), "6.1 Despesas Administrativas (Gerais)", IFERROR(VLOOKUP(H1955, De_Para!A:B, 2, FALSE), "NÃO MAPEADO"))), IFERROR(VLOOKUP(H1955, De_Para!A:B, 2, FALSE), "NÃO MAPEADO"))</f>
        <v/>
      </c>
    </row>
    <row r="1956">
      <c r="A1956" s="2" t="inlineStr">
        <is>
          <t>67730</t>
        </is>
      </c>
      <c r="B1956" s="2" t="inlineStr">
        <is>
          <t>Sicoob</t>
        </is>
      </c>
      <c r="C1956" s="2" t="inlineStr">
        <is>
          <t>03/06/2026</t>
        </is>
      </c>
      <c r="D1956" s="2" t="inlineStr">
        <is>
          <t>03/06/2026</t>
        </is>
      </c>
      <c r="E1956" s="2" t="inlineStr">
        <is>
          <t>Dinheiro</t>
        </is>
      </c>
      <c r="F1956" s="2" t="inlineStr">
        <is>
          <t>Boleto "66073" do cliente "GELIANE PINHEIRO MARCELINO"</t>
        </is>
      </c>
      <c r="G1956" s="2" t="inlineStr">
        <is>
          <t>system</t>
        </is>
      </c>
      <c r="H1956" s="2" t="inlineStr">
        <is>
          <t>01.03.01 : Mensalidade</t>
        </is>
      </c>
      <c r="I1956" s="3" t="n">
        <v>107.23</v>
      </c>
      <c r="J1956" s="2" t="n"/>
      <c r="K1956" s="2">
        <f>IF(H1956="02.09 : Outras Saídas", IF(OR(ISNUMBER(SEARCH("CHEQUE COMPE SICREDI", F1956)), ISNUMBER(SEARCH("aniversario", F1956)), ISNUMBER(SEARCH("churrasco", F1956)), ISNUMBER(SEARCH("bolo", F1956)), ISNUMBER(SEARCH("SUPERMERCADO", F1956))), "6.1 Despesas Administrativas (Pessoal)", IF(OR(ISNUMBER(SEARCH("DLKNET", F1956)), ISNUMBER(SEARCH("TESTE", F1956))), "6.1 Despesas Administrativas (Gerais)", IFERROR(VLOOKUP(H1956, De_Para!A:B, 2, FALSE), "NÃO MAPEADO"))), IFERROR(VLOOKUP(H1956, De_Para!A:B, 2, FALSE), "NÃO MAPEADO"))</f>
        <v/>
      </c>
    </row>
    <row r="1957">
      <c r="A1957" s="2" t="inlineStr">
        <is>
          <t>67729</t>
        </is>
      </c>
      <c r="B1957" s="2" t="inlineStr">
        <is>
          <t>Sicoob</t>
        </is>
      </c>
      <c r="C1957" s="2" t="inlineStr">
        <is>
          <t>03/06/2026</t>
        </is>
      </c>
      <c r="D1957" s="2" t="inlineStr">
        <is>
          <t>03/06/2026</t>
        </is>
      </c>
      <c r="E1957" s="2" t="inlineStr">
        <is>
          <t>Dinheiro</t>
        </is>
      </c>
      <c r="F1957" s="2" t="inlineStr">
        <is>
          <t>Boleto "65436" do cliente "JULIELY MONICA DE OLIVEIRA"</t>
        </is>
      </c>
      <c r="G1957" s="2" t="inlineStr">
        <is>
          <t>system</t>
        </is>
      </c>
      <c r="H1957" s="2" t="inlineStr">
        <is>
          <t>02.03.02.01 : Cobrança Bancaria</t>
        </is>
      </c>
      <c r="I1957" s="2" t="n"/>
      <c r="J1957" s="3" t="n">
        <v>-0.88</v>
      </c>
      <c r="K1957" s="2">
        <f>IF(H1957="02.09 : Outras Saídas", IF(OR(ISNUMBER(SEARCH("CHEQUE COMPE SICREDI", F1957)), ISNUMBER(SEARCH("aniversario", F1957)), ISNUMBER(SEARCH("churrasco", F1957)), ISNUMBER(SEARCH("bolo", F1957)), ISNUMBER(SEARCH("SUPERMERCADO", F1957))), "6.1 Despesas Administrativas (Pessoal)", IF(OR(ISNUMBER(SEARCH("DLKNET", F1957)), ISNUMBER(SEARCH("TESTE", F1957))), "6.1 Despesas Administrativas (Gerais)", IFERROR(VLOOKUP(H1957, De_Para!A:B, 2, FALSE), "NÃO MAPEADO"))), IFERROR(VLOOKUP(H1957, De_Para!A:B, 2, FALSE), "NÃO MAPEADO"))</f>
        <v/>
      </c>
    </row>
    <row r="1958">
      <c r="A1958" s="2" t="inlineStr">
        <is>
          <t>67728</t>
        </is>
      </c>
      <c r="B1958" s="2" t="inlineStr">
        <is>
          <t>Sicoob</t>
        </is>
      </c>
      <c r="C1958" s="2" t="inlineStr">
        <is>
          <t>03/06/2026</t>
        </is>
      </c>
      <c r="D1958" s="2" t="inlineStr">
        <is>
          <t>03/06/2026</t>
        </is>
      </c>
      <c r="E1958" s="2" t="inlineStr">
        <is>
          <t>Dinheiro</t>
        </is>
      </c>
      <c r="F1958" s="2" t="inlineStr">
        <is>
          <t>Boleto "65436" do cliente "JULIELY MONICA DE OLIVEIRA"</t>
        </is>
      </c>
      <c r="G1958" s="2" t="inlineStr">
        <is>
          <t>system</t>
        </is>
      </c>
      <c r="H1958" s="2" t="inlineStr">
        <is>
          <t>01.01.01 : Mensalidade</t>
        </is>
      </c>
      <c r="I1958" s="3" t="n">
        <v>107.05</v>
      </c>
      <c r="J1958" s="2" t="n"/>
      <c r="K1958" s="2">
        <f>IF(H1958="02.09 : Outras Saídas", IF(OR(ISNUMBER(SEARCH("CHEQUE COMPE SICREDI", F1958)), ISNUMBER(SEARCH("aniversario", F1958)), ISNUMBER(SEARCH("churrasco", F1958)), ISNUMBER(SEARCH("bolo", F1958)), ISNUMBER(SEARCH("SUPERMERCADO", F1958))), "6.1 Despesas Administrativas (Pessoal)", IF(OR(ISNUMBER(SEARCH("DLKNET", F1958)), ISNUMBER(SEARCH("TESTE", F1958))), "6.1 Despesas Administrativas (Gerais)", IFERROR(VLOOKUP(H1958, De_Para!A:B, 2, FALSE), "NÃO MAPEADO"))), IFERROR(VLOOKUP(H1958, De_Para!A:B, 2, FALSE), "NÃO MAPEADO"))</f>
        <v/>
      </c>
    </row>
    <row r="1959">
      <c r="A1959" s="2" t="inlineStr">
        <is>
          <t>67727</t>
        </is>
      </c>
      <c r="B1959" s="2" t="inlineStr">
        <is>
          <t>Sicoob</t>
        </is>
      </c>
      <c r="C1959" s="2" t="inlineStr">
        <is>
          <t>03/06/2026</t>
        </is>
      </c>
      <c r="D1959" s="2" t="inlineStr">
        <is>
          <t>03/06/2026</t>
        </is>
      </c>
      <c r="E1959" s="2" t="inlineStr">
        <is>
          <t>Dinheiro</t>
        </is>
      </c>
      <c r="F1959" s="2" t="inlineStr">
        <is>
          <t>Boleto "62973" do cliente "RAFAEL INOCENCIO DE MOURA"</t>
        </is>
      </c>
      <c r="G1959" s="2" t="inlineStr">
        <is>
          <t>system</t>
        </is>
      </c>
      <c r="H1959" s="2" t="inlineStr">
        <is>
          <t>02.03.02.01 : Cobrança Bancaria</t>
        </is>
      </c>
      <c r="I1959" s="2" t="n"/>
      <c r="J1959" s="3" t="n">
        <v>-0.88</v>
      </c>
      <c r="K1959" s="2">
        <f>IF(H1959="02.09 : Outras Saídas", IF(OR(ISNUMBER(SEARCH("CHEQUE COMPE SICREDI", F1959)), ISNUMBER(SEARCH("aniversario", F1959)), ISNUMBER(SEARCH("churrasco", F1959)), ISNUMBER(SEARCH("bolo", F1959)), ISNUMBER(SEARCH("SUPERMERCADO", F1959))), "6.1 Despesas Administrativas (Pessoal)", IF(OR(ISNUMBER(SEARCH("DLKNET", F1959)), ISNUMBER(SEARCH("TESTE", F1959))), "6.1 Despesas Administrativas (Gerais)", IFERROR(VLOOKUP(H1959, De_Para!A:B, 2, FALSE), "NÃO MAPEADO"))), IFERROR(VLOOKUP(H1959, De_Para!A:B, 2, FALSE), "NÃO MAPEADO"))</f>
        <v/>
      </c>
    </row>
    <row r="1960">
      <c r="A1960" s="2" t="inlineStr">
        <is>
          <t>67726</t>
        </is>
      </c>
      <c r="B1960" s="2" t="inlineStr">
        <is>
          <t>Sicoob</t>
        </is>
      </c>
      <c r="C1960" s="2" t="inlineStr">
        <is>
          <t>03/06/2026</t>
        </is>
      </c>
      <c r="D1960" s="2" t="inlineStr">
        <is>
          <t>03/06/2026</t>
        </is>
      </c>
      <c r="E1960" s="2" t="inlineStr">
        <is>
          <t>Dinheiro</t>
        </is>
      </c>
      <c r="F1960" s="2" t="inlineStr">
        <is>
          <t>Boleto "62973" do cliente "RAFAEL INOCENCIO DE MOURA"</t>
        </is>
      </c>
      <c r="G1960" s="2" t="inlineStr">
        <is>
          <t>system</t>
        </is>
      </c>
      <c r="H1960" s="2" t="inlineStr">
        <is>
          <t>01.01.01 : Mensalidade</t>
        </is>
      </c>
      <c r="I1960" s="3" t="n">
        <v>109.9</v>
      </c>
      <c r="J1960" s="2" t="n"/>
      <c r="K1960" s="2">
        <f>IF(H1960="02.09 : Outras Saídas", IF(OR(ISNUMBER(SEARCH("CHEQUE COMPE SICREDI", F1960)), ISNUMBER(SEARCH("aniversario", F1960)), ISNUMBER(SEARCH("churrasco", F1960)), ISNUMBER(SEARCH("bolo", F1960)), ISNUMBER(SEARCH("SUPERMERCADO", F1960))), "6.1 Despesas Administrativas (Pessoal)", IF(OR(ISNUMBER(SEARCH("DLKNET", F1960)), ISNUMBER(SEARCH("TESTE", F1960))), "6.1 Despesas Administrativas (Gerais)", IFERROR(VLOOKUP(H1960, De_Para!A:B, 2, FALSE), "NÃO MAPEADO"))), IFERROR(VLOOKUP(H1960, De_Para!A:B, 2, FALSE), "NÃO MAPEADO"))</f>
        <v/>
      </c>
    </row>
    <row r="1961">
      <c r="A1961" s="2" t="inlineStr">
        <is>
          <t>67725</t>
        </is>
      </c>
      <c r="B1961" s="2" t="inlineStr">
        <is>
          <t>Sicoob</t>
        </is>
      </c>
      <c r="C1961" s="2" t="inlineStr">
        <is>
          <t>03/06/2026</t>
        </is>
      </c>
      <c r="D1961" s="2" t="inlineStr">
        <is>
          <t>03/06/2026</t>
        </is>
      </c>
      <c r="E1961" s="2" t="inlineStr">
        <is>
          <t>Dinheiro</t>
        </is>
      </c>
      <c r="F1961" s="2" t="inlineStr">
        <is>
          <t>Boleto "61550" do cliente "RAIMUNDO NONATO DE OLIVEIRA"</t>
        </is>
      </c>
      <c r="G1961" s="2" t="inlineStr">
        <is>
          <t>system</t>
        </is>
      </c>
      <c r="H1961" s="2" t="inlineStr">
        <is>
          <t>02.03.02.01 : Cobrança Bancaria</t>
        </is>
      </c>
      <c r="I1961" s="2" t="n"/>
      <c r="J1961" s="3" t="n">
        <v>-0.88</v>
      </c>
      <c r="K1961" s="2">
        <f>IF(H1961="02.09 : Outras Saídas", IF(OR(ISNUMBER(SEARCH("CHEQUE COMPE SICREDI", F1961)), ISNUMBER(SEARCH("aniversario", F1961)), ISNUMBER(SEARCH("churrasco", F1961)), ISNUMBER(SEARCH("bolo", F1961)), ISNUMBER(SEARCH("SUPERMERCADO", F1961))), "6.1 Despesas Administrativas (Pessoal)", IF(OR(ISNUMBER(SEARCH("DLKNET", F1961)), ISNUMBER(SEARCH("TESTE", F1961))), "6.1 Despesas Administrativas (Gerais)", IFERROR(VLOOKUP(H1961, De_Para!A:B, 2, FALSE), "NÃO MAPEADO"))), IFERROR(VLOOKUP(H1961, De_Para!A:B, 2, FALSE), "NÃO MAPEADO"))</f>
        <v/>
      </c>
    </row>
    <row r="1962">
      <c r="A1962" s="2" t="inlineStr">
        <is>
          <t>67724</t>
        </is>
      </c>
      <c r="B1962" s="2" t="inlineStr">
        <is>
          <t>Sicoob</t>
        </is>
      </c>
      <c r="C1962" s="2" t="inlineStr">
        <is>
          <t>03/06/2026</t>
        </is>
      </c>
      <c r="D1962" s="2" t="inlineStr">
        <is>
          <t>03/06/2026</t>
        </is>
      </c>
      <c r="E1962" s="2" t="inlineStr">
        <is>
          <t>Dinheiro</t>
        </is>
      </c>
      <c r="F1962" s="2" t="inlineStr">
        <is>
          <t>Boleto "61550" do cliente "RAIMUNDO NONATO DE OLIVEIRA"</t>
        </is>
      </c>
      <c r="G1962" s="2" t="inlineStr">
        <is>
          <t>system</t>
        </is>
      </c>
      <c r="H1962" s="2" t="inlineStr">
        <is>
          <t>01.01.01 : Mensalidade</t>
        </is>
      </c>
      <c r="I1962" s="3" t="n">
        <v>105</v>
      </c>
      <c r="J1962" s="2" t="n"/>
      <c r="K1962" s="2">
        <f>IF(H1962="02.09 : Outras Saídas", IF(OR(ISNUMBER(SEARCH("CHEQUE COMPE SICREDI", F1962)), ISNUMBER(SEARCH("aniversario", F1962)), ISNUMBER(SEARCH("churrasco", F1962)), ISNUMBER(SEARCH("bolo", F1962)), ISNUMBER(SEARCH("SUPERMERCADO", F1962))), "6.1 Despesas Administrativas (Pessoal)", IF(OR(ISNUMBER(SEARCH("DLKNET", F1962)), ISNUMBER(SEARCH("TESTE", F1962))), "6.1 Despesas Administrativas (Gerais)", IFERROR(VLOOKUP(H1962, De_Para!A:B, 2, FALSE), "NÃO MAPEADO"))), IFERROR(VLOOKUP(H1962, De_Para!A:B, 2, FALSE), "NÃO MAPEADO"))</f>
        <v/>
      </c>
    </row>
    <row r="1963">
      <c r="A1963" s="2" t="inlineStr">
        <is>
          <t>67723</t>
        </is>
      </c>
      <c r="B1963" s="2" t="inlineStr">
        <is>
          <t>Sicoob</t>
        </is>
      </c>
      <c r="C1963" s="2" t="inlineStr">
        <is>
          <t>03/06/2026</t>
        </is>
      </c>
      <c r="D1963" s="2" t="inlineStr">
        <is>
          <t>03/06/2026</t>
        </is>
      </c>
      <c r="E1963" s="2" t="inlineStr">
        <is>
          <t>Dinheiro</t>
        </is>
      </c>
      <c r="F1963" s="2" t="inlineStr">
        <is>
          <t>Boleto "60591" do cliente "MARIA LUCIA DA SILVA LOPES"</t>
        </is>
      </c>
      <c r="G1963" s="2" t="inlineStr">
        <is>
          <t>system</t>
        </is>
      </c>
      <c r="H1963" s="2" t="inlineStr">
        <is>
          <t>02.03.02.01 : Cobrança Bancaria</t>
        </is>
      </c>
      <c r="I1963" s="2" t="n"/>
      <c r="J1963" s="3" t="n">
        <v>-0.88</v>
      </c>
      <c r="K1963" s="2">
        <f>IF(H1963="02.09 : Outras Saídas", IF(OR(ISNUMBER(SEARCH("CHEQUE COMPE SICREDI", F1963)), ISNUMBER(SEARCH("aniversario", F1963)), ISNUMBER(SEARCH("churrasco", F1963)), ISNUMBER(SEARCH("bolo", F1963)), ISNUMBER(SEARCH("SUPERMERCADO", F1963))), "6.1 Despesas Administrativas (Pessoal)", IF(OR(ISNUMBER(SEARCH("DLKNET", F1963)), ISNUMBER(SEARCH("TESTE", F1963))), "6.1 Despesas Administrativas (Gerais)", IFERROR(VLOOKUP(H1963, De_Para!A:B, 2, FALSE), "NÃO MAPEADO"))), IFERROR(VLOOKUP(H1963, De_Para!A:B, 2, FALSE), "NÃO MAPEADO"))</f>
        <v/>
      </c>
    </row>
    <row r="1964">
      <c r="A1964" s="2" t="inlineStr">
        <is>
          <t>67722</t>
        </is>
      </c>
      <c r="B1964" s="2" t="inlineStr">
        <is>
          <t>Sicoob</t>
        </is>
      </c>
      <c r="C1964" s="2" t="inlineStr">
        <is>
          <t>03/06/2026</t>
        </is>
      </c>
      <c r="D1964" s="2" t="inlineStr">
        <is>
          <t>03/06/2026</t>
        </is>
      </c>
      <c r="E1964" s="2" t="inlineStr">
        <is>
          <t>Dinheiro</t>
        </is>
      </c>
      <c r="F1964" s="2" t="inlineStr">
        <is>
          <t>Boleto "60591" do cliente "MARIA LUCIA DA SILVA LOPES"</t>
        </is>
      </c>
      <c r="G1964" s="2" t="inlineStr">
        <is>
          <t>system</t>
        </is>
      </c>
      <c r="H1964" s="2" t="inlineStr">
        <is>
          <t>01.01.01 : Mensalidade</t>
        </is>
      </c>
      <c r="I1964" s="3" t="n">
        <v>105</v>
      </c>
      <c r="J1964" s="2" t="n"/>
      <c r="K1964" s="2">
        <f>IF(H1964="02.09 : Outras Saídas", IF(OR(ISNUMBER(SEARCH("CHEQUE COMPE SICREDI", F1964)), ISNUMBER(SEARCH("aniversario", F1964)), ISNUMBER(SEARCH("churrasco", F1964)), ISNUMBER(SEARCH("bolo", F1964)), ISNUMBER(SEARCH("SUPERMERCADO", F1964))), "6.1 Despesas Administrativas (Pessoal)", IF(OR(ISNUMBER(SEARCH("DLKNET", F1964)), ISNUMBER(SEARCH("TESTE", F1964))), "6.1 Despesas Administrativas (Gerais)", IFERROR(VLOOKUP(H1964, De_Para!A:B, 2, FALSE), "NÃO MAPEADO"))), IFERROR(VLOOKUP(H1964, De_Para!A:B, 2, FALSE), "NÃO MAPEADO"))</f>
        <v/>
      </c>
    </row>
    <row r="1965">
      <c r="A1965" s="2" t="inlineStr">
        <is>
          <t>67721</t>
        </is>
      </c>
      <c r="B1965" s="2" t="inlineStr">
        <is>
          <t>Sicoob</t>
        </is>
      </c>
      <c r="C1965" s="2" t="inlineStr">
        <is>
          <t>03/06/2026</t>
        </is>
      </c>
      <c r="D1965" s="2" t="inlineStr">
        <is>
          <t>03/06/2026</t>
        </is>
      </c>
      <c r="E1965" s="2" t="inlineStr">
        <is>
          <t>Dinheiro</t>
        </is>
      </c>
      <c r="F1965" s="2" t="inlineStr">
        <is>
          <t>Boleto "56435" do cliente "ALICE ALVES DE  AQUINO SANTOS"</t>
        </is>
      </c>
      <c r="G1965" s="2" t="inlineStr">
        <is>
          <t>system</t>
        </is>
      </c>
      <c r="H1965" s="2" t="inlineStr">
        <is>
          <t>02.03.02.01 : Cobrança Bancaria</t>
        </is>
      </c>
      <c r="I1965" s="2" t="n"/>
      <c r="J1965" s="3" t="n">
        <v>-0.88</v>
      </c>
      <c r="K1965" s="2">
        <f>IF(H1965="02.09 : Outras Saídas", IF(OR(ISNUMBER(SEARCH("CHEQUE COMPE SICREDI", F1965)), ISNUMBER(SEARCH("aniversario", F1965)), ISNUMBER(SEARCH("churrasco", F1965)), ISNUMBER(SEARCH("bolo", F1965)), ISNUMBER(SEARCH("SUPERMERCADO", F1965))), "6.1 Despesas Administrativas (Pessoal)", IF(OR(ISNUMBER(SEARCH("DLKNET", F1965)), ISNUMBER(SEARCH("TESTE", F1965))), "6.1 Despesas Administrativas (Gerais)", IFERROR(VLOOKUP(H1965, De_Para!A:B, 2, FALSE), "NÃO MAPEADO"))), IFERROR(VLOOKUP(H1965, De_Para!A:B, 2, FALSE), "NÃO MAPEADO"))</f>
        <v/>
      </c>
    </row>
    <row r="1966">
      <c r="A1966" s="2" t="inlineStr">
        <is>
          <t>67720</t>
        </is>
      </c>
      <c r="B1966" s="2" t="inlineStr">
        <is>
          <t>Sicoob</t>
        </is>
      </c>
      <c r="C1966" s="2" t="inlineStr">
        <is>
          <t>03/06/2026</t>
        </is>
      </c>
      <c r="D1966" s="2" t="inlineStr">
        <is>
          <t>03/06/2026</t>
        </is>
      </c>
      <c r="E1966" s="2" t="inlineStr">
        <is>
          <t>Dinheiro</t>
        </is>
      </c>
      <c r="F1966" s="2" t="inlineStr">
        <is>
          <t>Boleto "56435" do cliente "ALICE ALVES DE  AQUINO SANTOS"</t>
        </is>
      </c>
      <c r="G1966" s="2" t="inlineStr">
        <is>
          <t>system</t>
        </is>
      </c>
      <c r="H1966" s="2" t="inlineStr">
        <is>
          <t>01.01.01 : Mensalidade</t>
        </is>
      </c>
      <c r="I1966" s="3" t="n">
        <v>105</v>
      </c>
      <c r="J1966" s="2" t="n"/>
      <c r="K1966" s="2">
        <f>IF(H1966="02.09 : Outras Saídas", IF(OR(ISNUMBER(SEARCH("CHEQUE COMPE SICREDI", F1966)), ISNUMBER(SEARCH("aniversario", F1966)), ISNUMBER(SEARCH("churrasco", F1966)), ISNUMBER(SEARCH("bolo", F1966)), ISNUMBER(SEARCH("SUPERMERCADO", F1966))), "6.1 Despesas Administrativas (Pessoal)", IF(OR(ISNUMBER(SEARCH("DLKNET", F1966)), ISNUMBER(SEARCH("TESTE", F1966))), "6.1 Despesas Administrativas (Gerais)", IFERROR(VLOOKUP(H1966, De_Para!A:B, 2, FALSE), "NÃO MAPEADO"))), IFERROR(VLOOKUP(H1966, De_Para!A:B, 2, FALSE), "NÃO MAPEADO"))</f>
        <v/>
      </c>
    </row>
    <row r="1967">
      <c r="A1967" s="2" t="inlineStr">
        <is>
          <t>67719</t>
        </is>
      </c>
      <c r="B1967" s="2" t="inlineStr">
        <is>
          <t>Sicoob</t>
        </is>
      </c>
      <c r="C1967" s="2" t="inlineStr">
        <is>
          <t>03/06/2026</t>
        </is>
      </c>
      <c r="D1967" s="2" t="inlineStr">
        <is>
          <t>03/06/2026</t>
        </is>
      </c>
      <c r="E1967" s="2" t="inlineStr">
        <is>
          <t>Dinheiro</t>
        </is>
      </c>
      <c r="F1967" s="2" t="inlineStr">
        <is>
          <t>Boleto "56269" do cliente "LOURDES CONCEIÇÃO DA SILVA"</t>
        </is>
      </c>
      <c r="G1967" s="2" t="inlineStr">
        <is>
          <t>system</t>
        </is>
      </c>
      <c r="H1967" s="2" t="inlineStr">
        <is>
          <t>02.03.02.01 : Cobrança Bancaria</t>
        </is>
      </c>
      <c r="I1967" s="2" t="n"/>
      <c r="J1967" s="3" t="n">
        <v>-0.88</v>
      </c>
      <c r="K1967" s="2">
        <f>IF(H1967="02.09 : Outras Saídas", IF(OR(ISNUMBER(SEARCH("CHEQUE COMPE SICREDI", F1967)), ISNUMBER(SEARCH("aniversario", F1967)), ISNUMBER(SEARCH("churrasco", F1967)), ISNUMBER(SEARCH("bolo", F1967)), ISNUMBER(SEARCH("SUPERMERCADO", F1967))), "6.1 Despesas Administrativas (Pessoal)", IF(OR(ISNUMBER(SEARCH("DLKNET", F1967)), ISNUMBER(SEARCH("TESTE", F1967))), "6.1 Despesas Administrativas (Gerais)", IFERROR(VLOOKUP(H1967, De_Para!A:B, 2, FALSE), "NÃO MAPEADO"))), IFERROR(VLOOKUP(H1967, De_Para!A:B, 2, FALSE), "NÃO MAPEADO"))</f>
        <v/>
      </c>
    </row>
    <row r="1968">
      <c r="A1968" s="2" t="inlineStr">
        <is>
          <t>67718</t>
        </is>
      </c>
      <c r="B1968" s="2" t="inlineStr">
        <is>
          <t>Sicoob</t>
        </is>
      </c>
      <c r="C1968" s="2" t="inlineStr">
        <is>
          <t>03/06/2026</t>
        </is>
      </c>
      <c r="D1968" s="2" t="inlineStr">
        <is>
          <t>03/06/2026</t>
        </is>
      </c>
      <c r="E1968" s="2" t="inlineStr">
        <is>
          <t>Dinheiro</t>
        </is>
      </c>
      <c r="F1968" s="2" t="inlineStr">
        <is>
          <t>Boleto "56269" do cliente "LOURDES CONCEIÇÃO DA SILVA"</t>
        </is>
      </c>
      <c r="G1968" s="2" t="inlineStr">
        <is>
          <t>system</t>
        </is>
      </c>
      <c r="H1968" s="2" t="inlineStr">
        <is>
          <t>01.01.01 : Mensalidade</t>
        </is>
      </c>
      <c r="I1968" s="3" t="n">
        <v>105</v>
      </c>
      <c r="J1968" s="2" t="n"/>
      <c r="K1968" s="2">
        <f>IF(H1968="02.09 : Outras Saídas", IF(OR(ISNUMBER(SEARCH("CHEQUE COMPE SICREDI", F1968)), ISNUMBER(SEARCH("aniversario", F1968)), ISNUMBER(SEARCH("churrasco", F1968)), ISNUMBER(SEARCH("bolo", F1968)), ISNUMBER(SEARCH("SUPERMERCADO", F1968))), "6.1 Despesas Administrativas (Pessoal)", IF(OR(ISNUMBER(SEARCH("DLKNET", F1968)), ISNUMBER(SEARCH("TESTE", F1968))), "6.1 Despesas Administrativas (Gerais)", IFERROR(VLOOKUP(H1968, De_Para!A:B, 2, FALSE), "NÃO MAPEADO"))), IFERROR(VLOOKUP(H1968, De_Para!A:B, 2, FALSE), "NÃO MAPEADO"))</f>
        <v/>
      </c>
    </row>
    <row r="1969">
      <c r="A1969" s="2" t="inlineStr">
        <is>
          <t>67717</t>
        </is>
      </c>
      <c r="B1969" s="2" t="inlineStr">
        <is>
          <t>Sicredi SNI</t>
        </is>
      </c>
      <c r="C1969" s="2" t="inlineStr">
        <is>
          <t>03/06/2026</t>
        </is>
      </c>
      <c r="D1969" s="2" t="inlineStr">
        <is>
          <t>03/06/2026</t>
        </is>
      </c>
      <c r="E1969" s="2" t="inlineStr">
        <is>
          <t>PIX</t>
        </is>
      </c>
      <c r="F1969" s="2" t="inlineStr">
        <is>
          <t>Boleto "57008" do cliente "CLAUDIO CESAR BORGES"</t>
        </is>
      </c>
      <c r="G1969" s="2" t="inlineStr">
        <is>
          <t>system</t>
        </is>
      </c>
      <c r="H1969" s="2" t="inlineStr">
        <is>
          <t>02.03.02.01 : Cobrança Bancaria</t>
        </is>
      </c>
      <c r="I1969" s="2" t="n"/>
      <c r="J1969" s="3" t="n">
        <v>-0.49</v>
      </c>
      <c r="K1969" s="2">
        <f>IF(H1969="02.09 : Outras Saídas", IF(OR(ISNUMBER(SEARCH("CHEQUE COMPE SICREDI", F1969)), ISNUMBER(SEARCH("aniversario", F1969)), ISNUMBER(SEARCH("churrasco", F1969)), ISNUMBER(SEARCH("bolo", F1969)), ISNUMBER(SEARCH("SUPERMERCADO", F1969))), "6.1 Despesas Administrativas (Pessoal)", IF(OR(ISNUMBER(SEARCH("DLKNET", F1969)), ISNUMBER(SEARCH("TESTE", F1969))), "6.1 Despesas Administrativas (Gerais)", IFERROR(VLOOKUP(H1969, De_Para!A:B, 2, FALSE), "NÃO MAPEADO"))), IFERROR(VLOOKUP(H1969, De_Para!A:B, 2, FALSE), "NÃO MAPEADO"))</f>
        <v/>
      </c>
    </row>
    <row r="1970">
      <c r="A1970" s="2" t="inlineStr">
        <is>
          <t>67716</t>
        </is>
      </c>
      <c r="B1970" s="2" t="inlineStr">
        <is>
          <t>Sicredi SNI</t>
        </is>
      </c>
      <c r="C1970" s="2" t="inlineStr">
        <is>
          <t>03/06/2026</t>
        </is>
      </c>
      <c r="D1970" s="2" t="inlineStr">
        <is>
          <t>03/06/2026</t>
        </is>
      </c>
      <c r="E1970" s="2" t="inlineStr">
        <is>
          <t>PIX</t>
        </is>
      </c>
      <c r="F1970" s="2" t="inlineStr">
        <is>
          <t>Boleto "57008" do cliente "CLAUDIO CESAR BORGES"</t>
        </is>
      </c>
      <c r="G1970" s="2" t="inlineStr">
        <is>
          <t>system</t>
        </is>
      </c>
      <c r="H1970" s="2" t="inlineStr">
        <is>
          <t>01.01.01 : Mensalidade</t>
        </is>
      </c>
      <c r="I1970" s="3" t="n">
        <v>120</v>
      </c>
      <c r="J1970" s="2" t="n"/>
      <c r="K1970" s="2">
        <f>IF(H1970="02.09 : Outras Saídas", IF(OR(ISNUMBER(SEARCH("CHEQUE COMPE SICREDI", F1970)), ISNUMBER(SEARCH("aniversario", F1970)), ISNUMBER(SEARCH("churrasco", F1970)), ISNUMBER(SEARCH("bolo", F1970)), ISNUMBER(SEARCH("SUPERMERCADO", F1970))), "6.1 Despesas Administrativas (Pessoal)", IF(OR(ISNUMBER(SEARCH("DLKNET", F1970)), ISNUMBER(SEARCH("TESTE", F1970))), "6.1 Despesas Administrativas (Gerais)", IFERROR(VLOOKUP(H1970, De_Para!A:B, 2, FALSE), "NÃO MAPEADO"))), IFERROR(VLOOKUP(H1970, De_Para!A:B, 2, FALSE), "NÃO MAPEADO"))</f>
        <v/>
      </c>
    </row>
    <row r="1971">
      <c r="A1971" s="2" t="inlineStr">
        <is>
          <t>67715</t>
        </is>
      </c>
      <c r="B1971" s="2" t="inlineStr">
        <is>
          <t>Sicredi SNI</t>
        </is>
      </c>
      <c r="C1971" s="2" t="inlineStr">
        <is>
          <t>03/06/2026</t>
        </is>
      </c>
      <c r="D1971" s="2" t="inlineStr">
        <is>
          <t>03/06/2026</t>
        </is>
      </c>
      <c r="E1971" s="2" t="inlineStr">
        <is>
          <t>PIX</t>
        </is>
      </c>
      <c r="F1971" s="2" t="inlineStr">
        <is>
          <t>Boleto "64029" do cliente "ALAN GONCALVES DA SILVA"</t>
        </is>
      </c>
      <c r="G1971" s="2" t="inlineStr">
        <is>
          <t>system</t>
        </is>
      </c>
      <c r="H1971" s="2" t="inlineStr">
        <is>
          <t>02.03.02.01 : Cobrança Bancaria</t>
        </is>
      </c>
      <c r="I1971" s="2" t="n"/>
      <c r="J1971" s="3" t="n">
        <v>-0.49</v>
      </c>
      <c r="K1971" s="2">
        <f>IF(H1971="02.09 : Outras Saídas", IF(OR(ISNUMBER(SEARCH("CHEQUE COMPE SICREDI", F1971)), ISNUMBER(SEARCH("aniversario", F1971)), ISNUMBER(SEARCH("churrasco", F1971)), ISNUMBER(SEARCH("bolo", F1971)), ISNUMBER(SEARCH("SUPERMERCADO", F1971))), "6.1 Despesas Administrativas (Pessoal)", IF(OR(ISNUMBER(SEARCH("DLKNET", F1971)), ISNUMBER(SEARCH("TESTE", F1971))), "6.1 Despesas Administrativas (Gerais)", IFERROR(VLOOKUP(H1971, De_Para!A:B, 2, FALSE), "NÃO MAPEADO"))), IFERROR(VLOOKUP(H1971, De_Para!A:B, 2, FALSE), "NÃO MAPEADO"))</f>
        <v/>
      </c>
    </row>
    <row r="1972">
      <c r="A1972" s="2" t="inlineStr">
        <is>
          <t>67714</t>
        </is>
      </c>
      <c r="B1972" s="2" t="inlineStr">
        <is>
          <t>Sicredi SNI</t>
        </is>
      </c>
      <c r="C1972" s="2" t="inlineStr">
        <is>
          <t>03/06/2026</t>
        </is>
      </c>
      <c r="D1972" s="2" t="inlineStr">
        <is>
          <t>03/06/2026</t>
        </is>
      </c>
      <c r="E1972" s="2" t="inlineStr">
        <is>
          <t>PIX</t>
        </is>
      </c>
      <c r="F1972" s="2" t="inlineStr">
        <is>
          <t>Boleto "64029" do cliente "ALAN GONCALVES DA SILVA"</t>
        </is>
      </c>
      <c r="G1972" s="2" t="inlineStr">
        <is>
          <t>system</t>
        </is>
      </c>
      <c r="H1972" s="2" t="inlineStr">
        <is>
          <t>01.01.01 : Mensalidade</t>
        </is>
      </c>
      <c r="I1972" s="3" t="n">
        <v>104.9</v>
      </c>
      <c r="J1972" s="2" t="n"/>
      <c r="K1972" s="2">
        <f>IF(H1972="02.09 : Outras Saídas", IF(OR(ISNUMBER(SEARCH("CHEQUE COMPE SICREDI", F1972)), ISNUMBER(SEARCH("aniversario", F1972)), ISNUMBER(SEARCH("churrasco", F1972)), ISNUMBER(SEARCH("bolo", F1972)), ISNUMBER(SEARCH("SUPERMERCADO", F1972))), "6.1 Despesas Administrativas (Pessoal)", IF(OR(ISNUMBER(SEARCH("DLKNET", F1972)), ISNUMBER(SEARCH("TESTE", F1972))), "6.1 Despesas Administrativas (Gerais)", IFERROR(VLOOKUP(H1972, De_Para!A:B, 2, FALSE), "NÃO MAPEADO"))), IFERROR(VLOOKUP(H1972, De_Para!A:B, 2, FALSE), "NÃO MAPEADO"))</f>
        <v/>
      </c>
    </row>
    <row r="1973">
      <c r="A1973" s="2" t="inlineStr">
        <is>
          <t>67713</t>
        </is>
      </c>
      <c r="B1973" s="2" t="inlineStr">
        <is>
          <t>Sicredi SNI</t>
        </is>
      </c>
      <c r="C1973" s="2" t="inlineStr">
        <is>
          <t>03/06/2026</t>
        </is>
      </c>
      <c r="D1973" s="2" t="inlineStr">
        <is>
          <t>03/06/2026</t>
        </is>
      </c>
      <c r="E1973" s="2" t="inlineStr">
        <is>
          <t>PIX</t>
        </is>
      </c>
      <c r="F1973" s="2" t="inlineStr">
        <is>
          <t>Boleto "62862" do cliente "JOAO CUENCA DA SILVA"</t>
        </is>
      </c>
      <c r="G1973" s="2" t="inlineStr">
        <is>
          <t>system</t>
        </is>
      </c>
      <c r="H1973" s="2" t="inlineStr">
        <is>
          <t>02.03.02.01 : Cobrança Bancaria</t>
        </is>
      </c>
      <c r="I1973" s="2" t="n"/>
      <c r="J1973" s="3" t="n">
        <v>-0.49</v>
      </c>
      <c r="K1973" s="2">
        <f>IF(H1973="02.09 : Outras Saídas", IF(OR(ISNUMBER(SEARCH("CHEQUE COMPE SICREDI", F1973)), ISNUMBER(SEARCH("aniversario", F1973)), ISNUMBER(SEARCH("churrasco", F1973)), ISNUMBER(SEARCH("bolo", F1973)), ISNUMBER(SEARCH("SUPERMERCADO", F1973))), "6.1 Despesas Administrativas (Pessoal)", IF(OR(ISNUMBER(SEARCH("DLKNET", F1973)), ISNUMBER(SEARCH("TESTE", F1973))), "6.1 Despesas Administrativas (Gerais)", IFERROR(VLOOKUP(H1973, De_Para!A:B, 2, FALSE), "NÃO MAPEADO"))), IFERROR(VLOOKUP(H1973, De_Para!A:B, 2, FALSE), "NÃO MAPEADO"))</f>
        <v/>
      </c>
    </row>
    <row r="1974">
      <c r="A1974" s="2" t="inlineStr">
        <is>
          <t>67712</t>
        </is>
      </c>
      <c r="B1974" s="2" t="inlineStr">
        <is>
          <t>Sicredi SNI</t>
        </is>
      </c>
      <c r="C1974" s="2" t="inlineStr">
        <is>
          <t>03/06/2026</t>
        </is>
      </c>
      <c r="D1974" s="2" t="inlineStr">
        <is>
          <t>03/06/2026</t>
        </is>
      </c>
      <c r="E1974" s="2" t="inlineStr">
        <is>
          <t>PIX</t>
        </is>
      </c>
      <c r="F1974" s="2" t="inlineStr">
        <is>
          <t>Boleto "62862" do cliente "JOAO CUENCA DA SILVA"</t>
        </is>
      </c>
      <c r="G1974" s="2" t="inlineStr">
        <is>
          <t>system</t>
        </is>
      </c>
      <c r="H1974" s="2" t="inlineStr">
        <is>
          <t>01.01.01 : Mensalidade</t>
        </is>
      </c>
      <c r="I1974" s="3" t="n">
        <v>119.9</v>
      </c>
      <c r="J1974" s="2" t="n"/>
      <c r="K1974" s="2">
        <f>IF(H1974="02.09 : Outras Saídas", IF(OR(ISNUMBER(SEARCH("CHEQUE COMPE SICREDI", F1974)), ISNUMBER(SEARCH("aniversario", F1974)), ISNUMBER(SEARCH("churrasco", F1974)), ISNUMBER(SEARCH("bolo", F1974)), ISNUMBER(SEARCH("SUPERMERCADO", F1974))), "6.1 Despesas Administrativas (Pessoal)", IF(OR(ISNUMBER(SEARCH("DLKNET", F1974)), ISNUMBER(SEARCH("TESTE", F1974))), "6.1 Despesas Administrativas (Gerais)", IFERROR(VLOOKUP(H1974, De_Para!A:B, 2, FALSE), "NÃO MAPEADO"))), IFERROR(VLOOKUP(H1974, De_Para!A:B, 2, FALSE), "NÃO MAPEADO"))</f>
        <v/>
      </c>
    </row>
    <row r="1975">
      <c r="A1975" s="2" t="inlineStr">
        <is>
          <t>67711</t>
        </is>
      </c>
      <c r="B1975" s="2" t="inlineStr">
        <is>
          <t>Sicredi SNI</t>
        </is>
      </c>
      <c r="C1975" s="2" t="inlineStr">
        <is>
          <t>03/06/2026</t>
        </is>
      </c>
      <c r="D1975" s="2" t="inlineStr">
        <is>
          <t>03/06/2026</t>
        </is>
      </c>
      <c r="E1975" s="2" t="inlineStr">
        <is>
          <t>Dinheiro</t>
        </is>
      </c>
      <c r="F1975" s="2" t="inlineStr">
        <is>
          <t>Boleto "62814" do cliente "OSVALDO ALVES"</t>
        </is>
      </c>
      <c r="G1975" s="2" t="inlineStr">
        <is>
          <t>system</t>
        </is>
      </c>
      <c r="H1975" s="2" t="inlineStr">
        <is>
          <t>02.03.02.01 : Cobrança Bancaria</t>
        </is>
      </c>
      <c r="I1975" s="2" t="n"/>
      <c r="J1975" s="3" t="n">
        <v>-1.08</v>
      </c>
      <c r="K1975" s="2">
        <f>IF(H1975="02.09 : Outras Saídas", IF(OR(ISNUMBER(SEARCH("CHEQUE COMPE SICREDI", F1975)), ISNUMBER(SEARCH("aniversario", F1975)), ISNUMBER(SEARCH("churrasco", F1975)), ISNUMBER(SEARCH("bolo", F1975)), ISNUMBER(SEARCH("SUPERMERCADO", F1975))), "6.1 Despesas Administrativas (Pessoal)", IF(OR(ISNUMBER(SEARCH("DLKNET", F1975)), ISNUMBER(SEARCH("TESTE", F1975))), "6.1 Despesas Administrativas (Gerais)", IFERROR(VLOOKUP(H1975, De_Para!A:B, 2, FALSE), "NÃO MAPEADO"))), IFERROR(VLOOKUP(H1975, De_Para!A:B, 2, FALSE), "NÃO MAPEADO"))</f>
        <v/>
      </c>
    </row>
    <row r="1976">
      <c r="A1976" s="2" t="inlineStr">
        <is>
          <t>67710</t>
        </is>
      </c>
      <c r="B1976" s="2" t="inlineStr">
        <is>
          <t>Sicredi SNI</t>
        </is>
      </c>
      <c r="C1976" s="2" t="inlineStr">
        <is>
          <t>03/06/2026</t>
        </is>
      </c>
      <c r="D1976" s="2" t="inlineStr">
        <is>
          <t>03/06/2026</t>
        </is>
      </c>
      <c r="E1976" s="2" t="inlineStr">
        <is>
          <t>Dinheiro</t>
        </is>
      </c>
      <c r="F1976" s="2" t="inlineStr">
        <is>
          <t>Boleto "62814" do cliente "OSVALDO ALVES"</t>
        </is>
      </c>
      <c r="G1976" s="2" t="inlineStr">
        <is>
          <t>system</t>
        </is>
      </c>
      <c r="H1976" s="2" t="inlineStr">
        <is>
          <t>01.03.01 : Mensalidade</t>
        </is>
      </c>
      <c r="I1976" s="3" t="n">
        <v>105</v>
      </c>
      <c r="J1976" s="2" t="n"/>
      <c r="K1976" s="2">
        <f>IF(H1976="02.09 : Outras Saídas", IF(OR(ISNUMBER(SEARCH("CHEQUE COMPE SICREDI", F1976)), ISNUMBER(SEARCH("aniversario", F1976)), ISNUMBER(SEARCH("churrasco", F1976)), ISNUMBER(SEARCH("bolo", F1976)), ISNUMBER(SEARCH("SUPERMERCADO", F1976))), "6.1 Despesas Administrativas (Pessoal)", IF(OR(ISNUMBER(SEARCH("DLKNET", F1976)), ISNUMBER(SEARCH("TESTE", F1976))), "6.1 Despesas Administrativas (Gerais)", IFERROR(VLOOKUP(H1976, De_Para!A:B, 2, FALSE), "NÃO MAPEADO"))), IFERROR(VLOOKUP(H1976, De_Para!A:B, 2, FALSE), "NÃO MAPEADO"))</f>
        <v/>
      </c>
    </row>
    <row r="1977">
      <c r="A1977" s="2" t="inlineStr">
        <is>
          <t>67709</t>
        </is>
      </c>
      <c r="B1977" s="2" t="inlineStr">
        <is>
          <t>Sicoob</t>
        </is>
      </c>
      <c r="C1977" s="2" t="inlineStr">
        <is>
          <t>03/06/2026</t>
        </is>
      </c>
      <c r="D1977" s="2" t="inlineStr">
        <is>
          <t>03/06/2026</t>
        </is>
      </c>
      <c r="E1977" s="2" t="inlineStr">
        <is>
          <t>Dinheiro</t>
        </is>
      </c>
      <c r="F1977" s="2" t="inlineStr">
        <is>
          <t>Boleto "69575" do cliente "MAIKON DOUGLAS MARTINS"</t>
        </is>
      </c>
      <c r="G1977" s="2" t="inlineStr">
        <is>
          <t>system</t>
        </is>
      </c>
      <c r="H1977" s="2" t="inlineStr">
        <is>
          <t>02.03.02.01 : Cobrança Bancaria</t>
        </is>
      </c>
      <c r="I1977" s="2" t="n"/>
      <c r="J1977" s="3" t="n">
        <v>-0.88</v>
      </c>
      <c r="K1977" s="2">
        <f>IF(H1977="02.09 : Outras Saídas", IF(OR(ISNUMBER(SEARCH("CHEQUE COMPE SICREDI", F1977)), ISNUMBER(SEARCH("aniversario", F1977)), ISNUMBER(SEARCH("churrasco", F1977)), ISNUMBER(SEARCH("bolo", F1977)), ISNUMBER(SEARCH("SUPERMERCADO", F1977))), "6.1 Despesas Administrativas (Pessoal)", IF(OR(ISNUMBER(SEARCH("DLKNET", F1977)), ISNUMBER(SEARCH("TESTE", F1977))), "6.1 Despesas Administrativas (Gerais)", IFERROR(VLOOKUP(H1977, De_Para!A:B, 2, FALSE), "NÃO MAPEADO"))), IFERROR(VLOOKUP(H1977, De_Para!A:B, 2, FALSE), "NÃO MAPEADO"))</f>
        <v/>
      </c>
    </row>
    <row r="1978">
      <c r="A1978" s="2" t="inlineStr">
        <is>
          <t>67708</t>
        </is>
      </c>
      <c r="B1978" s="2" t="inlineStr">
        <is>
          <t>Sicoob</t>
        </is>
      </c>
      <c r="C1978" s="2" t="inlineStr">
        <is>
          <t>03/06/2026</t>
        </is>
      </c>
      <c r="D1978" s="2" t="inlineStr">
        <is>
          <t>03/06/2026</t>
        </is>
      </c>
      <c r="E1978" s="2" t="inlineStr">
        <is>
          <t>Dinheiro</t>
        </is>
      </c>
      <c r="F1978" s="2" t="inlineStr">
        <is>
          <t>Boleto "69575" do cliente "MAIKON DOUGLAS MARTINS"</t>
        </is>
      </c>
      <c r="G1978" s="2" t="inlineStr">
        <is>
          <t>system</t>
        </is>
      </c>
      <c r="H1978" s="2" t="inlineStr">
        <is>
          <t>01.01.01 : Mensalidade</t>
        </is>
      </c>
      <c r="I1978" s="3" t="n">
        <v>102.4</v>
      </c>
      <c r="J1978" s="2" t="n"/>
      <c r="K1978" s="2">
        <f>IF(H1978="02.09 : Outras Saídas", IF(OR(ISNUMBER(SEARCH("CHEQUE COMPE SICREDI", F1978)), ISNUMBER(SEARCH("aniversario", F1978)), ISNUMBER(SEARCH("churrasco", F1978)), ISNUMBER(SEARCH("bolo", F1978)), ISNUMBER(SEARCH("SUPERMERCADO", F1978))), "6.1 Despesas Administrativas (Pessoal)", IF(OR(ISNUMBER(SEARCH("DLKNET", F1978)), ISNUMBER(SEARCH("TESTE", F1978))), "6.1 Despesas Administrativas (Gerais)", IFERROR(VLOOKUP(H1978, De_Para!A:B, 2, FALSE), "NÃO MAPEADO"))), IFERROR(VLOOKUP(H1978, De_Para!A:B, 2, FALSE), "NÃO MAPEADO"))</f>
        <v/>
      </c>
    </row>
    <row r="1979">
      <c r="A1979" s="2" t="inlineStr">
        <is>
          <t>67707</t>
        </is>
      </c>
      <c r="B1979" s="2" t="inlineStr">
        <is>
          <t>Sicoob</t>
        </is>
      </c>
      <c r="C1979" s="2" t="inlineStr">
        <is>
          <t>03/06/2026</t>
        </is>
      </c>
      <c r="D1979" s="2" t="inlineStr">
        <is>
          <t>03/06/2026</t>
        </is>
      </c>
      <c r="E1979" s="2" t="inlineStr">
        <is>
          <t>Dinheiro</t>
        </is>
      </c>
      <c r="F1979" s="2" t="inlineStr">
        <is>
          <t>Boleto "66677" do cliente "ISOLINA DE FATIMA MOREIRA DA FONSECA"</t>
        </is>
      </c>
      <c r="G1979" s="2" t="inlineStr">
        <is>
          <t>system</t>
        </is>
      </c>
      <c r="H1979" s="2" t="inlineStr">
        <is>
          <t>02.03.02.01 : Cobrança Bancaria</t>
        </is>
      </c>
      <c r="I1979" s="2" t="n"/>
      <c r="J1979" s="3" t="n">
        <v>-0.88</v>
      </c>
      <c r="K1979" s="2">
        <f>IF(H1979="02.09 : Outras Saídas", IF(OR(ISNUMBER(SEARCH("CHEQUE COMPE SICREDI", F1979)), ISNUMBER(SEARCH("aniversario", F1979)), ISNUMBER(SEARCH("churrasco", F1979)), ISNUMBER(SEARCH("bolo", F1979)), ISNUMBER(SEARCH("SUPERMERCADO", F1979))), "6.1 Despesas Administrativas (Pessoal)", IF(OR(ISNUMBER(SEARCH("DLKNET", F1979)), ISNUMBER(SEARCH("TESTE", F1979))), "6.1 Despesas Administrativas (Gerais)", IFERROR(VLOOKUP(H1979, De_Para!A:B, 2, FALSE), "NÃO MAPEADO"))), IFERROR(VLOOKUP(H1979, De_Para!A:B, 2, FALSE), "NÃO MAPEADO"))</f>
        <v/>
      </c>
    </row>
    <row r="1980">
      <c r="A1980" s="2" t="inlineStr">
        <is>
          <t>67706</t>
        </is>
      </c>
      <c r="B1980" s="2" t="inlineStr">
        <is>
          <t>Sicoob</t>
        </is>
      </c>
      <c r="C1980" s="2" t="inlineStr">
        <is>
          <t>03/06/2026</t>
        </is>
      </c>
      <c r="D1980" s="2" t="inlineStr">
        <is>
          <t>03/06/2026</t>
        </is>
      </c>
      <c r="E1980" s="2" t="inlineStr">
        <is>
          <t>Dinheiro</t>
        </is>
      </c>
      <c r="F1980" s="2" t="inlineStr">
        <is>
          <t>Boleto "66677" do cliente "ISOLINA DE FATIMA MOREIRA DA FONSECA"</t>
        </is>
      </c>
      <c r="G1980" s="2" t="inlineStr">
        <is>
          <t>system</t>
        </is>
      </c>
      <c r="H1980" s="2" t="inlineStr">
        <is>
          <t>01.01.01 : Mensalidade</t>
        </is>
      </c>
      <c r="I1980" s="3" t="n">
        <v>104.9</v>
      </c>
      <c r="J1980" s="2" t="n"/>
      <c r="K1980" s="2">
        <f>IF(H1980="02.09 : Outras Saídas", IF(OR(ISNUMBER(SEARCH("CHEQUE COMPE SICREDI", F1980)), ISNUMBER(SEARCH("aniversario", F1980)), ISNUMBER(SEARCH("churrasco", F1980)), ISNUMBER(SEARCH("bolo", F1980)), ISNUMBER(SEARCH("SUPERMERCADO", F1980))), "6.1 Despesas Administrativas (Pessoal)", IF(OR(ISNUMBER(SEARCH("DLKNET", F1980)), ISNUMBER(SEARCH("TESTE", F1980))), "6.1 Despesas Administrativas (Gerais)", IFERROR(VLOOKUP(H1980, De_Para!A:B, 2, FALSE), "NÃO MAPEADO"))), IFERROR(VLOOKUP(H1980, De_Para!A:B, 2, FALSE), "NÃO MAPEADO"))</f>
        <v/>
      </c>
    </row>
    <row r="1981">
      <c r="A1981" s="2" t="inlineStr">
        <is>
          <t>67705</t>
        </is>
      </c>
      <c r="B1981" s="2" t="inlineStr">
        <is>
          <t>Sicoob</t>
        </is>
      </c>
      <c r="C1981" s="2" t="inlineStr">
        <is>
          <t>03/06/2026</t>
        </is>
      </c>
      <c r="D1981" s="2" t="inlineStr">
        <is>
          <t>03/06/2026</t>
        </is>
      </c>
      <c r="E1981" s="2" t="inlineStr">
        <is>
          <t>Dinheiro</t>
        </is>
      </c>
      <c r="F1981" s="2" t="inlineStr">
        <is>
          <t>Boleto "64732" do cliente "ELZA BICUDO DE OLIVEIRA"</t>
        </is>
      </c>
      <c r="G1981" s="2" t="inlineStr">
        <is>
          <t>system</t>
        </is>
      </c>
      <c r="H1981" s="2" t="inlineStr">
        <is>
          <t>02.03.02.01 : Cobrança Bancaria</t>
        </is>
      </c>
      <c r="I1981" s="2" t="n"/>
      <c r="J1981" s="3" t="n">
        <v>-0.88</v>
      </c>
      <c r="K1981" s="2">
        <f>IF(H1981="02.09 : Outras Saídas", IF(OR(ISNUMBER(SEARCH("CHEQUE COMPE SICREDI", F1981)), ISNUMBER(SEARCH("aniversario", F1981)), ISNUMBER(SEARCH("churrasco", F1981)), ISNUMBER(SEARCH("bolo", F1981)), ISNUMBER(SEARCH("SUPERMERCADO", F1981))), "6.1 Despesas Administrativas (Pessoal)", IF(OR(ISNUMBER(SEARCH("DLKNET", F1981)), ISNUMBER(SEARCH("TESTE", F1981))), "6.1 Despesas Administrativas (Gerais)", IFERROR(VLOOKUP(H1981, De_Para!A:B, 2, FALSE), "NÃO MAPEADO"))), IFERROR(VLOOKUP(H1981, De_Para!A:B, 2, FALSE), "NÃO MAPEADO"))</f>
        <v/>
      </c>
    </row>
    <row r="1982">
      <c r="A1982" s="2" t="inlineStr">
        <is>
          <t>67704</t>
        </is>
      </c>
      <c r="B1982" s="2" t="inlineStr">
        <is>
          <t>Sicoob</t>
        </is>
      </c>
      <c r="C1982" s="2" t="inlineStr">
        <is>
          <t>03/06/2026</t>
        </is>
      </c>
      <c r="D1982" s="2" t="inlineStr">
        <is>
          <t>03/06/2026</t>
        </is>
      </c>
      <c r="E1982" s="2" t="inlineStr">
        <is>
          <t>Dinheiro</t>
        </is>
      </c>
      <c r="F1982" s="2" t="inlineStr">
        <is>
          <t>Boleto "64732" do cliente "ELZA BICUDO DE OLIVEIRA"</t>
        </is>
      </c>
      <c r="G1982" s="2" t="inlineStr">
        <is>
          <t>system</t>
        </is>
      </c>
      <c r="H1982" s="2" t="inlineStr">
        <is>
          <t>01.03.01 : Mensalidade</t>
        </is>
      </c>
      <c r="I1982" s="3" t="n">
        <v>105</v>
      </c>
      <c r="J1982" s="2" t="n"/>
      <c r="K1982" s="2">
        <f>IF(H1982="02.09 : Outras Saídas", IF(OR(ISNUMBER(SEARCH("CHEQUE COMPE SICREDI", F1982)), ISNUMBER(SEARCH("aniversario", F1982)), ISNUMBER(SEARCH("churrasco", F1982)), ISNUMBER(SEARCH("bolo", F1982)), ISNUMBER(SEARCH("SUPERMERCADO", F1982))), "6.1 Despesas Administrativas (Pessoal)", IF(OR(ISNUMBER(SEARCH("DLKNET", F1982)), ISNUMBER(SEARCH("TESTE", F1982))), "6.1 Despesas Administrativas (Gerais)", IFERROR(VLOOKUP(H1982, De_Para!A:B, 2, FALSE), "NÃO MAPEADO"))), IFERROR(VLOOKUP(H1982, De_Para!A:B, 2, FALSE), "NÃO MAPEADO"))</f>
        <v/>
      </c>
    </row>
    <row r="1983">
      <c r="A1983" s="2" t="inlineStr">
        <is>
          <t>67703</t>
        </is>
      </c>
      <c r="B1983" s="2" t="inlineStr">
        <is>
          <t>Sicoob</t>
        </is>
      </c>
      <c r="C1983" s="2" t="inlineStr">
        <is>
          <t>03/06/2026</t>
        </is>
      </c>
      <c r="D1983" s="2" t="inlineStr">
        <is>
          <t>03/06/2026</t>
        </is>
      </c>
      <c r="E1983" s="2" t="inlineStr">
        <is>
          <t>Dinheiro</t>
        </is>
      </c>
      <c r="F1983" s="2" t="inlineStr">
        <is>
          <t>Boleto "59512" do cliente "MARCOS SOUZA ESPLUGUES"</t>
        </is>
      </c>
      <c r="G1983" s="2" t="inlineStr">
        <is>
          <t>system</t>
        </is>
      </c>
      <c r="H1983" s="2" t="inlineStr">
        <is>
          <t>02.03.02.01 : Cobrança Bancaria</t>
        </is>
      </c>
      <c r="I1983" s="2" t="n"/>
      <c r="J1983" s="3" t="n">
        <v>-0.88</v>
      </c>
      <c r="K1983" s="2">
        <f>IF(H1983="02.09 : Outras Saídas", IF(OR(ISNUMBER(SEARCH("CHEQUE COMPE SICREDI", F1983)), ISNUMBER(SEARCH("aniversario", F1983)), ISNUMBER(SEARCH("churrasco", F1983)), ISNUMBER(SEARCH("bolo", F1983)), ISNUMBER(SEARCH("SUPERMERCADO", F1983))), "6.1 Despesas Administrativas (Pessoal)", IF(OR(ISNUMBER(SEARCH("DLKNET", F1983)), ISNUMBER(SEARCH("TESTE", F1983))), "6.1 Despesas Administrativas (Gerais)", IFERROR(VLOOKUP(H1983, De_Para!A:B, 2, FALSE), "NÃO MAPEADO"))), IFERROR(VLOOKUP(H1983, De_Para!A:B, 2, FALSE), "NÃO MAPEADO"))</f>
        <v/>
      </c>
    </row>
    <row r="1984">
      <c r="A1984" s="2" t="inlineStr">
        <is>
          <t>67702</t>
        </is>
      </c>
      <c r="B1984" s="2" t="inlineStr">
        <is>
          <t>Sicoob</t>
        </is>
      </c>
      <c r="C1984" s="2" t="inlineStr">
        <is>
          <t>03/06/2026</t>
        </is>
      </c>
      <c r="D1984" s="2" t="inlineStr">
        <is>
          <t>03/06/2026</t>
        </is>
      </c>
      <c r="E1984" s="2" t="inlineStr">
        <is>
          <t>Dinheiro</t>
        </is>
      </c>
      <c r="F1984" s="2" t="inlineStr">
        <is>
          <t>Boleto "59512" do cliente "MARCOS SOUZA ESPLUGUES"</t>
        </is>
      </c>
      <c r="G1984" s="2" t="inlineStr">
        <is>
          <t>system</t>
        </is>
      </c>
      <c r="H1984" s="2" t="inlineStr">
        <is>
          <t>01.01.01 : Mensalidade</t>
        </is>
      </c>
      <c r="I1984" s="3" t="n">
        <v>105</v>
      </c>
      <c r="J1984" s="2" t="n"/>
      <c r="K1984" s="2">
        <f>IF(H1984="02.09 : Outras Saídas", IF(OR(ISNUMBER(SEARCH("CHEQUE COMPE SICREDI", F1984)), ISNUMBER(SEARCH("aniversario", F1984)), ISNUMBER(SEARCH("churrasco", F1984)), ISNUMBER(SEARCH("bolo", F1984)), ISNUMBER(SEARCH("SUPERMERCADO", F1984))), "6.1 Despesas Administrativas (Pessoal)", IF(OR(ISNUMBER(SEARCH("DLKNET", F1984)), ISNUMBER(SEARCH("TESTE", F1984))), "6.1 Despesas Administrativas (Gerais)", IFERROR(VLOOKUP(H1984, De_Para!A:B, 2, FALSE), "NÃO MAPEADO"))), IFERROR(VLOOKUP(H1984, De_Para!A:B, 2, FALSE), "NÃO MAPEADO"))</f>
        <v/>
      </c>
    </row>
    <row r="1985">
      <c r="A1985" s="2" t="inlineStr">
        <is>
          <t>67701</t>
        </is>
      </c>
      <c r="B1985" s="2" t="inlineStr">
        <is>
          <t>Sicoob</t>
        </is>
      </c>
      <c r="C1985" s="2" t="inlineStr">
        <is>
          <t>03/06/2026</t>
        </is>
      </c>
      <c r="D1985" s="2" t="inlineStr">
        <is>
          <t>03/06/2026</t>
        </is>
      </c>
      <c r="E1985" s="2" t="inlineStr">
        <is>
          <t>Dinheiro</t>
        </is>
      </c>
      <c r="F1985" s="2" t="inlineStr">
        <is>
          <t>Boleto "57524" do cliente "ELISEU DA LUZ ALVES"</t>
        </is>
      </c>
      <c r="G1985" s="2" t="inlineStr">
        <is>
          <t>system</t>
        </is>
      </c>
      <c r="H1985" s="2" t="inlineStr">
        <is>
          <t>02.03.02.01 : Cobrança Bancaria</t>
        </is>
      </c>
      <c r="I1985" s="2" t="n"/>
      <c r="J1985" s="3" t="n">
        <v>-0.88</v>
      </c>
      <c r="K1985" s="2">
        <f>IF(H1985="02.09 : Outras Saídas", IF(OR(ISNUMBER(SEARCH("CHEQUE COMPE SICREDI", F1985)), ISNUMBER(SEARCH("aniversario", F1985)), ISNUMBER(SEARCH("churrasco", F1985)), ISNUMBER(SEARCH("bolo", F1985)), ISNUMBER(SEARCH("SUPERMERCADO", F1985))), "6.1 Despesas Administrativas (Pessoal)", IF(OR(ISNUMBER(SEARCH("DLKNET", F1985)), ISNUMBER(SEARCH("TESTE", F1985))), "6.1 Despesas Administrativas (Gerais)", IFERROR(VLOOKUP(H1985, De_Para!A:B, 2, FALSE), "NÃO MAPEADO"))), IFERROR(VLOOKUP(H1985, De_Para!A:B, 2, FALSE), "NÃO MAPEADO"))</f>
        <v/>
      </c>
    </row>
    <row r="1986">
      <c r="A1986" s="2" t="inlineStr">
        <is>
          <t>67700</t>
        </is>
      </c>
      <c r="B1986" s="2" t="inlineStr">
        <is>
          <t>Sicoob</t>
        </is>
      </c>
      <c r="C1986" s="2" t="inlineStr">
        <is>
          <t>03/06/2026</t>
        </is>
      </c>
      <c r="D1986" s="2" t="inlineStr">
        <is>
          <t>03/06/2026</t>
        </is>
      </c>
      <c r="E1986" s="2" t="inlineStr">
        <is>
          <t>Dinheiro</t>
        </is>
      </c>
      <c r="F1986" s="2" t="inlineStr">
        <is>
          <t>Boleto "57524" do cliente "ELISEU DA LUZ ALVES"</t>
        </is>
      </c>
      <c r="G1986" s="2" t="inlineStr">
        <is>
          <t>system</t>
        </is>
      </c>
      <c r="H1986" s="2" t="inlineStr">
        <is>
          <t>01.01.01 : Mensalidade</t>
        </is>
      </c>
      <c r="I1986" s="3" t="n">
        <v>105</v>
      </c>
      <c r="J1986" s="2" t="n"/>
      <c r="K1986" s="2">
        <f>IF(H1986="02.09 : Outras Saídas", IF(OR(ISNUMBER(SEARCH("CHEQUE COMPE SICREDI", F1986)), ISNUMBER(SEARCH("aniversario", F1986)), ISNUMBER(SEARCH("churrasco", F1986)), ISNUMBER(SEARCH("bolo", F1986)), ISNUMBER(SEARCH("SUPERMERCADO", F1986))), "6.1 Despesas Administrativas (Pessoal)", IF(OR(ISNUMBER(SEARCH("DLKNET", F1986)), ISNUMBER(SEARCH("TESTE", F1986))), "6.1 Despesas Administrativas (Gerais)", IFERROR(VLOOKUP(H1986, De_Para!A:B, 2, FALSE), "NÃO MAPEADO"))), IFERROR(VLOOKUP(H1986, De_Para!A:B, 2, FALSE), "NÃO MAPEADO"))</f>
        <v/>
      </c>
    </row>
    <row r="1987">
      <c r="A1987" s="2" t="inlineStr">
        <is>
          <t>67699</t>
        </is>
      </c>
      <c r="B1987" s="2" t="inlineStr">
        <is>
          <t>Sicredi SNI</t>
        </is>
      </c>
      <c r="C1987" s="2" t="inlineStr">
        <is>
          <t>03/06/2026</t>
        </is>
      </c>
      <c r="D1987" s="2" t="inlineStr">
        <is>
          <t>03/06/2026</t>
        </is>
      </c>
      <c r="E1987" s="2" t="inlineStr">
        <is>
          <t>PIX</t>
        </is>
      </c>
      <c r="F1987" s="2" t="inlineStr">
        <is>
          <t>Boleto "59418" do cliente "SINVAL APARECIDO DA ROSA"</t>
        </is>
      </c>
      <c r="G1987" s="2" t="inlineStr">
        <is>
          <t>system</t>
        </is>
      </c>
      <c r="H1987" s="2" t="inlineStr">
        <is>
          <t>02.03.02.01 : Cobrança Bancaria</t>
        </is>
      </c>
      <c r="I1987" s="2" t="n"/>
      <c r="J1987" s="3" t="n">
        <v>-0.49</v>
      </c>
      <c r="K1987" s="2">
        <f>IF(H1987="02.09 : Outras Saídas", IF(OR(ISNUMBER(SEARCH("CHEQUE COMPE SICREDI", F1987)), ISNUMBER(SEARCH("aniversario", F1987)), ISNUMBER(SEARCH("churrasco", F1987)), ISNUMBER(SEARCH("bolo", F1987)), ISNUMBER(SEARCH("SUPERMERCADO", F1987))), "6.1 Despesas Administrativas (Pessoal)", IF(OR(ISNUMBER(SEARCH("DLKNET", F1987)), ISNUMBER(SEARCH("TESTE", F1987))), "6.1 Despesas Administrativas (Gerais)", IFERROR(VLOOKUP(H1987, De_Para!A:B, 2, FALSE), "NÃO MAPEADO"))), IFERROR(VLOOKUP(H1987, De_Para!A:B, 2, FALSE), "NÃO MAPEADO"))</f>
        <v/>
      </c>
    </row>
    <row r="1988">
      <c r="A1988" s="2" t="inlineStr">
        <is>
          <t>67698</t>
        </is>
      </c>
      <c r="B1988" s="2" t="inlineStr">
        <is>
          <t>Sicredi SNI</t>
        </is>
      </c>
      <c r="C1988" s="2" t="inlineStr">
        <is>
          <t>03/06/2026</t>
        </is>
      </c>
      <c r="D1988" s="2" t="inlineStr">
        <is>
          <t>03/06/2026</t>
        </is>
      </c>
      <c r="E1988" s="2" t="inlineStr">
        <is>
          <t>PIX</t>
        </is>
      </c>
      <c r="F1988" s="2" t="inlineStr">
        <is>
          <t>Boleto "59418" do cliente "SINVAL APARECIDO DA ROSA"</t>
        </is>
      </c>
      <c r="G1988" s="2" t="inlineStr">
        <is>
          <t>system</t>
        </is>
      </c>
      <c r="H1988" s="2" t="inlineStr">
        <is>
          <t>01.01.01 : Mensalidade</t>
        </is>
      </c>
      <c r="I1988" s="3" t="n">
        <v>112.27</v>
      </c>
      <c r="J1988" s="2" t="n"/>
      <c r="K1988" s="2">
        <f>IF(H1988="02.09 : Outras Saídas", IF(OR(ISNUMBER(SEARCH("CHEQUE COMPE SICREDI", F1988)), ISNUMBER(SEARCH("aniversario", F1988)), ISNUMBER(SEARCH("churrasco", F1988)), ISNUMBER(SEARCH("bolo", F1988)), ISNUMBER(SEARCH("SUPERMERCADO", F1988))), "6.1 Despesas Administrativas (Pessoal)", IF(OR(ISNUMBER(SEARCH("DLKNET", F1988)), ISNUMBER(SEARCH("TESTE", F1988))), "6.1 Despesas Administrativas (Gerais)", IFERROR(VLOOKUP(H1988, De_Para!A:B, 2, FALSE), "NÃO MAPEADO"))), IFERROR(VLOOKUP(H1988, De_Para!A:B, 2, FALSE), "NÃO MAPEADO"))</f>
        <v/>
      </c>
    </row>
    <row r="1989">
      <c r="A1989" s="2" t="inlineStr">
        <is>
          <t>67697</t>
        </is>
      </c>
      <c r="B1989" s="2" t="inlineStr">
        <is>
          <t>Sicredi SNI</t>
        </is>
      </c>
      <c r="C1989" s="2" t="inlineStr">
        <is>
          <t>03/06/2026</t>
        </is>
      </c>
      <c r="D1989" s="2" t="inlineStr">
        <is>
          <t>03/06/2026</t>
        </is>
      </c>
      <c r="E1989" s="2" t="inlineStr">
        <is>
          <t>Débito em Conta</t>
        </is>
      </c>
      <c r="F1989" s="2" t="inlineStr">
        <is>
          <t>DEBITO CONVENIOS ID 11705126 TOKIO MARINE SEGURA</t>
        </is>
      </c>
      <c r="G1989" s="2" t="inlineStr">
        <is>
          <t>clau</t>
        </is>
      </c>
      <c r="H1989" s="2" t="inlineStr">
        <is>
          <t>02.10.02 : SEGURO</t>
        </is>
      </c>
      <c r="I1989" s="2" t="n"/>
      <c r="J1989" s="3" t="n">
        <v>-92.88</v>
      </c>
      <c r="K1989" s="2">
        <f>IF(H1989="02.09 : Outras Saídas", IF(OR(ISNUMBER(SEARCH("CHEQUE COMPE SICREDI", F1989)), ISNUMBER(SEARCH("aniversario", F1989)), ISNUMBER(SEARCH("churrasco", F1989)), ISNUMBER(SEARCH("bolo", F1989)), ISNUMBER(SEARCH("SUPERMERCADO", F1989))), "6.1 Despesas Administrativas (Pessoal)", IF(OR(ISNUMBER(SEARCH("DLKNET", F1989)), ISNUMBER(SEARCH("TESTE", F1989))), "6.1 Despesas Administrativas (Gerais)", IFERROR(VLOOKUP(H1989, De_Para!A:B, 2, FALSE), "NÃO MAPEADO"))), IFERROR(VLOOKUP(H1989, De_Para!A:B, 2, FALSE), "NÃO MAPEADO"))</f>
        <v/>
      </c>
    </row>
    <row r="1990">
      <c r="A1990" s="2" t="inlineStr">
        <is>
          <t>67696</t>
        </is>
      </c>
      <c r="B1990" s="2" t="inlineStr">
        <is>
          <t>Sicredi SNI</t>
        </is>
      </c>
      <c r="C1990" s="2" t="inlineStr">
        <is>
          <t>03/06/2026</t>
        </is>
      </c>
      <c r="D1990" s="2" t="inlineStr">
        <is>
          <t>02/06/2026</t>
        </is>
      </c>
      <c r="E1990" s="2" t="inlineStr">
        <is>
          <t>Débito em Conta</t>
        </is>
      </c>
      <c r="F1990" s="2" t="inlineStr">
        <is>
          <t>TARIFA COM R LIQUIDACAO</t>
        </is>
      </c>
      <c r="G1990" s="2" t="inlineStr">
        <is>
          <t>clau</t>
        </is>
      </c>
      <c r="H1990" s="2" t="inlineStr">
        <is>
          <t>02.03.03.09 : TARIFA COM R LIQUIDACAO</t>
        </is>
      </c>
      <c r="I1990" s="2" t="n"/>
      <c r="J1990" s="3" t="n">
        <v>-3.4</v>
      </c>
      <c r="K1990" s="2">
        <f>IF(H1990="02.09 : Outras Saídas", IF(OR(ISNUMBER(SEARCH("CHEQUE COMPE SICREDI", F1990)), ISNUMBER(SEARCH("aniversario", F1990)), ISNUMBER(SEARCH("churrasco", F1990)), ISNUMBER(SEARCH("bolo", F1990)), ISNUMBER(SEARCH("SUPERMERCADO", F1990))), "6.1 Despesas Administrativas (Pessoal)", IF(OR(ISNUMBER(SEARCH("DLKNET", F1990)), ISNUMBER(SEARCH("TESTE", F1990))), "6.1 Despesas Administrativas (Gerais)", IFERROR(VLOOKUP(H1990, De_Para!A:B, 2, FALSE), "NÃO MAPEADO"))), IFERROR(VLOOKUP(H1990, De_Para!A:B, 2, FALSE), "NÃO MAPEADO"))</f>
        <v/>
      </c>
    </row>
    <row r="1991">
      <c r="A1991" s="2" t="inlineStr">
        <is>
          <t>67695</t>
        </is>
      </c>
      <c r="B1991" s="2" t="inlineStr">
        <is>
          <t>Sicredi SNI</t>
        </is>
      </c>
      <c r="C1991" s="2" t="inlineStr">
        <is>
          <t>03/06/2026</t>
        </is>
      </c>
      <c r="D1991" s="2" t="inlineStr">
        <is>
          <t>02/06/2026</t>
        </is>
      </c>
      <c r="E1991" s="2" t="inlineStr">
        <is>
          <t>Débito em Conta</t>
        </is>
      </c>
      <c r="F1991" s="2" t="inlineStr">
        <is>
          <t>TARIFA COM R LIQUIDACAO</t>
        </is>
      </c>
      <c r="G1991" s="2" t="inlineStr">
        <is>
          <t>clau</t>
        </is>
      </c>
      <c r="H1991" s="2" t="inlineStr">
        <is>
          <t>02.03.03.09 : TARIFA COM R LIQUIDACAO</t>
        </is>
      </c>
      <c r="I1991" s="2" t="n"/>
      <c r="J1991" s="3" t="n">
        <v>-0.85</v>
      </c>
      <c r="K1991" s="2">
        <f>IF(H1991="02.09 : Outras Saídas", IF(OR(ISNUMBER(SEARCH("CHEQUE COMPE SICREDI", F1991)), ISNUMBER(SEARCH("aniversario", F1991)), ISNUMBER(SEARCH("churrasco", F1991)), ISNUMBER(SEARCH("bolo", F1991)), ISNUMBER(SEARCH("SUPERMERCADO", F1991))), "6.1 Despesas Administrativas (Pessoal)", IF(OR(ISNUMBER(SEARCH("DLKNET", F1991)), ISNUMBER(SEARCH("TESTE", F1991))), "6.1 Despesas Administrativas (Gerais)", IFERROR(VLOOKUP(H1991, De_Para!A:B, 2, FALSE), "NÃO MAPEADO"))), IFERROR(VLOOKUP(H1991, De_Para!A:B, 2, FALSE), "NÃO MAPEADO"))</f>
        <v/>
      </c>
    </row>
    <row r="1992">
      <c r="A1992" s="2" t="inlineStr">
        <is>
          <t>67694</t>
        </is>
      </c>
      <c r="B1992" s="2" t="inlineStr">
        <is>
          <t>Sicredi SNI</t>
        </is>
      </c>
      <c r="C1992" s="2" t="inlineStr">
        <is>
          <t>03/06/2026</t>
        </is>
      </c>
      <c r="D1992" s="2" t="inlineStr">
        <is>
          <t>02/06/2026</t>
        </is>
      </c>
      <c r="E1992" s="2" t="inlineStr">
        <is>
          <t>Cartão de Débito</t>
        </is>
      </c>
      <c r="F1992" s="2" t="inlineStr">
        <is>
          <t>COMPRAS NACIONAIS ESPETINHO CENTRAL JOAQUIM TAVO</t>
        </is>
      </c>
      <c r="G1992" s="2" t="inlineStr">
        <is>
          <t>clau</t>
        </is>
      </c>
      <c r="H1992" s="2" t="inlineStr">
        <is>
          <t>02.03.02.07 : Pro-Labore</t>
        </is>
      </c>
      <c r="I1992" s="2" t="n"/>
      <c r="J1992" s="3" t="n">
        <v>-124</v>
      </c>
      <c r="K1992" s="2">
        <f>IF(H1992="02.09 : Outras Saídas", IF(OR(ISNUMBER(SEARCH("CHEQUE COMPE SICREDI", F1992)), ISNUMBER(SEARCH("aniversario", F1992)), ISNUMBER(SEARCH("churrasco", F1992)), ISNUMBER(SEARCH("bolo", F1992)), ISNUMBER(SEARCH("SUPERMERCADO", F1992))), "6.1 Despesas Administrativas (Pessoal)", IF(OR(ISNUMBER(SEARCH("DLKNET", F1992)), ISNUMBER(SEARCH("TESTE", F1992))), "6.1 Despesas Administrativas (Gerais)", IFERROR(VLOOKUP(H1992, De_Para!A:B, 2, FALSE), "NÃO MAPEADO"))), IFERROR(VLOOKUP(H1992, De_Para!A:B, 2, FALSE), "NÃO MAPEADO"))</f>
        <v/>
      </c>
    </row>
    <row r="1993">
      <c r="A1993" s="2" t="inlineStr">
        <is>
          <t>67693</t>
        </is>
      </c>
      <c r="B1993" s="2" t="inlineStr">
        <is>
          <t>Sicredi SNI</t>
        </is>
      </c>
      <c r="C1993" s="2" t="inlineStr">
        <is>
          <t>03/06/2026</t>
        </is>
      </c>
      <c r="D1993" s="2" t="inlineStr">
        <is>
          <t>02/06/2026</t>
        </is>
      </c>
      <c r="E1993" s="2" t="inlineStr">
        <is>
          <t>Cartão de Débito</t>
        </is>
      </c>
      <c r="F1993" s="2" t="inlineStr">
        <is>
          <t>COMPRAS NACIONAIS POSTO MAZOTI JOAQUIM TAVORBR</t>
        </is>
      </c>
      <c r="G1993" s="2" t="inlineStr">
        <is>
          <t>clau</t>
        </is>
      </c>
      <c r="H1993" s="2" t="inlineStr">
        <is>
          <t>02.01.04.01 : Combustivel</t>
        </is>
      </c>
      <c r="I1993" s="2" t="n"/>
      <c r="J1993" s="3" t="n">
        <v>-192.79</v>
      </c>
      <c r="K1993" s="2">
        <f>IF(H1993="02.09 : Outras Saídas", IF(OR(ISNUMBER(SEARCH("CHEQUE COMPE SICREDI", F1993)), ISNUMBER(SEARCH("aniversario", F1993)), ISNUMBER(SEARCH("churrasco", F1993)), ISNUMBER(SEARCH("bolo", F1993)), ISNUMBER(SEARCH("SUPERMERCADO", F1993))), "6.1 Despesas Administrativas (Pessoal)", IF(OR(ISNUMBER(SEARCH("DLKNET", F1993)), ISNUMBER(SEARCH("TESTE", F1993))), "6.1 Despesas Administrativas (Gerais)", IFERROR(VLOOKUP(H1993, De_Para!A:B, 2, FALSE), "NÃO MAPEADO"))), IFERROR(VLOOKUP(H1993, De_Para!A:B, 2, FALSE), "NÃO MAPEADO"))</f>
        <v/>
      </c>
    </row>
    <row r="1994">
      <c r="A1994" s="2" t="inlineStr">
        <is>
          <t>67692</t>
        </is>
      </c>
      <c r="B1994" s="2" t="inlineStr">
        <is>
          <t>Sicredi SNI</t>
        </is>
      </c>
      <c r="C1994" s="2" t="inlineStr">
        <is>
          <t>03/06/2026</t>
        </is>
      </c>
      <c r="D1994" s="2" t="inlineStr">
        <is>
          <t>03/06/2026</t>
        </is>
      </c>
      <c r="E1994" s="2" t="inlineStr">
        <is>
          <t>Dinheiro</t>
        </is>
      </c>
      <c r="F1994" s="2" t="inlineStr">
        <is>
          <t>Boleto "55459" do cliente "NAIR DE ANDRADE CICOGNINI"</t>
        </is>
      </c>
      <c r="G1994" s="2" t="inlineStr">
        <is>
          <t>system</t>
        </is>
      </c>
      <c r="H1994" s="2" t="inlineStr">
        <is>
          <t>02.03.02.01 : Cobrança Bancaria</t>
        </is>
      </c>
      <c r="I1994" s="2" t="n"/>
      <c r="J1994" s="3" t="n">
        <v>-1.08</v>
      </c>
      <c r="K1994" s="2">
        <f>IF(H1994="02.09 : Outras Saídas", IF(OR(ISNUMBER(SEARCH("CHEQUE COMPE SICREDI", F1994)), ISNUMBER(SEARCH("aniversario", F1994)), ISNUMBER(SEARCH("churrasco", F1994)), ISNUMBER(SEARCH("bolo", F1994)), ISNUMBER(SEARCH("SUPERMERCADO", F1994))), "6.1 Despesas Administrativas (Pessoal)", IF(OR(ISNUMBER(SEARCH("DLKNET", F1994)), ISNUMBER(SEARCH("TESTE", F1994))), "6.1 Despesas Administrativas (Gerais)", IFERROR(VLOOKUP(H1994, De_Para!A:B, 2, FALSE), "NÃO MAPEADO"))), IFERROR(VLOOKUP(H1994, De_Para!A:B, 2, FALSE), "NÃO MAPEADO"))</f>
        <v/>
      </c>
    </row>
    <row r="1995">
      <c r="A1995" s="2" t="inlineStr">
        <is>
          <t>67691</t>
        </is>
      </c>
      <c r="B1995" s="2" t="inlineStr">
        <is>
          <t>Sicredi SNI</t>
        </is>
      </c>
      <c r="C1995" s="2" t="inlineStr">
        <is>
          <t>03/06/2026</t>
        </is>
      </c>
      <c r="D1995" s="2" t="inlineStr">
        <is>
          <t>03/06/2026</t>
        </is>
      </c>
      <c r="E1995" s="2" t="inlineStr">
        <is>
          <t>Dinheiro</t>
        </is>
      </c>
      <c r="F1995" s="2" t="inlineStr">
        <is>
          <t>Boleto "55459" do cliente "NAIR DE ANDRADE CICOGNINI"</t>
        </is>
      </c>
      <c r="G1995" s="2" t="inlineStr">
        <is>
          <t>system</t>
        </is>
      </c>
      <c r="H1995" s="2" t="inlineStr">
        <is>
          <t>01.01.01 : Mensalidade</t>
        </is>
      </c>
      <c r="I1995" s="3" t="n">
        <v>105</v>
      </c>
      <c r="J1995" s="2" t="n"/>
      <c r="K1995" s="2">
        <f>IF(H1995="02.09 : Outras Saídas", IF(OR(ISNUMBER(SEARCH("CHEQUE COMPE SICREDI", F1995)), ISNUMBER(SEARCH("aniversario", F1995)), ISNUMBER(SEARCH("churrasco", F1995)), ISNUMBER(SEARCH("bolo", F1995)), ISNUMBER(SEARCH("SUPERMERCADO", F1995))), "6.1 Despesas Administrativas (Pessoal)", IF(OR(ISNUMBER(SEARCH("DLKNET", F1995)), ISNUMBER(SEARCH("TESTE", F1995))), "6.1 Despesas Administrativas (Gerais)", IFERROR(VLOOKUP(H1995, De_Para!A:B, 2, FALSE), "NÃO MAPEADO"))), IFERROR(VLOOKUP(H1995, De_Para!A:B, 2, FALSE), "NÃO MAPEADO"))</f>
        <v/>
      </c>
    </row>
    <row r="1996">
      <c r="A1996" s="2" t="inlineStr">
        <is>
          <t>67690</t>
        </is>
      </c>
      <c r="B1996" s="2" t="inlineStr">
        <is>
          <t>Sicoob</t>
        </is>
      </c>
      <c r="C1996" s="2" t="inlineStr">
        <is>
          <t>03/06/2026</t>
        </is>
      </c>
      <c r="D1996" s="2" t="inlineStr">
        <is>
          <t>03/06/2026</t>
        </is>
      </c>
      <c r="E1996" s="2" t="inlineStr">
        <is>
          <t>Dinheiro</t>
        </is>
      </c>
      <c r="F1996" s="2" t="inlineStr">
        <is>
          <t>Boleto "66151" do cliente "VALMIR TEODORO LEITE"</t>
        </is>
      </c>
      <c r="G1996" s="2" t="inlineStr">
        <is>
          <t>system</t>
        </is>
      </c>
      <c r="H1996" s="2" t="inlineStr">
        <is>
          <t>02.03.02.01 : Cobrança Bancaria</t>
        </is>
      </c>
      <c r="I1996" s="2" t="n"/>
      <c r="J1996" s="3" t="n">
        <v>-0.88</v>
      </c>
      <c r="K1996" s="2">
        <f>IF(H1996="02.09 : Outras Saídas", IF(OR(ISNUMBER(SEARCH("CHEQUE COMPE SICREDI", F1996)), ISNUMBER(SEARCH("aniversario", F1996)), ISNUMBER(SEARCH("churrasco", F1996)), ISNUMBER(SEARCH("bolo", F1996)), ISNUMBER(SEARCH("SUPERMERCADO", F1996))), "6.1 Despesas Administrativas (Pessoal)", IF(OR(ISNUMBER(SEARCH("DLKNET", F1996)), ISNUMBER(SEARCH("TESTE", F1996))), "6.1 Despesas Administrativas (Gerais)", IFERROR(VLOOKUP(H1996, De_Para!A:B, 2, FALSE), "NÃO MAPEADO"))), IFERROR(VLOOKUP(H1996, De_Para!A:B, 2, FALSE), "NÃO MAPEADO"))</f>
        <v/>
      </c>
    </row>
    <row r="1997">
      <c r="A1997" s="2" t="inlineStr">
        <is>
          <t>67689</t>
        </is>
      </c>
      <c r="B1997" s="2" t="inlineStr">
        <is>
          <t>Sicoob</t>
        </is>
      </c>
      <c r="C1997" s="2" t="inlineStr">
        <is>
          <t>03/06/2026</t>
        </is>
      </c>
      <c r="D1997" s="2" t="inlineStr">
        <is>
          <t>03/06/2026</t>
        </is>
      </c>
      <c r="E1997" s="2" t="inlineStr">
        <is>
          <t>Dinheiro</t>
        </is>
      </c>
      <c r="F1997" s="2" t="inlineStr">
        <is>
          <t>Boleto "66151" do cliente "VALMIR TEODORO LEITE"</t>
        </is>
      </c>
      <c r="G1997" s="2" t="inlineStr">
        <is>
          <t>system</t>
        </is>
      </c>
      <c r="H1997" s="2" t="inlineStr">
        <is>
          <t>01.03.01 : Mensalidade</t>
        </is>
      </c>
      <c r="I1997" s="3" t="n">
        <v>107.58</v>
      </c>
      <c r="J1997" s="2" t="n"/>
      <c r="K1997" s="2">
        <f>IF(H1997="02.09 : Outras Saídas", IF(OR(ISNUMBER(SEARCH("CHEQUE COMPE SICREDI", F1997)), ISNUMBER(SEARCH("aniversario", F1997)), ISNUMBER(SEARCH("churrasco", F1997)), ISNUMBER(SEARCH("bolo", F1997)), ISNUMBER(SEARCH("SUPERMERCADO", F1997))), "6.1 Despesas Administrativas (Pessoal)", IF(OR(ISNUMBER(SEARCH("DLKNET", F1997)), ISNUMBER(SEARCH("TESTE", F1997))), "6.1 Despesas Administrativas (Gerais)", IFERROR(VLOOKUP(H1997, De_Para!A:B, 2, FALSE), "NÃO MAPEADO"))), IFERROR(VLOOKUP(H1997, De_Para!A:B, 2, FALSE), "NÃO MAPEADO"))</f>
        <v/>
      </c>
    </row>
    <row r="1998">
      <c r="A1998" s="2" t="inlineStr">
        <is>
          <t>67688</t>
        </is>
      </c>
      <c r="B1998" s="2" t="inlineStr">
        <is>
          <t>Sicoob</t>
        </is>
      </c>
      <c r="C1998" s="2" t="inlineStr">
        <is>
          <t>03/06/2026</t>
        </is>
      </c>
      <c r="D1998" s="2" t="inlineStr">
        <is>
          <t>03/06/2026</t>
        </is>
      </c>
      <c r="E1998" s="2" t="inlineStr">
        <is>
          <t>Dinheiro</t>
        </is>
      </c>
      <c r="F1998" s="2" t="inlineStr">
        <is>
          <t>Boleto "65414" do cliente "ALANA STFANI CORREA ALFERES"</t>
        </is>
      </c>
      <c r="G1998" s="2" t="inlineStr">
        <is>
          <t>system</t>
        </is>
      </c>
      <c r="H1998" s="2" t="inlineStr">
        <is>
          <t>02.03.02.01 : Cobrança Bancaria</t>
        </is>
      </c>
      <c r="I1998" s="2" t="n"/>
      <c r="J1998" s="3" t="n">
        <v>-0.88</v>
      </c>
      <c r="K1998" s="2">
        <f>IF(H1998="02.09 : Outras Saídas", IF(OR(ISNUMBER(SEARCH("CHEQUE COMPE SICREDI", F1998)), ISNUMBER(SEARCH("aniversario", F1998)), ISNUMBER(SEARCH("churrasco", F1998)), ISNUMBER(SEARCH("bolo", F1998)), ISNUMBER(SEARCH("SUPERMERCADO", F1998))), "6.1 Despesas Administrativas (Pessoal)", IF(OR(ISNUMBER(SEARCH("DLKNET", F1998)), ISNUMBER(SEARCH("TESTE", F1998))), "6.1 Despesas Administrativas (Gerais)", IFERROR(VLOOKUP(H1998, De_Para!A:B, 2, FALSE), "NÃO MAPEADO"))), IFERROR(VLOOKUP(H1998, De_Para!A:B, 2, FALSE), "NÃO MAPEADO"))</f>
        <v/>
      </c>
    </row>
    <row r="1999">
      <c r="A1999" s="2" t="inlineStr">
        <is>
          <t>67687</t>
        </is>
      </c>
      <c r="B1999" s="2" t="inlineStr">
        <is>
          <t>Sicoob</t>
        </is>
      </c>
      <c r="C1999" s="2" t="inlineStr">
        <is>
          <t>03/06/2026</t>
        </is>
      </c>
      <c r="D1999" s="2" t="inlineStr">
        <is>
          <t>03/06/2026</t>
        </is>
      </c>
      <c r="E1999" s="2" t="inlineStr">
        <is>
          <t>Dinheiro</t>
        </is>
      </c>
      <c r="F1999" s="2" t="inlineStr">
        <is>
          <t>Boleto "65414" do cliente "ALANA STFANI CORREA ALFERES"</t>
        </is>
      </c>
      <c r="G1999" s="2" t="inlineStr">
        <is>
          <t>system</t>
        </is>
      </c>
      <c r="H1999" s="2" t="inlineStr">
        <is>
          <t>01.01.01 : Mensalidade</t>
        </is>
      </c>
      <c r="I1999" s="3" t="n">
        <v>107.05</v>
      </c>
      <c r="J1999" s="2" t="n"/>
      <c r="K1999" s="2">
        <f>IF(H1999="02.09 : Outras Saídas", IF(OR(ISNUMBER(SEARCH("CHEQUE COMPE SICREDI", F1999)), ISNUMBER(SEARCH("aniversario", F1999)), ISNUMBER(SEARCH("churrasco", F1999)), ISNUMBER(SEARCH("bolo", F1999)), ISNUMBER(SEARCH("SUPERMERCADO", F1999))), "6.1 Despesas Administrativas (Pessoal)", IF(OR(ISNUMBER(SEARCH("DLKNET", F1999)), ISNUMBER(SEARCH("TESTE", F1999))), "6.1 Despesas Administrativas (Gerais)", IFERROR(VLOOKUP(H1999, De_Para!A:B, 2, FALSE), "NÃO MAPEADO"))), IFERROR(VLOOKUP(H1999, De_Para!A:B, 2, FALSE), "NÃO MAPEADO"))</f>
        <v/>
      </c>
    </row>
    <row r="2000">
      <c r="A2000" s="2" t="inlineStr">
        <is>
          <t>67686</t>
        </is>
      </c>
      <c r="B2000" s="2" t="inlineStr">
        <is>
          <t>Sicoob</t>
        </is>
      </c>
      <c r="C2000" s="2" t="inlineStr">
        <is>
          <t>03/06/2026</t>
        </is>
      </c>
      <c r="D2000" s="2" t="inlineStr">
        <is>
          <t>03/06/2026</t>
        </is>
      </c>
      <c r="E2000" s="2" t="inlineStr">
        <is>
          <t>Dinheiro</t>
        </is>
      </c>
      <c r="F2000" s="2" t="inlineStr">
        <is>
          <t>Boleto "64720" do cliente "NEUSA MOREIRA DOS SANTOS"</t>
        </is>
      </c>
      <c r="G2000" s="2" t="inlineStr">
        <is>
          <t>system</t>
        </is>
      </c>
      <c r="H2000" s="2" t="inlineStr">
        <is>
          <t>02.03.02.01 : Cobrança Bancaria</t>
        </is>
      </c>
      <c r="I2000" s="2" t="n"/>
      <c r="J2000" s="3" t="n">
        <v>-0.88</v>
      </c>
      <c r="K2000" s="2">
        <f>IF(H2000="02.09 : Outras Saídas", IF(OR(ISNUMBER(SEARCH("CHEQUE COMPE SICREDI", F2000)), ISNUMBER(SEARCH("aniversario", F2000)), ISNUMBER(SEARCH("churrasco", F2000)), ISNUMBER(SEARCH("bolo", F2000)), ISNUMBER(SEARCH("SUPERMERCADO", F2000))), "6.1 Despesas Administrativas (Pessoal)", IF(OR(ISNUMBER(SEARCH("DLKNET", F2000)), ISNUMBER(SEARCH("TESTE", F2000))), "6.1 Despesas Administrativas (Gerais)", IFERROR(VLOOKUP(H2000, De_Para!A:B, 2, FALSE), "NÃO MAPEADO"))), IFERROR(VLOOKUP(H2000, De_Para!A:B, 2, FALSE), "NÃO MAPEADO"))</f>
        <v/>
      </c>
    </row>
    <row r="2001">
      <c r="A2001" s="2" t="inlineStr">
        <is>
          <t>67685</t>
        </is>
      </c>
      <c r="B2001" s="2" t="inlineStr">
        <is>
          <t>Sicoob</t>
        </is>
      </c>
      <c r="C2001" s="2" t="inlineStr">
        <is>
          <t>03/06/2026</t>
        </is>
      </c>
      <c r="D2001" s="2" t="inlineStr">
        <is>
          <t>03/06/2026</t>
        </is>
      </c>
      <c r="E2001" s="2" t="inlineStr">
        <is>
          <t>Dinheiro</t>
        </is>
      </c>
      <c r="F2001" s="2" t="inlineStr">
        <is>
          <t>Boleto "64720" do cliente "NEUSA MOREIRA DOS SANTOS"</t>
        </is>
      </c>
      <c r="G2001" s="2" t="inlineStr">
        <is>
          <t>system</t>
        </is>
      </c>
      <c r="H2001" s="2" t="inlineStr">
        <is>
          <t>01.01.01 : Mensalidade</t>
        </is>
      </c>
      <c r="I2001" s="3" t="n">
        <v>104.9</v>
      </c>
      <c r="J2001" s="2" t="n"/>
      <c r="K2001" s="2">
        <f>IF(H2001="02.09 : Outras Saídas", IF(OR(ISNUMBER(SEARCH("CHEQUE COMPE SICREDI", F2001)), ISNUMBER(SEARCH("aniversario", F2001)), ISNUMBER(SEARCH("churrasco", F2001)), ISNUMBER(SEARCH("bolo", F2001)), ISNUMBER(SEARCH("SUPERMERCADO", F2001))), "6.1 Despesas Administrativas (Pessoal)", IF(OR(ISNUMBER(SEARCH("DLKNET", F2001)), ISNUMBER(SEARCH("TESTE", F2001))), "6.1 Despesas Administrativas (Gerais)", IFERROR(VLOOKUP(H2001, De_Para!A:B, 2, FALSE), "NÃO MAPEADO"))), IFERROR(VLOOKUP(H2001, De_Para!A:B, 2, FALSE), "NÃO MAPEADO"))</f>
        <v/>
      </c>
    </row>
    <row r="2002">
      <c r="A2002" s="2" t="inlineStr">
        <is>
          <t>67684</t>
        </is>
      </c>
      <c r="B2002" s="2" t="inlineStr">
        <is>
          <t>Sicoob</t>
        </is>
      </c>
      <c r="C2002" s="2" t="inlineStr">
        <is>
          <t>03/06/2026</t>
        </is>
      </c>
      <c r="D2002" s="2" t="inlineStr">
        <is>
          <t>03/06/2026</t>
        </is>
      </c>
      <c r="E2002" s="2" t="inlineStr">
        <is>
          <t>Dinheiro</t>
        </is>
      </c>
      <c r="F2002" s="2" t="inlineStr">
        <is>
          <t>Boleto "62011" do cliente "NEIRI APARECIDA GARCIA DA SILVA"</t>
        </is>
      </c>
      <c r="G2002" s="2" t="inlineStr">
        <is>
          <t>system</t>
        </is>
      </c>
      <c r="H2002" s="2" t="inlineStr">
        <is>
          <t>02.03.02.01 : Cobrança Bancaria</t>
        </is>
      </c>
      <c r="I2002" s="2" t="n"/>
      <c r="J2002" s="3" t="n">
        <v>-0.88</v>
      </c>
      <c r="K2002" s="2">
        <f>IF(H2002="02.09 : Outras Saídas", IF(OR(ISNUMBER(SEARCH("CHEQUE COMPE SICREDI", F2002)), ISNUMBER(SEARCH("aniversario", F2002)), ISNUMBER(SEARCH("churrasco", F2002)), ISNUMBER(SEARCH("bolo", F2002)), ISNUMBER(SEARCH("SUPERMERCADO", F2002))), "6.1 Despesas Administrativas (Pessoal)", IF(OR(ISNUMBER(SEARCH("DLKNET", F2002)), ISNUMBER(SEARCH("TESTE", F2002))), "6.1 Despesas Administrativas (Gerais)", IFERROR(VLOOKUP(H2002, De_Para!A:B, 2, FALSE), "NÃO MAPEADO"))), IFERROR(VLOOKUP(H2002, De_Para!A:B, 2, FALSE), "NÃO MAPEADO"))</f>
        <v/>
      </c>
    </row>
    <row r="2003">
      <c r="A2003" s="2" t="inlineStr">
        <is>
          <t>67683</t>
        </is>
      </c>
      <c r="B2003" s="2" t="inlineStr">
        <is>
          <t>Sicoob</t>
        </is>
      </c>
      <c r="C2003" s="2" t="inlineStr">
        <is>
          <t>03/06/2026</t>
        </is>
      </c>
      <c r="D2003" s="2" t="inlineStr">
        <is>
          <t>03/06/2026</t>
        </is>
      </c>
      <c r="E2003" s="2" t="inlineStr">
        <is>
          <t>Dinheiro</t>
        </is>
      </c>
      <c r="F2003" s="2" t="inlineStr">
        <is>
          <t>Boleto "62011" do cliente "NEIRI APARECIDA GARCIA DA SILVA"</t>
        </is>
      </c>
      <c r="G2003" s="2" t="inlineStr">
        <is>
          <t>system</t>
        </is>
      </c>
      <c r="H2003" s="2" t="inlineStr">
        <is>
          <t>01.03.01 : Mensalidade</t>
        </is>
      </c>
      <c r="I2003" s="3" t="n">
        <v>105</v>
      </c>
      <c r="J2003" s="2" t="n"/>
      <c r="K2003" s="2">
        <f>IF(H2003="02.09 : Outras Saídas", IF(OR(ISNUMBER(SEARCH("CHEQUE COMPE SICREDI", F2003)), ISNUMBER(SEARCH("aniversario", F2003)), ISNUMBER(SEARCH("churrasco", F2003)), ISNUMBER(SEARCH("bolo", F2003)), ISNUMBER(SEARCH("SUPERMERCADO", F2003))), "6.1 Despesas Administrativas (Pessoal)", IF(OR(ISNUMBER(SEARCH("DLKNET", F2003)), ISNUMBER(SEARCH("TESTE", F2003))), "6.1 Despesas Administrativas (Gerais)", IFERROR(VLOOKUP(H2003, De_Para!A:B, 2, FALSE), "NÃO MAPEADO"))), IFERROR(VLOOKUP(H2003, De_Para!A:B, 2, FALSE), "NÃO MAPEADO"))</f>
        <v/>
      </c>
    </row>
    <row r="2004">
      <c r="A2004" s="2" t="inlineStr">
        <is>
          <t>67682</t>
        </is>
      </c>
      <c r="B2004" s="2" t="inlineStr">
        <is>
          <t>Sicoob</t>
        </is>
      </c>
      <c r="C2004" s="2" t="inlineStr">
        <is>
          <t>03/06/2026</t>
        </is>
      </c>
      <c r="D2004" s="2" t="inlineStr">
        <is>
          <t>03/06/2026</t>
        </is>
      </c>
      <c r="E2004" s="2" t="inlineStr">
        <is>
          <t>Dinheiro</t>
        </is>
      </c>
      <c r="F2004" s="2" t="inlineStr">
        <is>
          <t>Boleto "61604" do cliente "OSNIL ANTONIO DE MELO"</t>
        </is>
      </c>
      <c r="G2004" s="2" t="inlineStr">
        <is>
          <t>system</t>
        </is>
      </c>
      <c r="H2004" s="2" t="inlineStr">
        <is>
          <t>02.03.02.01 : Cobrança Bancaria</t>
        </is>
      </c>
      <c r="I2004" s="2" t="n"/>
      <c r="J2004" s="3" t="n">
        <v>-0.88</v>
      </c>
      <c r="K2004" s="2">
        <f>IF(H2004="02.09 : Outras Saídas", IF(OR(ISNUMBER(SEARCH("CHEQUE COMPE SICREDI", F2004)), ISNUMBER(SEARCH("aniversario", F2004)), ISNUMBER(SEARCH("churrasco", F2004)), ISNUMBER(SEARCH("bolo", F2004)), ISNUMBER(SEARCH("SUPERMERCADO", F2004))), "6.1 Despesas Administrativas (Pessoal)", IF(OR(ISNUMBER(SEARCH("DLKNET", F2004)), ISNUMBER(SEARCH("TESTE", F2004))), "6.1 Despesas Administrativas (Gerais)", IFERROR(VLOOKUP(H2004, De_Para!A:B, 2, FALSE), "NÃO MAPEADO"))), IFERROR(VLOOKUP(H2004, De_Para!A:B, 2, FALSE), "NÃO MAPEADO"))</f>
        <v/>
      </c>
    </row>
    <row r="2005">
      <c r="A2005" s="2" t="inlineStr">
        <is>
          <t>67681</t>
        </is>
      </c>
      <c r="B2005" s="2" t="inlineStr">
        <is>
          <t>Sicoob</t>
        </is>
      </c>
      <c r="C2005" s="2" t="inlineStr">
        <is>
          <t>03/06/2026</t>
        </is>
      </c>
      <c r="D2005" s="2" t="inlineStr">
        <is>
          <t>03/06/2026</t>
        </is>
      </c>
      <c r="E2005" s="2" t="inlineStr">
        <is>
          <t>Dinheiro</t>
        </is>
      </c>
      <c r="F2005" s="2" t="inlineStr">
        <is>
          <t>Boleto "61604" do cliente "OSNIL ANTONIO DE MELO"</t>
        </is>
      </c>
      <c r="G2005" s="2" t="inlineStr">
        <is>
          <t>system</t>
        </is>
      </c>
      <c r="H2005" s="2" t="inlineStr">
        <is>
          <t>01.01.01 : Mensalidade</t>
        </is>
      </c>
      <c r="I2005" s="3" t="n">
        <v>105</v>
      </c>
      <c r="J2005" s="2" t="n"/>
      <c r="K2005" s="2">
        <f>IF(H2005="02.09 : Outras Saídas", IF(OR(ISNUMBER(SEARCH("CHEQUE COMPE SICREDI", F2005)), ISNUMBER(SEARCH("aniversario", F2005)), ISNUMBER(SEARCH("churrasco", F2005)), ISNUMBER(SEARCH("bolo", F2005)), ISNUMBER(SEARCH("SUPERMERCADO", F2005))), "6.1 Despesas Administrativas (Pessoal)", IF(OR(ISNUMBER(SEARCH("DLKNET", F2005)), ISNUMBER(SEARCH("TESTE", F2005))), "6.1 Despesas Administrativas (Gerais)", IFERROR(VLOOKUP(H2005, De_Para!A:B, 2, FALSE), "NÃO MAPEADO"))), IFERROR(VLOOKUP(H2005, De_Para!A:B, 2, FALSE), "NÃO MAPEADO"))</f>
        <v/>
      </c>
    </row>
    <row r="2006">
      <c r="A2006" s="2" t="inlineStr">
        <is>
          <t>67680</t>
        </is>
      </c>
      <c r="B2006" s="2" t="inlineStr">
        <is>
          <t>Sicoob</t>
        </is>
      </c>
      <c r="C2006" s="2" t="inlineStr">
        <is>
          <t>03/06/2026</t>
        </is>
      </c>
      <c r="D2006" s="2" t="inlineStr">
        <is>
          <t>03/06/2026</t>
        </is>
      </c>
      <c r="E2006" s="2" t="inlineStr">
        <is>
          <t>Dinheiro</t>
        </is>
      </c>
      <c r="F2006" s="2" t="inlineStr">
        <is>
          <t>Boleto "59971" do cliente "VILMA DE FATIMA TREVISAN"</t>
        </is>
      </c>
      <c r="G2006" s="2" t="inlineStr">
        <is>
          <t>system</t>
        </is>
      </c>
      <c r="H2006" s="2" t="inlineStr">
        <is>
          <t>02.03.02.01 : Cobrança Bancaria</t>
        </is>
      </c>
      <c r="I2006" s="2" t="n"/>
      <c r="J2006" s="3" t="n">
        <v>-0.88</v>
      </c>
      <c r="K2006" s="2">
        <f>IF(H2006="02.09 : Outras Saídas", IF(OR(ISNUMBER(SEARCH("CHEQUE COMPE SICREDI", F2006)), ISNUMBER(SEARCH("aniversario", F2006)), ISNUMBER(SEARCH("churrasco", F2006)), ISNUMBER(SEARCH("bolo", F2006)), ISNUMBER(SEARCH("SUPERMERCADO", F2006))), "6.1 Despesas Administrativas (Pessoal)", IF(OR(ISNUMBER(SEARCH("DLKNET", F2006)), ISNUMBER(SEARCH("TESTE", F2006))), "6.1 Despesas Administrativas (Gerais)", IFERROR(VLOOKUP(H2006, De_Para!A:B, 2, FALSE), "NÃO MAPEADO"))), IFERROR(VLOOKUP(H2006, De_Para!A:B, 2, FALSE), "NÃO MAPEADO"))</f>
        <v/>
      </c>
    </row>
    <row r="2007">
      <c r="A2007" s="2" t="inlineStr">
        <is>
          <t>67679</t>
        </is>
      </c>
      <c r="B2007" s="2" t="inlineStr">
        <is>
          <t>Sicoob</t>
        </is>
      </c>
      <c r="C2007" s="2" t="inlineStr">
        <is>
          <t>03/06/2026</t>
        </is>
      </c>
      <c r="D2007" s="2" t="inlineStr">
        <is>
          <t>03/06/2026</t>
        </is>
      </c>
      <c r="E2007" s="2" t="inlineStr">
        <is>
          <t>Dinheiro</t>
        </is>
      </c>
      <c r="F2007" s="2" t="inlineStr">
        <is>
          <t>Boleto "59971" do cliente "VILMA DE FATIMA TREVISAN"</t>
        </is>
      </c>
      <c r="G2007" s="2" t="inlineStr">
        <is>
          <t>system</t>
        </is>
      </c>
      <c r="H2007" s="2" t="inlineStr">
        <is>
          <t>01.01.01 : Mensalidade</t>
        </is>
      </c>
      <c r="I2007" s="3" t="n">
        <v>107.23</v>
      </c>
      <c r="J2007" s="2" t="n"/>
      <c r="K2007" s="2">
        <f>IF(H2007="02.09 : Outras Saídas", IF(OR(ISNUMBER(SEARCH("CHEQUE COMPE SICREDI", F2007)), ISNUMBER(SEARCH("aniversario", F2007)), ISNUMBER(SEARCH("churrasco", F2007)), ISNUMBER(SEARCH("bolo", F2007)), ISNUMBER(SEARCH("SUPERMERCADO", F2007))), "6.1 Despesas Administrativas (Pessoal)", IF(OR(ISNUMBER(SEARCH("DLKNET", F2007)), ISNUMBER(SEARCH("TESTE", F2007))), "6.1 Despesas Administrativas (Gerais)", IFERROR(VLOOKUP(H2007, De_Para!A:B, 2, FALSE), "NÃO MAPEADO"))), IFERROR(VLOOKUP(H2007, De_Para!A:B, 2, FALSE), "NÃO MAPEADO"))</f>
        <v/>
      </c>
    </row>
    <row r="2008">
      <c r="A2008" s="2" t="inlineStr">
        <is>
          <t>67678</t>
        </is>
      </c>
      <c r="B2008" s="2" t="inlineStr">
        <is>
          <t>Sicoob</t>
        </is>
      </c>
      <c r="C2008" s="2" t="inlineStr">
        <is>
          <t>03/06/2026</t>
        </is>
      </c>
      <c r="D2008" s="2" t="inlineStr">
        <is>
          <t>03/06/2026</t>
        </is>
      </c>
      <c r="E2008" s="2" t="inlineStr">
        <is>
          <t>Dinheiro</t>
        </is>
      </c>
      <c r="F2008" s="2" t="inlineStr">
        <is>
          <t>Boleto "56415" do cliente "LUCIANA MACHADO ANTUNES"</t>
        </is>
      </c>
      <c r="G2008" s="2" t="inlineStr">
        <is>
          <t>system</t>
        </is>
      </c>
      <c r="H2008" s="2" t="inlineStr">
        <is>
          <t>02.03.02.01 : Cobrança Bancaria</t>
        </is>
      </c>
      <c r="I2008" s="2" t="n"/>
      <c r="J2008" s="3" t="n">
        <v>-0.88</v>
      </c>
      <c r="K2008" s="2">
        <f>IF(H2008="02.09 : Outras Saídas", IF(OR(ISNUMBER(SEARCH("CHEQUE COMPE SICREDI", F2008)), ISNUMBER(SEARCH("aniversario", F2008)), ISNUMBER(SEARCH("churrasco", F2008)), ISNUMBER(SEARCH("bolo", F2008)), ISNUMBER(SEARCH("SUPERMERCADO", F2008))), "6.1 Despesas Administrativas (Pessoal)", IF(OR(ISNUMBER(SEARCH("DLKNET", F2008)), ISNUMBER(SEARCH("TESTE", F2008))), "6.1 Despesas Administrativas (Gerais)", IFERROR(VLOOKUP(H2008, De_Para!A:B, 2, FALSE), "NÃO MAPEADO"))), IFERROR(VLOOKUP(H2008, De_Para!A:B, 2, FALSE), "NÃO MAPEADO"))</f>
        <v/>
      </c>
    </row>
    <row r="2009">
      <c r="A2009" s="2" t="inlineStr">
        <is>
          <t>67677</t>
        </is>
      </c>
      <c r="B2009" s="2" t="inlineStr">
        <is>
          <t>Sicoob</t>
        </is>
      </c>
      <c r="C2009" s="2" t="inlineStr">
        <is>
          <t>03/06/2026</t>
        </is>
      </c>
      <c r="D2009" s="2" t="inlineStr">
        <is>
          <t>03/06/2026</t>
        </is>
      </c>
      <c r="E2009" s="2" t="inlineStr">
        <is>
          <t>Dinheiro</t>
        </is>
      </c>
      <c r="F2009" s="2" t="inlineStr">
        <is>
          <t>Boleto "56415" do cliente "LUCIANA MACHADO ANTUNES"</t>
        </is>
      </c>
      <c r="G2009" s="2" t="inlineStr">
        <is>
          <t>system</t>
        </is>
      </c>
      <c r="H2009" s="2" t="inlineStr">
        <is>
          <t>01.01.01 : Mensalidade</t>
        </is>
      </c>
      <c r="I2009" s="3" t="n">
        <v>80</v>
      </c>
      <c r="J2009" s="2" t="n"/>
      <c r="K2009" s="2">
        <f>IF(H2009="02.09 : Outras Saídas", IF(OR(ISNUMBER(SEARCH("CHEQUE COMPE SICREDI", F2009)), ISNUMBER(SEARCH("aniversario", F2009)), ISNUMBER(SEARCH("churrasco", F2009)), ISNUMBER(SEARCH("bolo", F2009)), ISNUMBER(SEARCH("SUPERMERCADO", F2009))), "6.1 Despesas Administrativas (Pessoal)", IF(OR(ISNUMBER(SEARCH("DLKNET", F2009)), ISNUMBER(SEARCH("TESTE", F2009))), "6.1 Despesas Administrativas (Gerais)", IFERROR(VLOOKUP(H2009, De_Para!A:B, 2, FALSE), "NÃO MAPEADO"))), IFERROR(VLOOKUP(H2009, De_Para!A:B, 2, FALSE), "NÃO MAPEADO"))</f>
        <v/>
      </c>
    </row>
    <row r="2010">
      <c r="A2010" s="2" t="inlineStr">
        <is>
          <t>67676</t>
        </is>
      </c>
      <c r="B2010" s="2" t="inlineStr">
        <is>
          <t>Sicoob</t>
        </is>
      </c>
      <c r="C2010" s="2" t="inlineStr">
        <is>
          <t>03/06/2026</t>
        </is>
      </c>
      <c r="D2010" s="2" t="inlineStr">
        <is>
          <t>03/06/2026</t>
        </is>
      </c>
      <c r="E2010" s="2" t="inlineStr">
        <is>
          <t>Dinheiro</t>
        </is>
      </c>
      <c r="F2010" s="2" t="inlineStr">
        <is>
          <t>Boleto "55509" do cliente "FRANCISCO XAVIER DE BRITO"</t>
        </is>
      </c>
      <c r="G2010" s="2" t="inlineStr">
        <is>
          <t>system</t>
        </is>
      </c>
      <c r="H2010" s="2" t="inlineStr">
        <is>
          <t>02.03.02.01 : Cobrança Bancaria</t>
        </is>
      </c>
      <c r="I2010" s="2" t="n"/>
      <c r="J2010" s="3" t="n">
        <v>-0.88</v>
      </c>
      <c r="K2010" s="2">
        <f>IF(H2010="02.09 : Outras Saídas", IF(OR(ISNUMBER(SEARCH("CHEQUE COMPE SICREDI", F2010)), ISNUMBER(SEARCH("aniversario", F2010)), ISNUMBER(SEARCH("churrasco", F2010)), ISNUMBER(SEARCH("bolo", F2010)), ISNUMBER(SEARCH("SUPERMERCADO", F2010))), "6.1 Despesas Administrativas (Pessoal)", IF(OR(ISNUMBER(SEARCH("DLKNET", F2010)), ISNUMBER(SEARCH("TESTE", F2010))), "6.1 Despesas Administrativas (Gerais)", IFERROR(VLOOKUP(H2010, De_Para!A:B, 2, FALSE), "NÃO MAPEADO"))), IFERROR(VLOOKUP(H2010, De_Para!A:B, 2, FALSE), "NÃO MAPEADO"))</f>
        <v/>
      </c>
    </row>
    <row r="2011">
      <c r="A2011" s="2" t="inlineStr">
        <is>
          <t>67675</t>
        </is>
      </c>
      <c r="B2011" s="2" t="inlineStr">
        <is>
          <t>Sicoob</t>
        </is>
      </c>
      <c r="C2011" s="2" t="inlineStr">
        <is>
          <t>03/06/2026</t>
        </is>
      </c>
      <c r="D2011" s="2" t="inlineStr">
        <is>
          <t>03/06/2026</t>
        </is>
      </c>
      <c r="E2011" s="2" t="inlineStr">
        <is>
          <t>Dinheiro</t>
        </is>
      </c>
      <c r="F2011" s="2" t="inlineStr">
        <is>
          <t>Boleto "55509" do cliente "FRANCISCO XAVIER DE BRITO"</t>
        </is>
      </c>
      <c r="G2011" s="2" t="inlineStr">
        <is>
          <t>system</t>
        </is>
      </c>
      <c r="H2011" s="2" t="inlineStr">
        <is>
          <t>01.01.01 : Mensalidade</t>
        </is>
      </c>
      <c r="I2011" s="3" t="n">
        <v>80</v>
      </c>
      <c r="J2011" s="2" t="n"/>
      <c r="K2011" s="2">
        <f>IF(H2011="02.09 : Outras Saídas", IF(OR(ISNUMBER(SEARCH("CHEQUE COMPE SICREDI", F2011)), ISNUMBER(SEARCH("aniversario", F2011)), ISNUMBER(SEARCH("churrasco", F2011)), ISNUMBER(SEARCH("bolo", F2011)), ISNUMBER(SEARCH("SUPERMERCADO", F2011))), "6.1 Despesas Administrativas (Pessoal)", IF(OR(ISNUMBER(SEARCH("DLKNET", F2011)), ISNUMBER(SEARCH("TESTE", F2011))), "6.1 Despesas Administrativas (Gerais)", IFERROR(VLOOKUP(H2011, De_Para!A:B, 2, FALSE), "NÃO MAPEADO"))), IFERROR(VLOOKUP(H2011, De_Para!A:B, 2, FALSE), "NÃO MAPEADO"))</f>
        <v/>
      </c>
    </row>
    <row r="2012">
      <c r="A2012" s="2" t="inlineStr">
        <is>
          <t>67674</t>
        </is>
      </c>
      <c r="B2012" s="2" t="inlineStr">
        <is>
          <t>Sicoob</t>
        </is>
      </c>
      <c r="C2012" s="2" t="inlineStr">
        <is>
          <t>03/06/2026</t>
        </is>
      </c>
      <c r="D2012" s="2" t="inlineStr">
        <is>
          <t>03/06/2026</t>
        </is>
      </c>
      <c r="E2012" s="2" t="inlineStr">
        <is>
          <t>Dinheiro</t>
        </is>
      </c>
      <c r="F2012" s="2" t="inlineStr">
        <is>
          <t>Boleto "55406" do cliente "DIEGO AUGUSTO SABINO VANDERLEI"</t>
        </is>
      </c>
      <c r="G2012" s="2" t="inlineStr">
        <is>
          <t>system</t>
        </is>
      </c>
      <c r="H2012" s="2" t="inlineStr">
        <is>
          <t>02.03.02.01 : Cobrança Bancaria</t>
        </is>
      </c>
      <c r="I2012" s="2" t="n"/>
      <c r="J2012" s="3" t="n">
        <v>-0.88</v>
      </c>
      <c r="K2012" s="2">
        <f>IF(H2012="02.09 : Outras Saídas", IF(OR(ISNUMBER(SEARCH("CHEQUE COMPE SICREDI", F2012)), ISNUMBER(SEARCH("aniversario", F2012)), ISNUMBER(SEARCH("churrasco", F2012)), ISNUMBER(SEARCH("bolo", F2012)), ISNUMBER(SEARCH("SUPERMERCADO", F2012))), "6.1 Despesas Administrativas (Pessoal)", IF(OR(ISNUMBER(SEARCH("DLKNET", F2012)), ISNUMBER(SEARCH("TESTE", F2012))), "6.1 Despesas Administrativas (Gerais)", IFERROR(VLOOKUP(H2012, De_Para!A:B, 2, FALSE), "NÃO MAPEADO"))), IFERROR(VLOOKUP(H2012, De_Para!A:B, 2, FALSE), "NÃO MAPEADO"))</f>
        <v/>
      </c>
    </row>
    <row r="2013">
      <c r="A2013" s="2" t="inlineStr">
        <is>
          <t>67673</t>
        </is>
      </c>
      <c r="B2013" s="2" t="inlineStr">
        <is>
          <t>Sicoob</t>
        </is>
      </c>
      <c r="C2013" s="2" t="inlineStr">
        <is>
          <t>03/06/2026</t>
        </is>
      </c>
      <c r="D2013" s="2" t="inlineStr">
        <is>
          <t>03/06/2026</t>
        </is>
      </c>
      <c r="E2013" s="2" t="inlineStr">
        <is>
          <t>Dinheiro</t>
        </is>
      </c>
      <c r="F2013" s="2" t="inlineStr">
        <is>
          <t>Boleto "55406" do cliente "DIEGO AUGUSTO SABINO VANDERLEI"</t>
        </is>
      </c>
      <c r="G2013" s="2" t="inlineStr">
        <is>
          <t>system</t>
        </is>
      </c>
      <c r="H2013" s="2" t="inlineStr">
        <is>
          <t>01.01.01 : Mensalidade</t>
        </is>
      </c>
      <c r="I2013" s="3" t="n">
        <v>105</v>
      </c>
      <c r="J2013" s="2" t="n"/>
      <c r="K2013" s="2">
        <f>IF(H2013="02.09 : Outras Saídas", IF(OR(ISNUMBER(SEARCH("CHEQUE COMPE SICREDI", F2013)), ISNUMBER(SEARCH("aniversario", F2013)), ISNUMBER(SEARCH("churrasco", F2013)), ISNUMBER(SEARCH("bolo", F2013)), ISNUMBER(SEARCH("SUPERMERCADO", F2013))), "6.1 Despesas Administrativas (Pessoal)", IF(OR(ISNUMBER(SEARCH("DLKNET", F2013)), ISNUMBER(SEARCH("TESTE", F2013))), "6.1 Despesas Administrativas (Gerais)", IFERROR(VLOOKUP(H2013, De_Para!A:B, 2, FALSE), "NÃO MAPEADO"))), IFERROR(VLOOKUP(H2013, De_Para!A:B, 2, FALSE), "NÃO MAPEADO"))</f>
        <v/>
      </c>
    </row>
    <row r="2014">
      <c r="A2014" s="2" t="inlineStr">
        <is>
          <t>67672</t>
        </is>
      </c>
      <c r="B2014" s="2" t="inlineStr">
        <is>
          <t>Sicredi SNI</t>
        </is>
      </c>
      <c r="C2014" s="2" t="inlineStr">
        <is>
          <t>03/06/2026</t>
        </is>
      </c>
      <c r="D2014" s="2" t="inlineStr">
        <is>
          <t>03/06/2026</t>
        </is>
      </c>
      <c r="E2014" s="2" t="inlineStr">
        <is>
          <t>PIX</t>
        </is>
      </c>
      <c r="F2014" s="2" t="inlineStr">
        <is>
          <t>Boleto "59585" do cliente "CLAYTON JOSÉ FERNANDES"</t>
        </is>
      </c>
      <c r="G2014" s="2" t="inlineStr">
        <is>
          <t>system</t>
        </is>
      </c>
      <c r="H2014" s="2" t="inlineStr">
        <is>
          <t>02.03.02.01 : Cobrança Bancaria</t>
        </is>
      </c>
      <c r="I2014" s="2" t="n"/>
      <c r="J2014" s="3" t="n">
        <v>-0.49</v>
      </c>
      <c r="K2014" s="2">
        <f>IF(H2014="02.09 : Outras Saídas", IF(OR(ISNUMBER(SEARCH("CHEQUE COMPE SICREDI", F2014)), ISNUMBER(SEARCH("aniversario", F2014)), ISNUMBER(SEARCH("churrasco", F2014)), ISNUMBER(SEARCH("bolo", F2014)), ISNUMBER(SEARCH("SUPERMERCADO", F2014))), "6.1 Despesas Administrativas (Pessoal)", IF(OR(ISNUMBER(SEARCH("DLKNET", F2014)), ISNUMBER(SEARCH("TESTE", F2014))), "6.1 Despesas Administrativas (Gerais)", IFERROR(VLOOKUP(H2014, De_Para!A:B, 2, FALSE), "NÃO MAPEADO"))), IFERROR(VLOOKUP(H2014, De_Para!A:B, 2, FALSE), "NÃO MAPEADO"))</f>
        <v/>
      </c>
    </row>
    <row r="2015">
      <c r="A2015" s="2" t="inlineStr">
        <is>
          <t>67671</t>
        </is>
      </c>
      <c r="B2015" s="2" t="inlineStr">
        <is>
          <t>Sicredi SNI</t>
        </is>
      </c>
      <c r="C2015" s="2" t="inlineStr">
        <is>
          <t>03/06/2026</t>
        </is>
      </c>
      <c r="D2015" s="2" t="inlineStr">
        <is>
          <t>03/06/2026</t>
        </is>
      </c>
      <c r="E2015" s="2" t="inlineStr">
        <is>
          <t>PIX</t>
        </is>
      </c>
      <c r="F2015" s="2" t="inlineStr">
        <is>
          <t>Boleto "59585" do cliente "CLAYTON JOSÉ FERNANDES"</t>
        </is>
      </c>
      <c r="G2015" s="2" t="inlineStr">
        <is>
          <t>system</t>
        </is>
      </c>
      <c r="H2015" s="2" t="inlineStr">
        <is>
          <t>01.01.01 : Mensalidade</t>
        </is>
      </c>
      <c r="I2015" s="3" t="n">
        <v>107.59</v>
      </c>
      <c r="J2015" s="2" t="n"/>
      <c r="K2015" s="2">
        <f>IF(H2015="02.09 : Outras Saídas", IF(OR(ISNUMBER(SEARCH("CHEQUE COMPE SICREDI", F2015)), ISNUMBER(SEARCH("aniversario", F2015)), ISNUMBER(SEARCH("churrasco", F2015)), ISNUMBER(SEARCH("bolo", F2015)), ISNUMBER(SEARCH("SUPERMERCADO", F2015))), "6.1 Despesas Administrativas (Pessoal)", IF(OR(ISNUMBER(SEARCH("DLKNET", F2015)), ISNUMBER(SEARCH("TESTE", F2015))), "6.1 Despesas Administrativas (Gerais)", IFERROR(VLOOKUP(H2015, De_Para!A:B, 2, FALSE), "NÃO MAPEADO"))), IFERROR(VLOOKUP(H2015, De_Para!A:B, 2, FALSE), "NÃO MAPEADO"))</f>
        <v/>
      </c>
    </row>
    <row r="2016">
      <c r="A2016" s="2" t="inlineStr">
        <is>
          <t>67670</t>
        </is>
      </c>
      <c r="B2016" s="2" t="inlineStr">
        <is>
          <t>Sicredi SNI</t>
        </is>
      </c>
      <c r="C2016" s="2" t="inlineStr">
        <is>
          <t>03/06/2026</t>
        </is>
      </c>
      <c r="D2016" s="2" t="inlineStr">
        <is>
          <t>03/06/2026</t>
        </is>
      </c>
      <c r="E2016" s="2" t="inlineStr">
        <is>
          <t>PIX</t>
        </is>
      </c>
      <c r="F2016" s="2" t="inlineStr">
        <is>
          <t>Boleto "70313" do cliente "MARCELO AUGUSTO DA LUZ LEMES"</t>
        </is>
      </c>
      <c r="G2016" s="2" t="inlineStr">
        <is>
          <t>system</t>
        </is>
      </c>
      <c r="H2016" s="2" t="inlineStr">
        <is>
          <t>02.03.02.01 : Cobrança Bancaria</t>
        </is>
      </c>
      <c r="I2016" s="2" t="n"/>
      <c r="J2016" s="3" t="n">
        <v>-0.49</v>
      </c>
      <c r="K2016" s="2">
        <f>IF(H2016="02.09 : Outras Saídas", IF(OR(ISNUMBER(SEARCH("CHEQUE COMPE SICREDI", F2016)), ISNUMBER(SEARCH("aniversario", F2016)), ISNUMBER(SEARCH("churrasco", F2016)), ISNUMBER(SEARCH("bolo", F2016)), ISNUMBER(SEARCH("SUPERMERCADO", F2016))), "6.1 Despesas Administrativas (Pessoal)", IF(OR(ISNUMBER(SEARCH("DLKNET", F2016)), ISNUMBER(SEARCH("TESTE", F2016))), "6.1 Despesas Administrativas (Gerais)", IFERROR(VLOOKUP(H2016, De_Para!A:B, 2, FALSE), "NÃO MAPEADO"))), IFERROR(VLOOKUP(H2016, De_Para!A:B, 2, FALSE), "NÃO MAPEADO"))</f>
        <v/>
      </c>
    </row>
    <row r="2017">
      <c r="A2017" s="2" t="inlineStr">
        <is>
          <t>67669</t>
        </is>
      </c>
      <c r="B2017" s="2" t="inlineStr">
        <is>
          <t>Sicredi SNI</t>
        </is>
      </c>
      <c r="C2017" s="2" t="inlineStr">
        <is>
          <t>03/06/2026</t>
        </is>
      </c>
      <c r="D2017" s="2" t="inlineStr">
        <is>
          <t>03/06/2026</t>
        </is>
      </c>
      <c r="E2017" s="2" t="inlineStr">
        <is>
          <t>PIX</t>
        </is>
      </c>
      <c r="F2017" s="2" t="inlineStr">
        <is>
          <t>Boleto "70313" do cliente "MARCELO AUGUSTO DA LUZ LEMES"</t>
        </is>
      </c>
      <c r="G2017" s="2" t="inlineStr">
        <is>
          <t>system</t>
        </is>
      </c>
      <c r="H2017" s="2" t="inlineStr">
        <is>
          <t>01.01.01 : Mensalidade</t>
        </is>
      </c>
      <c r="I2017" s="3" t="n">
        <v>54.9</v>
      </c>
      <c r="J2017" s="2" t="n"/>
      <c r="K2017" s="2">
        <f>IF(H2017="02.09 : Outras Saídas", IF(OR(ISNUMBER(SEARCH("CHEQUE COMPE SICREDI", F2017)), ISNUMBER(SEARCH("aniversario", F2017)), ISNUMBER(SEARCH("churrasco", F2017)), ISNUMBER(SEARCH("bolo", F2017)), ISNUMBER(SEARCH("SUPERMERCADO", F2017))), "6.1 Despesas Administrativas (Pessoal)", IF(OR(ISNUMBER(SEARCH("DLKNET", F2017)), ISNUMBER(SEARCH("TESTE", F2017))), "6.1 Despesas Administrativas (Gerais)", IFERROR(VLOOKUP(H2017, De_Para!A:B, 2, FALSE), "NÃO MAPEADO"))), IFERROR(VLOOKUP(H2017, De_Para!A:B, 2, FALSE), "NÃO MAPEADO"))</f>
        <v/>
      </c>
    </row>
    <row r="2018">
      <c r="A2018" s="2" t="inlineStr">
        <is>
          <t>67668</t>
        </is>
      </c>
      <c r="B2018" s="2" t="inlineStr">
        <is>
          <t>Sicoob</t>
        </is>
      </c>
      <c r="C2018" s="2" t="inlineStr">
        <is>
          <t>03/06/2026</t>
        </is>
      </c>
      <c r="D2018" s="2" t="inlineStr">
        <is>
          <t>03/06/2026</t>
        </is>
      </c>
      <c r="E2018" s="2" t="inlineStr">
        <is>
          <t>Dinheiro</t>
        </is>
      </c>
      <c r="F2018" s="2" t="inlineStr">
        <is>
          <t>Boleto "66116" do cliente "ANTONIO LUIZ MACIEL"</t>
        </is>
      </c>
      <c r="G2018" s="2" t="inlineStr">
        <is>
          <t>system</t>
        </is>
      </c>
      <c r="H2018" s="2" t="inlineStr">
        <is>
          <t>02.03.02.01 : Cobrança Bancaria</t>
        </is>
      </c>
      <c r="I2018" s="2" t="n"/>
      <c r="J2018" s="3" t="n">
        <v>-0.88</v>
      </c>
      <c r="K2018" s="2">
        <f>IF(H2018="02.09 : Outras Saídas", IF(OR(ISNUMBER(SEARCH("CHEQUE COMPE SICREDI", F2018)), ISNUMBER(SEARCH("aniversario", F2018)), ISNUMBER(SEARCH("churrasco", F2018)), ISNUMBER(SEARCH("bolo", F2018)), ISNUMBER(SEARCH("SUPERMERCADO", F2018))), "6.1 Despesas Administrativas (Pessoal)", IF(OR(ISNUMBER(SEARCH("DLKNET", F2018)), ISNUMBER(SEARCH("TESTE", F2018))), "6.1 Despesas Administrativas (Gerais)", IFERROR(VLOOKUP(H2018, De_Para!A:B, 2, FALSE), "NÃO MAPEADO"))), IFERROR(VLOOKUP(H2018, De_Para!A:B, 2, FALSE), "NÃO MAPEADO"))</f>
        <v/>
      </c>
    </row>
    <row r="2019">
      <c r="A2019" s="2" t="inlineStr">
        <is>
          <t>67667</t>
        </is>
      </c>
      <c r="B2019" s="2" t="inlineStr">
        <is>
          <t>Sicoob</t>
        </is>
      </c>
      <c r="C2019" s="2" t="inlineStr">
        <is>
          <t>03/06/2026</t>
        </is>
      </c>
      <c r="D2019" s="2" t="inlineStr">
        <is>
          <t>03/06/2026</t>
        </is>
      </c>
      <c r="E2019" s="2" t="inlineStr">
        <is>
          <t>Dinheiro</t>
        </is>
      </c>
      <c r="F2019" s="2" t="inlineStr">
        <is>
          <t>Boleto "66116" do cliente "ANTONIO LUIZ MACIEL"</t>
        </is>
      </c>
      <c r="G2019" s="2" t="inlineStr">
        <is>
          <t>system</t>
        </is>
      </c>
      <c r="H2019" s="2" t="inlineStr">
        <is>
          <t>01.01.01 : Mensalidade</t>
        </is>
      </c>
      <c r="I2019" s="3" t="n">
        <v>109.9</v>
      </c>
      <c r="J2019" s="2" t="n"/>
      <c r="K2019" s="2">
        <f>IF(H2019="02.09 : Outras Saídas", IF(OR(ISNUMBER(SEARCH("CHEQUE COMPE SICREDI", F2019)), ISNUMBER(SEARCH("aniversario", F2019)), ISNUMBER(SEARCH("churrasco", F2019)), ISNUMBER(SEARCH("bolo", F2019)), ISNUMBER(SEARCH("SUPERMERCADO", F2019))), "6.1 Despesas Administrativas (Pessoal)", IF(OR(ISNUMBER(SEARCH("DLKNET", F2019)), ISNUMBER(SEARCH("TESTE", F2019))), "6.1 Despesas Administrativas (Gerais)", IFERROR(VLOOKUP(H2019, De_Para!A:B, 2, FALSE), "NÃO MAPEADO"))), IFERROR(VLOOKUP(H2019, De_Para!A:B, 2, FALSE), "NÃO MAPEADO"))</f>
        <v/>
      </c>
    </row>
    <row r="2020">
      <c r="A2020" s="2" t="inlineStr">
        <is>
          <t>67666</t>
        </is>
      </c>
      <c r="B2020" s="2" t="inlineStr">
        <is>
          <t>Sicoob</t>
        </is>
      </c>
      <c r="C2020" s="2" t="inlineStr">
        <is>
          <t>03/06/2026</t>
        </is>
      </c>
      <c r="D2020" s="2" t="inlineStr">
        <is>
          <t>03/06/2026</t>
        </is>
      </c>
      <c r="E2020" s="2" t="inlineStr">
        <is>
          <t>Dinheiro</t>
        </is>
      </c>
      <c r="F2020" s="2" t="inlineStr">
        <is>
          <t>Boleto "59502" do cliente "ADILSON APARECIDO DE OLIVEIRA"</t>
        </is>
      </c>
      <c r="G2020" s="2" t="inlineStr">
        <is>
          <t>system</t>
        </is>
      </c>
      <c r="H2020" s="2" t="inlineStr">
        <is>
          <t>02.03.02.01 : Cobrança Bancaria</t>
        </is>
      </c>
      <c r="I2020" s="2" t="n"/>
      <c r="J2020" s="3" t="n">
        <v>-0.88</v>
      </c>
      <c r="K2020" s="2">
        <f>IF(H2020="02.09 : Outras Saídas", IF(OR(ISNUMBER(SEARCH("CHEQUE COMPE SICREDI", F2020)), ISNUMBER(SEARCH("aniversario", F2020)), ISNUMBER(SEARCH("churrasco", F2020)), ISNUMBER(SEARCH("bolo", F2020)), ISNUMBER(SEARCH("SUPERMERCADO", F2020))), "6.1 Despesas Administrativas (Pessoal)", IF(OR(ISNUMBER(SEARCH("DLKNET", F2020)), ISNUMBER(SEARCH("TESTE", F2020))), "6.1 Despesas Administrativas (Gerais)", IFERROR(VLOOKUP(H2020, De_Para!A:B, 2, FALSE), "NÃO MAPEADO"))), IFERROR(VLOOKUP(H2020, De_Para!A:B, 2, FALSE), "NÃO MAPEADO"))</f>
        <v/>
      </c>
    </row>
    <row r="2021">
      <c r="A2021" s="2" t="inlineStr">
        <is>
          <t>67665</t>
        </is>
      </c>
      <c r="B2021" s="2" t="inlineStr">
        <is>
          <t>Sicoob</t>
        </is>
      </c>
      <c r="C2021" s="2" t="inlineStr">
        <is>
          <t>03/06/2026</t>
        </is>
      </c>
      <c r="D2021" s="2" t="inlineStr">
        <is>
          <t>03/06/2026</t>
        </is>
      </c>
      <c r="E2021" s="2" t="inlineStr">
        <is>
          <t>Dinheiro</t>
        </is>
      </c>
      <c r="F2021" s="2" t="inlineStr">
        <is>
          <t>Boleto "59502" do cliente "ADILSON APARECIDO DE OLIVEIRA"</t>
        </is>
      </c>
      <c r="G2021" s="2" t="inlineStr">
        <is>
          <t>system</t>
        </is>
      </c>
      <c r="H2021" s="2" t="inlineStr">
        <is>
          <t>01.01.01 : Mensalidade</t>
        </is>
      </c>
      <c r="I2021" s="3" t="n">
        <v>105</v>
      </c>
      <c r="J2021" s="2" t="n"/>
      <c r="K2021" s="2">
        <f>IF(H2021="02.09 : Outras Saídas", IF(OR(ISNUMBER(SEARCH("CHEQUE COMPE SICREDI", F2021)), ISNUMBER(SEARCH("aniversario", F2021)), ISNUMBER(SEARCH("churrasco", F2021)), ISNUMBER(SEARCH("bolo", F2021)), ISNUMBER(SEARCH("SUPERMERCADO", F2021))), "6.1 Despesas Administrativas (Pessoal)", IF(OR(ISNUMBER(SEARCH("DLKNET", F2021)), ISNUMBER(SEARCH("TESTE", F2021))), "6.1 Despesas Administrativas (Gerais)", IFERROR(VLOOKUP(H2021, De_Para!A:B, 2, FALSE), "NÃO MAPEADO"))), IFERROR(VLOOKUP(H2021, De_Para!A:B, 2, FALSE), "NÃO MAPEADO"))</f>
        <v/>
      </c>
    </row>
    <row r="2022">
      <c r="A2022" s="2" t="inlineStr">
        <is>
          <t>67664</t>
        </is>
      </c>
      <c r="B2022" s="2" t="inlineStr">
        <is>
          <t>Sicoob</t>
        </is>
      </c>
      <c r="C2022" s="2" t="inlineStr">
        <is>
          <t>03/06/2026</t>
        </is>
      </c>
      <c r="D2022" s="2" t="inlineStr">
        <is>
          <t>03/06/2026</t>
        </is>
      </c>
      <c r="E2022" s="2" t="inlineStr">
        <is>
          <t>Dinheiro</t>
        </is>
      </c>
      <c r="F2022" s="2" t="inlineStr">
        <is>
          <t>Boleto "57568" do cliente "MARIA LÚCIA BATISTA DOS REIS"</t>
        </is>
      </c>
      <c r="G2022" s="2" t="inlineStr">
        <is>
          <t>system</t>
        </is>
      </c>
      <c r="H2022" s="2" t="inlineStr">
        <is>
          <t>02.03.02.01 : Cobrança Bancaria</t>
        </is>
      </c>
      <c r="I2022" s="2" t="n"/>
      <c r="J2022" s="3" t="n">
        <v>-0.88</v>
      </c>
      <c r="K2022" s="2">
        <f>IF(H2022="02.09 : Outras Saídas", IF(OR(ISNUMBER(SEARCH("CHEQUE COMPE SICREDI", F2022)), ISNUMBER(SEARCH("aniversario", F2022)), ISNUMBER(SEARCH("churrasco", F2022)), ISNUMBER(SEARCH("bolo", F2022)), ISNUMBER(SEARCH("SUPERMERCADO", F2022))), "6.1 Despesas Administrativas (Pessoal)", IF(OR(ISNUMBER(SEARCH("DLKNET", F2022)), ISNUMBER(SEARCH("TESTE", F2022))), "6.1 Despesas Administrativas (Gerais)", IFERROR(VLOOKUP(H2022, De_Para!A:B, 2, FALSE), "NÃO MAPEADO"))), IFERROR(VLOOKUP(H2022, De_Para!A:B, 2, FALSE), "NÃO MAPEADO"))</f>
        <v/>
      </c>
    </row>
    <row r="2023">
      <c r="A2023" s="2" t="inlineStr">
        <is>
          <t>67663</t>
        </is>
      </c>
      <c r="B2023" s="2" t="inlineStr">
        <is>
          <t>Sicoob</t>
        </is>
      </c>
      <c r="C2023" s="2" t="inlineStr">
        <is>
          <t>03/06/2026</t>
        </is>
      </c>
      <c r="D2023" s="2" t="inlineStr">
        <is>
          <t>03/06/2026</t>
        </is>
      </c>
      <c r="E2023" s="2" t="inlineStr">
        <is>
          <t>Dinheiro</t>
        </is>
      </c>
      <c r="F2023" s="2" t="inlineStr">
        <is>
          <t>Boleto "57568" do cliente "MARIA LÚCIA BATISTA DOS REIS"</t>
        </is>
      </c>
      <c r="G2023" s="2" t="inlineStr">
        <is>
          <t>system</t>
        </is>
      </c>
      <c r="H2023" s="2" t="inlineStr">
        <is>
          <t>01.01.01 : Mensalidade</t>
        </is>
      </c>
      <c r="I2023" s="3" t="n">
        <v>80</v>
      </c>
      <c r="J2023" s="2" t="n"/>
      <c r="K2023" s="2">
        <f>IF(H2023="02.09 : Outras Saídas", IF(OR(ISNUMBER(SEARCH("CHEQUE COMPE SICREDI", F2023)), ISNUMBER(SEARCH("aniversario", F2023)), ISNUMBER(SEARCH("churrasco", F2023)), ISNUMBER(SEARCH("bolo", F2023)), ISNUMBER(SEARCH("SUPERMERCADO", F2023))), "6.1 Despesas Administrativas (Pessoal)", IF(OR(ISNUMBER(SEARCH("DLKNET", F2023)), ISNUMBER(SEARCH("TESTE", F2023))), "6.1 Despesas Administrativas (Gerais)", IFERROR(VLOOKUP(H2023, De_Para!A:B, 2, FALSE), "NÃO MAPEADO"))), IFERROR(VLOOKUP(H2023, De_Para!A:B, 2, FALSE), "NÃO MAPEADO"))</f>
        <v/>
      </c>
    </row>
    <row r="2024">
      <c r="A2024" s="2" t="inlineStr">
        <is>
          <t>67662</t>
        </is>
      </c>
      <c r="B2024" s="2" t="inlineStr">
        <is>
          <t>Sicredi SNI</t>
        </is>
      </c>
      <c r="C2024" s="2" t="inlineStr">
        <is>
          <t>03/06/2026</t>
        </is>
      </c>
      <c r="D2024" s="2" t="inlineStr">
        <is>
          <t>02/06/2026</t>
        </is>
      </c>
      <c r="E2024" s="2" t="inlineStr">
        <is>
          <t>Dinheiro</t>
        </is>
      </c>
      <c r="F2024" s="2" t="inlineStr">
        <is>
          <t>Boleto "64210" do cliente "RAFAEL APARECIDO DA SILVA LEITE"</t>
        </is>
      </c>
      <c r="G2024" s="2" t="inlineStr">
        <is>
          <t>system</t>
        </is>
      </c>
      <c r="H2024" s="2" t="inlineStr">
        <is>
          <t>02.03.02.01 : Cobrança Bancaria</t>
        </is>
      </c>
      <c r="I2024" s="2" t="n"/>
      <c r="J2024" s="3" t="n">
        <v>-1.08</v>
      </c>
      <c r="K2024" s="2">
        <f>IF(H2024="02.09 : Outras Saídas", IF(OR(ISNUMBER(SEARCH("CHEQUE COMPE SICREDI", F2024)), ISNUMBER(SEARCH("aniversario", F2024)), ISNUMBER(SEARCH("churrasco", F2024)), ISNUMBER(SEARCH("bolo", F2024)), ISNUMBER(SEARCH("SUPERMERCADO", F2024))), "6.1 Despesas Administrativas (Pessoal)", IF(OR(ISNUMBER(SEARCH("DLKNET", F2024)), ISNUMBER(SEARCH("TESTE", F2024))), "6.1 Despesas Administrativas (Gerais)", IFERROR(VLOOKUP(H2024, De_Para!A:B, 2, FALSE), "NÃO MAPEADO"))), IFERROR(VLOOKUP(H2024, De_Para!A:B, 2, FALSE), "NÃO MAPEADO"))</f>
        <v/>
      </c>
    </row>
    <row r="2025">
      <c r="A2025" s="2" t="inlineStr">
        <is>
          <t>67661</t>
        </is>
      </c>
      <c r="B2025" s="2" t="inlineStr">
        <is>
          <t>Sicredi SNI</t>
        </is>
      </c>
      <c r="C2025" s="2" t="inlineStr">
        <is>
          <t>03/06/2026</t>
        </is>
      </c>
      <c r="D2025" s="2" t="inlineStr">
        <is>
          <t>02/06/2026</t>
        </is>
      </c>
      <c r="E2025" s="2" t="inlineStr">
        <is>
          <t>Dinheiro</t>
        </is>
      </c>
      <c r="F2025" s="2" t="inlineStr">
        <is>
          <t>Boleto "64210" do cliente "RAFAEL APARECIDO DA SILVA LEITE"</t>
        </is>
      </c>
      <c r="G2025" s="2" t="inlineStr">
        <is>
          <t>system</t>
        </is>
      </c>
      <c r="H2025" s="2" t="inlineStr">
        <is>
          <t>01.01.01 : Mensalidade</t>
        </is>
      </c>
      <c r="I2025" s="3" t="n">
        <v>104.9</v>
      </c>
      <c r="J2025" s="2" t="n"/>
      <c r="K2025" s="2">
        <f>IF(H2025="02.09 : Outras Saídas", IF(OR(ISNUMBER(SEARCH("CHEQUE COMPE SICREDI", F2025)), ISNUMBER(SEARCH("aniversario", F2025)), ISNUMBER(SEARCH("churrasco", F2025)), ISNUMBER(SEARCH("bolo", F2025)), ISNUMBER(SEARCH("SUPERMERCADO", F2025))), "6.1 Despesas Administrativas (Pessoal)", IF(OR(ISNUMBER(SEARCH("DLKNET", F2025)), ISNUMBER(SEARCH("TESTE", F2025))), "6.1 Despesas Administrativas (Gerais)", IFERROR(VLOOKUP(H2025, De_Para!A:B, 2, FALSE), "NÃO MAPEADO"))), IFERROR(VLOOKUP(H2025, De_Para!A:B, 2, FALSE), "NÃO MAPEADO"))</f>
        <v/>
      </c>
    </row>
    <row r="2026">
      <c r="A2026" s="2" t="inlineStr">
        <is>
          <t>67660</t>
        </is>
      </c>
      <c r="B2026" s="2" t="inlineStr">
        <is>
          <t>Sicredi SNI</t>
        </is>
      </c>
      <c r="C2026" s="2" t="inlineStr">
        <is>
          <t>03/06/2026</t>
        </is>
      </c>
      <c r="D2026" s="2" t="inlineStr">
        <is>
          <t>03/06/2026</t>
        </is>
      </c>
      <c r="E2026" s="2" t="inlineStr">
        <is>
          <t>PIX</t>
        </is>
      </c>
      <c r="F2026" s="2" t="inlineStr">
        <is>
          <t>Boleto "65297" do cliente "GELSON REVELINO"</t>
        </is>
      </c>
      <c r="G2026" s="2" t="inlineStr">
        <is>
          <t>system</t>
        </is>
      </c>
      <c r="H2026" s="2" t="inlineStr">
        <is>
          <t>02.03.02.01 : Cobrança Bancaria</t>
        </is>
      </c>
      <c r="I2026" s="2" t="n"/>
      <c r="J2026" s="3" t="n">
        <v>-0.49</v>
      </c>
      <c r="K2026" s="2">
        <f>IF(H2026="02.09 : Outras Saídas", IF(OR(ISNUMBER(SEARCH("CHEQUE COMPE SICREDI", F2026)), ISNUMBER(SEARCH("aniversario", F2026)), ISNUMBER(SEARCH("churrasco", F2026)), ISNUMBER(SEARCH("bolo", F2026)), ISNUMBER(SEARCH("SUPERMERCADO", F2026))), "6.1 Despesas Administrativas (Pessoal)", IF(OR(ISNUMBER(SEARCH("DLKNET", F2026)), ISNUMBER(SEARCH("TESTE", F2026))), "6.1 Despesas Administrativas (Gerais)", IFERROR(VLOOKUP(H2026, De_Para!A:B, 2, FALSE), "NÃO MAPEADO"))), IFERROR(VLOOKUP(H2026, De_Para!A:B, 2, FALSE), "NÃO MAPEADO"))</f>
        <v/>
      </c>
    </row>
    <row r="2027">
      <c r="A2027" s="2" t="inlineStr">
        <is>
          <t>67659</t>
        </is>
      </c>
      <c r="B2027" s="2" t="inlineStr">
        <is>
          <t>Sicredi SNI</t>
        </is>
      </c>
      <c r="C2027" s="2" t="inlineStr">
        <is>
          <t>03/06/2026</t>
        </is>
      </c>
      <c r="D2027" s="2" t="inlineStr">
        <is>
          <t>03/06/2026</t>
        </is>
      </c>
      <c r="E2027" s="2" t="inlineStr">
        <is>
          <t>PIX</t>
        </is>
      </c>
      <c r="F2027" s="2" t="inlineStr">
        <is>
          <t>Boleto "65297" do cliente "GELSON REVELINO"</t>
        </is>
      </c>
      <c r="G2027" s="2" t="inlineStr">
        <is>
          <t>system</t>
        </is>
      </c>
      <c r="H2027" s="2" t="inlineStr">
        <is>
          <t>01.01.01 : Mensalidade</t>
        </is>
      </c>
      <c r="I2027" s="3" t="n">
        <v>85.98999999999999</v>
      </c>
      <c r="J2027" s="2" t="n"/>
      <c r="K2027" s="2">
        <f>IF(H2027="02.09 : Outras Saídas", IF(OR(ISNUMBER(SEARCH("CHEQUE COMPE SICREDI", F2027)), ISNUMBER(SEARCH("aniversario", F2027)), ISNUMBER(SEARCH("churrasco", F2027)), ISNUMBER(SEARCH("bolo", F2027)), ISNUMBER(SEARCH("SUPERMERCADO", F2027))), "6.1 Despesas Administrativas (Pessoal)", IF(OR(ISNUMBER(SEARCH("DLKNET", F2027)), ISNUMBER(SEARCH("TESTE", F2027))), "6.1 Despesas Administrativas (Gerais)", IFERROR(VLOOKUP(H2027, De_Para!A:B, 2, FALSE), "NÃO MAPEADO"))), IFERROR(VLOOKUP(H2027, De_Para!A:B, 2, FALSE), "NÃO MAPEADO"))</f>
        <v/>
      </c>
    </row>
    <row r="2028">
      <c r="A2028" s="2" t="inlineStr">
        <is>
          <t>67658</t>
        </is>
      </c>
      <c r="B2028" s="2" t="inlineStr">
        <is>
          <t>Sicoob</t>
        </is>
      </c>
      <c r="C2028" s="2" t="inlineStr">
        <is>
          <t>03/06/2026</t>
        </is>
      </c>
      <c r="D2028" s="2" t="inlineStr">
        <is>
          <t>02/06/2026</t>
        </is>
      </c>
      <c r="E2028" s="2" t="inlineStr">
        <is>
          <t>Dinheiro</t>
        </is>
      </c>
      <c r="F2028" s="2" t="inlineStr">
        <is>
          <t>Boleto "57963" do cliente "TEREZA MARTINS DA SIVA"</t>
        </is>
      </c>
      <c r="G2028" s="2" t="inlineStr">
        <is>
          <t>system</t>
        </is>
      </c>
      <c r="H2028" s="2" t="inlineStr">
        <is>
          <t>02.03.02.01 : Cobrança Bancaria</t>
        </is>
      </c>
      <c r="I2028" s="2" t="n"/>
      <c r="J2028" s="3" t="n">
        <v>-0.3</v>
      </c>
      <c r="K2028" s="2">
        <f>IF(H2028="02.09 : Outras Saídas", IF(OR(ISNUMBER(SEARCH("CHEQUE COMPE SICREDI", F2028)), ISNUMBER(SEARCH("aniversario", F2028)), ISNUMBER(SEARCH("churrasco", F2028)), ISNUMBER(SEARCH("bolo", F2028)), ISNUMBER(SEARCH("SUPERMERCADO", F2028))), "6.1 Despesas Administrativas (Pessoal)", IF(OR(ISNUMBER(SEARCH("DLKNET", F2028)), ISNUMBER(SEARCH("TESTE", F2028))), "6.1 Despesas Administrativas (Gerais)", IFERROR(VLOOKUP(H2028, De_Para!A:B, 2, FALSE), "NÃO MAPEADO"))), IFERROR(VLOOKUP(H2028, De_Para!A:B, 2, FALSE), "NÃO MAPEADO"))</f>
        <v/>
      </c>
    </row>
    <row r="2029">
      <c r="A2029" s="2" t="inlineStr">
        <is>
          <t>67657</t>
        </is>
      </c>
      <c r="B2029" s="2" t="inlineStr">
        <is>
          <t>Sicoob</t>
        </is>
      </c>
      <c r="C2029" s="2" t="inlineStr">
        <is>
          <t>03/06/2026</t>
        </is>
      </c>
      <c r="D2029" s="2" t="inlineStr">
        <is>
          <t>02/06/2026</t>
        </is>
      </c>
      <c r="E2029" s="2" t="inlineStr">
        <is>
          <t>Dinheiro</t>
        </is>
      </c>
      <c r="F2029" s="2" t="inlineStr">
        <is>
          <t>Boleto "57963" do cliente "TEREZA MARTINS DA SIVA"</t>
        </is>
      </c>
      <c r="G2029" s="2" t="inlineStr">
        <is>
          <t>system</t>
        </is>
      </c>
      <c r="H2029" s="2" t="inlineStr">
        <is>
          <t>01.03.01 : Mensalidade</t>
        </is>
      </c>
      <c r="I2029" s="3" t="n">
        <v>105</v>
      </c>
      <c r="J2029" s="2" t="n"/>
      <c r="K2029" s="2">
        <f>IF(H2029="02.09 : Outras Saídas", IF(OR(ISNUMBER(SEARCH("CHEQUE COMPE SICREDI", F2029)), ISNUMBER(SEARCH("aniversario", F2029)), ISNUMBER(SEARCH("churrasco", F2029)), ISNUMBER(SEARCH("bolo", F2029)), ISNUMBER(SEARCH("SUPERMERCADO", F2029))), "6.1 Despesas Administrativas (Pessoal)", IF(OR(ISNUMBER(SEARCH("DLKNET", F2029)), ISNUMBER(SEARCH("TESTE", F2029))), "6.1 Despesas Administrativas (Gerais)", IFERROR(VLOOKUP(H2029, De_Para!A:B, 2, FALSE), "NÃO MAPEADO"))), IFERROR(VLOOKUP(H2029, De_Para!A:B, 2, FALSE), "NÃO MAPEADO"))</f>
        <v/>
      </c>
    </row>
    <row r="2030">
      <c r="A2030" s="2" t="inlineStr">
        <is>
          <t>67656</t>
        </is>
      </c>
      <c r="B2030" s="2" t="inlineStr">
        <is>
          <t>Sicredi SNI</t>
        </is>
      </c>
      <c r="C2030" s="2" t="inlineStr">
        <is>
          <t>03/06/2026</t>
        </is>
      </c>
      <c r="D2030" s="2" t="inlineStr">
        <is>
          <t>03/06/2026</t>
        </is>
      </c>
      <c r="E2030" s="2" t="inlineStr">
        <is>
          <t>PIX</t>
        </is>
      </c>
      <c r="F2030" s="2" t="inlineStr">
        <is>
          <t>Boleto "65489" do cliente "ELSO FERREIRA"</t>
        </is>
      </c>
      <c r="G2030" s="2" t="inlineStr">
        <is>
          <t>system</t>
        </is>
      </c>
      <c r="H2030" s="2" t="inlineStr">
        <is>
          <t>02.03.02.01 : Cobrança Bancaria</t>
        </is>
      </c>
      <c r="I2030" s="2" t="n"/>
      <c r="J2030" s="3" t="n">
        <v>-0.49</v>
      </c>
      <c r="K2030" s="2">
        <f>IF(H2030="02.09 : Outras Saídas", IF(OR(ISNUMBER(SEARCH("CHEQUE COMPE SICREDI", F2030)), ISNUMBER(SEARCH("aniversario", F2030)), ISNUMBER(SEARCH("churrasco", F2030)), ISNUMBER(SEARCH("bolo", F2030)), ISNUMBER(SEARCH("SUPERMERCADO", F2030))), "6.1 Despesas Administrativas (Pessoal)", IF(OR(ISNUMBER(SEARCH("DLKNET", F2030)), ISNUMBER(SEARCH("TESTE", F2030))), "6.1 Despesas Administrativas (Gerais)", IFERROR(VLOOKUP(H2030, De_Para!A:B, 2, FALSE), "NÃO MAPEADO"))), IFERROR(VLOOKUP(H2030, De_Para!A:B, 2, FALSE), "NÃO MAPEADO"))</f>
        <v/>
      </c>
    </row>
    <row r="2031">
      <c r="A2031" s="2" t="inlineStr">
        <is>
          <t>67655</t>
        </is>
      </c>
      <c r="B2031" s="2" t="inlineStr">
        <is>
          <t>Sicredi SNI</t>
        </is>
      </c>
      <c r="C2031" s="2" t="inlineStr">
        <is>
          <t>03/06/2026</t>
        </is>
      </c>
      <c r="D2031" s="2" t="inlineStr">
        <is>
          <t>03/06/2026</t>
        </is>
      </c>
      <c r="E2031" s="2" t="inlineStr">
        <is>
          <t>PIX</t>
        </is>
      </c>
      <c r="F2031" s="2" t="inlineStr">
        <is>
          <t>Boleto "65489" do cliente "ELSO FERREIRA"</t>
        </is>
      </c>
      <c r="G2031" s="2" t="inlineStr">
        <is>
          <t>system</t>
        </is>
      </c>
      <c r="H2031" s="2" t="inlineStr">
        <is>
          <t>01.03.01 : Mensalidade</t>
        </is>
      </c>
      <c r="I2031" s="3" t="n">
        <v>105</v>
      </c>
      <c r="J2031" s="2" t="n"/>
      <c r="K2031" s="2">
        <f>IF(H2031="02.09 : Outras Saídas", IF(OR(ISNUMBER(SEARCH("CHEQUE COMPE SICREDI", F2031)), ISNUMBER(SEARCH("aniversario", F2031)), ISNUMBER(SEARCH("churrasco", F2031)), ISNUMBER(SEARCH("bolo", F2031)), ISNUMBER(SEARCH("SUPERMERCADO", F2031))), "6.1 Despesas Administrativas (Pessoal)", IF(OR(ISNUMBER(SEARCH("DLKNET", F2031)), ISNUMBER(SEARCH("TESTE", F2031))), "6.1 Despesas Administrativas (Gerais)", IFERROR(VLOOKUP(H2031, De_Para!A:B, 2, FALSE), "NÃO MAPEADO"))), IFERROR(VLOOKUP(H2031, De_Para!A:B, 2, FALSE), "NÃO MAPEADO"))</f>
        <v/>
      </c>
    </row>
    <row r="2032">
      <c r="A2032" s="2" t="inlineStr">
        <is>
          <t>67654</t>
        </is>
      </c>
      <c r="B2032" s="2" t="inlineStr">
        <is>
          <t>Sicredi SNI</t>
        </is>
      </c>
      <c r="C2032" s="2" t="inlineStr">
        <is>
          <t>02/06/2026</t>
        </is>
      </c>
      <c r="D2032" s="2" t="inlineStr">
        <is>
          <t>02/06/2026</t>
        </is>
      </c>
      <c r="E2032" s="2" t="inlineStr">
        <is>
          <t>Dinheiro</t>
        </is>
      </c>
      <c r="F2032" s="2" t="inlineStr">
        <is>
          <t>Boleto "70239" do cliente "MARIA DE LOURDES DA SILVA"</t>
        </is>
      </c>
      <c r="G2032" s="2" t="inlineStr">
        <is>
          <t>system</t>
        </is>
      </c>
      <c r="H2032" s="2" t="inlineStr">
        <is>
          <t>02.03.02.01 : Cobrança Bancaria</t>
        </is>
      </c>
      <c r="I2032" s="2" t="n"/>
      <c r="J2032" s="3" t="n">
        <v>-1.08</v>
      </c>
      <c r="K2032" s="2">
        <f>IF(H2032="02.09 : Outras Saídas", IF(OR(ISNUMBER(SEARCH("CHEQUE COMPE SICREDI", F2032)), ISNUMBER(SEARCH("aniversario", F2032)), ISNUMBER(SEARCH("churrasco", F2032)), ISNUMBER(SEARCH("bolo", F2032)), ISNUMBER(SEARCH("SUPERMERCADO", F2032))), "6.1 Despesas Administrativas (Pessoal)", IF(OR(ISNUMBER(SEARCH("DLKNET", F2032)), ISNUMBER(SEARCH("TESTE", F2032))), "6.1 Despesas Administrativas (Gerais)", IFERROR(VLOOKUP(H2032, De_Para!A:B, 2, FALSE), "NÃO MAPEADO"))), IFERROR(VLOOKUP(H2032, De_Para!A:B, 2, FALSE), "NÃO MAPEADO"))</f>
        <v/>
      </c>
    </row>
    <row r="2033">
      <c r="A2033" s="2" t="inlineStr">
        <is>
          <t>67653</t>
        </is>
      </c>
      <c r="B2033" s="2" t="inlineStr">
        <is>
          <t>Sicredi SNI</t>
        </is>
      </c>
      <c r="C2033" s="2" t="inlineStr">
        <is>
          <t>02/06/2026</t>
        </is>
      </c>
      <c r="D2033" s="2" t="inlineStr">
        <is>
          <t>02/06/2026</t>
        </is>
      </c>
      <c r="E2033" s="2" t="inlineStr">
        <is>
          <t>Dinheiro</t>
        </is>
      </c>
      <c r="F2033" s="2" t="inlineStr">
        <is>
          <t>Boleto "70239" do cliente "MARIA DE LOURDES DA SILVA"</t>
        </is>
      </c>
      <c r="G2033" s="2" t="inlineStr">
        <is>
          <t>system</t>
        </is>
      </c>
      <c r="H2033" s="2" t="inlineStr">
        <is>
          <t>01.01.01 : Mensalidade</t>
        </is>
      </c>
      <c r="I2033" s="3" t="n">
        <v>140</v>
      </c>
      <c r="J2033" s="2" t="n"/>
      <c r="K2033" s="2">
        <f>IF(H2033="02.09 : Outras Saídas", IF(OR(ISNUMBER(SEARCH("CHEQUE COMPE SICREDI", F2033)), ISNUMBER(SEARCH("aniversario", F2033)), ISNUMBER(SEARCH("churrasco", F2033)), ISNUMBER(SEARCH("bolo", F2033)), ISNUMBER(SEARCH("SUPERMERCADO", F2033))), "6.1 Despesas Administrativas (Pessoal)", IF(OR(ISNUMBER(SEARCH("DLKNET", F2033)), ISNUMBER(SEARCH("TESTE", F2033))), "6.1 Despesas Administrativas (Gerais)", IFERROR(VLOOKUP(H2033, De_Para!A:B, 2, FALSE), "NÃO MAPEADO"))), IFERROR(VLOOKUP(H2033, De_Para!A:B, 2, FALSE), "NÃO MAPEADO"))</f>
        <v/>
      </c>
    </row>
    <row r="2034">
      <c r="A2034" s="2" t="inlineStr">
        <is>
          <t>67652</t>
        </is>
      </c>
      <c r="B2034" s="2" t="inlineStr">
        <is>
          <t>Sicredi SNI</t>
        </is>
      </c>
      <c r="C2034" s="2" t="inlineStr">
        <is>
          <t>02/06/2026</t>
        </is>
      </c>
      <c r="D2034" s="2" t="inlineStr">
        <is>
          <t>02/06/2026</t>
        </is>
      </c>
      <c r="E2034" s="2" t="inlineStr">
        <is>
          <t>Dinheiro</t>
        </is>
      </c>
      <c r="F2034" s="2" t="inlineStr">
        <is>
          <t>Boleto "63331" do cliente "GEOVANETE CARMELIO COUTINHO"</t>
        </is>
      </c>
      <c r="G2034" s="2" t="inlineStr">
        <is>
          <t>system</t>
        </is>
      </c>
      <c r="H2034" s="2" t="inlineStr">
        <is>
          <t>02.03.02.01 : Cobrança Bancaria</t>
        </is>
      </c>
      <c r="I2034" s="2" t="n"/>
      <c r="J2034" s="3" t="n">
        <v>-1.08</v>
      </c>
      <c r="K2034" s="2">
        <f>IF(H2034="02.09 : Outras Saídas", IF(OR(ISNUMBER(SEARCH("CHEQUE COMPE SICREDI", F2034)), ISNUMBER(SEARCH("aniversario", F2034)), ISNUMBER(SEARCH("churrasco", F2034)), ISNUMBER(SEARCH("bolo", F2034)), ISNUMBER(SEARCH("SUPERMERCADO", F2034))), "6.1 Despesas Administrativas (Pessoal)", IF(OR(ISNUMBER(SEARCH("DLKNET", F2034)), ISNUMBER(SEARCH("TESTE", F2034))), "6.1 Despesas Administrativas (Gerais)", IFERROR(VLOOKUP(H2034, De_Para!A:B, 2, FALSE), "NÃO MAPEADO"))), IFERROR(VLOOKUP(H2034, De_Para!A:B, 2, FALSE), "NÃO MAPEADO"))</f>
        <v/>
      </c>
    </row>
    <row r="2035">
      <c r="A2035" s="2" t="inlineStr">
        <is>
          <t>67651</t>
        </is>
      </c>
      <c r="B2035" s="2" t="inlineStr">
        <is>
          <t>Sicredi SNI</t>
        </is>
      </c>
      <c r="C2035" s="2" t="inlineStr">
        <is>
          <t>02/06/2026</t>
        </is>
      </c>
      <c r="D2035" s="2" t="inlineStr">
        <is>
          <t>02/06/2026</t>
        </is>
      </c>
      <c r="E2035" s="2" t="inlineStr">
        <is>
          <t>Dinheiro</t>
        </is>
      </c>
      <c r="F2035" s="2" t="inlineStr">
        <is>
          <t>Boleto "63331" do cliente "GEOVANETE CARMELIO COUTINHO"</t>
        </is>
      </c>
      <c r="G2035" s="2" t="inlineStr">
        <is>
          <t>system</t>
        </is>
      </c>
      <c r="H2035" s="2" t="inlineStr">
        <is>
          <t>01.01.01 : Mensalidade</t>
        </is>
      </c>
      <c r="I2035" s="3" t="n">
        <v>104.9</v>
      </c>
      <c r="J2035" s="2" t="n"/>
      <c r="K2035" s="2">
        <f>IF(H2035="02.09 : Outras Saídas", IF(OR(ISNUMBER(SEARCH("CHEQUE COMPE SICREDI", F2035)), ISNUMBER(SEARCH("aniversario", F2035)), ISNUMBER(SEARCH("churrasco", F2035)), ISNUMBER(SEARCH("bolo", F2035)), ISNUMBER(SEARCH("SUPERMERCADO", F2035))), "6.1 Despesas Administrativas (Pessoal)", IF(OR(ISNUMBER(SEARCH("DLKNET", F2035)), ISNUMBER(SEARCH("TESTE", F2035))), "6.1 Despesas Administrativas (Gerais)", IFERROR(VLOOKUP(H2035, De_Para!A:B, 2, FALSE), "NÃO MAPEADO"))), IFERROR(VLOOKUP(H2035, De_Para!A:B, 2, FALSE), "NÃO MAPEADO"))</f>
        <v/>
      </c>
    </row>
    <row r="2036">
      <c r="A2036" s="2" t="inlineStr">
        <is>
          <t>67650</t>
        </is>
      </c>
      <c r="B2036" s="2" t="inlineStr">
        <is>
          <t>Sicoob</t>
        </is>
      </c>
      <c r="C2036" s="2" t="inlineStr">
        <is>
          <t>02/06/2026</t>
        </is>
      </c>
      <c r="D2036" s="2" t="inlineStr">
        <is>
          <t>02/06/2026</t>
        </is>
      </c>
      <c r="E2036" s="2" t="inlineStr">
        <is>
          <t>Dinheiro</t>
        </is>
      </c>
      <c r="F2036" s="2" t="inlineStr">
        <is>
          <t>Boleto "65308" do cliente "RINALDO APARECIDO DE CARVALHO"</t>
        </is>
      </c>
      <c r="G2036" s="2" t="inlineStr">
        <is>
          <t>system</t>
        </is>
      </c>
      <c r="H2036" s="2" t="inlineStr">
        <is>
          <t>02.03.02.01 : Cobrança Bancaria</t>
        </is>
      </c>
      <c r="I2036" s="2" t="n"/>
      <c r="J2036" s="3" t="n">
        <v>-0.88</v>
      </c>
      <c r="K2036" s="2">
        <f>IF(H2036="02.09 : Outras Saídas", IF(OR(ISNUMBER(SEARCH("CHEQUE COMPE SICREDI", F2036)), ISNUMBER(SEARCH("aniversario", F2036)), ISNUMBER(SEARCH("churrasco", F2036)), ISNUMBER(SEARCH("bolo", F2036)), ISNUMBER(SEARCH("SUPERMERCADO", F2036))), "6.1 Despesas Administrativas (Pessoal)", IF(OR(ISNUMBER(SEARCH("DLKNET", F2036)), ISNUMBER(SEARCH("TESTE", F2036))), "6.1 Despesas Administrativas (Gerais)", IFERROR(VLOOKUP(H2036, De_Para!A:B, 2, FALSE), "NÃO MAPEADO"))), IFERROR(VLOOKUP(H2036, De_Para!A:B, 2, FALSE), "NÃO MAPEADO"))</f>
        <v/>
      </c>
    </row>
    <row r="2037">
      <c r="A2037" s="2" t="inlineStr">
        <is>
          <t>67649</t>
        </is>
      </c>
      <c r="B2037" s="2" t="inlineStr">
        <is>
          <t>Sicoob</t>
        </is>
      </c>
      <c r="C2037" s="2" t="inlineStr">
        <is>
          <t>02/06/2026</t>
        </is>
      </c>
      <c r="D2037" s="2" t="inlineStr">
        <is>
          <t>02/06/2026</t>
        </is>
      </c>
      <c r="E2037" s="2" t="inlineStr">
        <is>
          <t>Dinheiro</t>
        </is>
      </c>
      <c r="F2037" s="2" t="inlineStr">
        <is>
          <t>Boleto "65308" do cliente "RINALDO APARECIDO DE CARVALHO"</t>
        </is>
      </c>
      <c r="G2037" s="2" t="inlineStr">
        <is>
          <t>system</t>
        </is>
      </c>
      <c r="H2037" s="2" t="inlineStr">
        <is>
          <t>01.01.01 : Mensalidade</t>
        </is>
      </c>
      <c r="I2037" s="3" t="n">
        <v>107.02</v>
      </c>
      <c r="J2037" s="2" t="n"/>
      <c r="K2037" s="2">
        <f>IF(H2037="02.09 : Outras Saídas", IF(OR(ISNUMBER(SEARCH("CHEQUE COMPE SICREDI", F2037)), ISNUMBER(SEARCH("aniversario", F2037)), ISNUMBER(SEARCH("churrasco", F2037)), ISNUMBER(SEARCH("bolo", F2037)), ISNUMBER(SEARCH("SUPERMERCADO", F2037))), "6.1 Despesas Administrativas (Pessoal)", IF(OR(ISNUMBER(SEARCH("DLKNET", F2037)), ISNUMBER(SEARCH("TESTE", F2037))), "6.1 Despesas Administrativas (Gerais)", IFERROR(VLOOKUP(H2037, De_Para!A:B, 2, FALSE), "NÃO MAPEADO"))), IFERROR(VLOOKUP(H2037, De_Para!A:B, 2, FALSE), "NÃO MAPEADO"))</f>
        <v/>
      </c>
    </row>
    <row r="2038">
      <c r="A2038" s="2" t="inlineStr">
        <is>
          <t>67648</t>
        </is>
      </c>
      <c r="B2038" s="2" t="inlineStr">
        <is>
          <t>Sicoob</t>
        </is>
      </c>
      <c r="C2038" s="2" t="inlineStr">
        <is>
          <t>02/06/2026</t>
        </is>
      </c>
      <c r="D2038" s="2" t="inlineStr">
        <is>
          <t>02/06/2026</t>
        </is>
      </c>
      <c r="E2038" s="2" t="inlineStr">
        <is>
          <t>Dinheiro</t>
        </is>
      </c>
      <c r="F2038" s="2" t="inlineStr">
        <is>
          <t>Boleto "56138" do cliente "MARIA ANGELICA COUTINHO GONÇALVES"</t>
        </is>
      </c>
      <c r="G2038" s="2" t="inlineStr">
        <is>
          <t>system</t>
        </is>
      </c>
      <c r="H2038" s="2" t="inlineStr">
        <is>
          <t>02.03.02.01 : Cobrança Bancaria</t>
        </is>
      </c>
      <c r="I2038" s="2" t="n"/>
      <c r="J2038" s="3" t="n">
        <v>-0.88</v>
      </c>
      <c r="K2038" s="2">
        <f>IF(H2038="02.09 : Outras Saídas", IF(OR(ISNUMBER(SEARCH("CHEQUE COMPE SICREDI", F2038)), ISNUMBER(SEARCH("aniversario", F2038)), ISNUMBER(SEARCH("churrasco", F2038)), ISNUMBER(SEARCH("bolo", F2038)), ISNUMBER(SEARCH("SUPERMERCADO", F2038))), "6.1 Despesas Administrativas (Pessoal)", IF(OR(ISNUMBER(SEARCH("DLKNET", F2038)), ISNUMBER(SEARCH("TESTE", F2038))), "6.1 Despesas Administrativas (Gerais)", IFERROR(VLOOKUP(H2038, De_Para!A:B, 2, FALSE), "NÃO MAPEADO"))), IFERROR(VLOOKUP(H2038, De_Para!A:B, 2, FALSE), "NÃO MAPEADO"))</f>
        <v/>
      </c>
    </row>
    <row r="2039">
      <c r="A2039" s="2" t="inlineStr">
        <is>
          <t>67647</t>
        </is>
      </c>
      <c r="B2039" s="2" t="inlineStr">
        <is>
          <t>Sicoob</t>
        </is>
      </c>
      <c r="C2039" s="2" t="inlineStr">
        <is>
          <t>02/06/2026</t>
        </is>
      </c>
      <c r="D2039" s="2" t="inlineStr">
        <is>
          <t>02/06/2026</t>
        </is>
      </c>
      <c r="E2039" s="2" t="inlineStr">
        <is>
          <t>Dinheiro</t>
        </is>
      </c>
      <c r="F2039" s="2" t="inlineStr">
        <is>
          <t>Boleto "56138" do cliente "MARIA ANGELICA COUTINHO GONÇALVES"</t>
        </is>
      </c>
      <c r="G2039" s="2" t="inlineStr">
        <is>
          <t>system</t>
        </is>
      </c>
      <c r="H2039" s="2" t="inlineStr">
        <is>
          <t>01.01.01 : Mensalidade</t>
        </is>
      </c>
      <c r="I2039" s="3" t="n">
        <v>80</v>
      </c>
      <c r="J2039" s="2" t="n"/>
      <c r="K2039" s="2">
        <f>IF(H2039="02.09 : Outras Saídas", IF(OR(ISNUMBER(SEARCH("CHEQUE COMPE SICREDI", F2039)), ISNUMBER(SEARCH("aniversario", F2039)), ISNUMBER(SEARCH("churrasco", F2039)), ISNUMBER(SEARCH("bolo", F2039)), ISNUMBER(SEARCH("SUPERMERCADO", F2039))), "6.1 Despesas Administrativas (Pessoal)", IF(OR(ISNUMBER(SEARCH("DLKNET", F2039)), ISNUMBER(SEARCH("TESTE", F2039))), "6.1 Despesas Administrativas (Gerais)", IFERROR(VLOOKUP(H2039, De_Para!A:B, 2, FALSE), "NÃO MAPEADO"))), IFERROR(VLOOKUP(H2039, De_Para!A:B, 2, FALSE), "NÃO MAPEADO"))</f>
        <v/>
      </c>
    </row>
    <row r="2040">
      <c r="A2040" s="2" t="inlineStr">
        <is>
          <t>67646</t>
        </is>
      </c>
      <c r="B2040" s="2" t="inlineStr">
        <is>
          <t>Sicoob</t>
        </is>
      </c>
      <c r="C2040" s="2" t="inlineStr">
        <is>
          <t>02/06/2026</t>
        </is>
      </c>
      <c r="D2040" s="2" t="inlineStr">
        <is>
          <t>02/06/2026</t>
        </is>
      </c>
      <c r="E2040" s="2" t="inlineStr">
        <is>
          <t>Dinheiro</t>
        </is>
      </c>
      <c r="F2040" s="2" t="inlineStr">
        <is>
          <t>Boleto "65971" do cliente "EFRAIN DE CARVALHO PAULA"</t>
        </is>
      </c>
      <c r="G2040" s="2" t="inlineStr">
        <is>
          <t>system</t>
        </is>
      </c>
      <c r="H2040" s="2" t="inlineStr">
        <is>
          <t>02.03.02.01 : Cobrança Bancaria</t>
        </is>
      </c>
      <c r="I2040" s="2" t="n"/>
      <c r="J2040" s="3" t="n">
        <v>-0.88</v>
      </c>
      <c r="K2040" s="2">
        <f>IF(H2040="02.09 : Outras Saídas", IF(OR(ISNUMBER(SEARCH("CHEQUE COMPE SICREDI", F2040)), ISNUMBER(SEARCH("aniversario", F2040)), ISNUMBER(SEARCH("churrasco", F2040)), ISNUMBER(SEARCH("bolo", F2040)), ISNUMBER(SEARCH("SUPERMERCADO", F2040))), "6.1 Despesas Administrativas (Pessoal)", IF(OR(ISNUMBER(SEARCH("DLKNET", F2040)), ISNUMBER(SEARCH("TESTE", F2040))), "6.1 Despesas Administrativas (Gerais)", IFERROR(VLOOKUP(H2040, De_Para!A:B, 2, FALSE), "NÃO MAPEADO"))), IFERROR(VLOOKUP(H2040, De_Para!A:B, 2, FALSE), "NÃO MAPEADO"))</f>
        <v/>
      </c>
    </row>
    <row r="2041">
      <c r="A2041" s="2" t="inlineStr">
        <is>
          <t>67645</t>
        </is>
      </c>
      <c r="B2041" s="2" t="inlineStr">
        <is>
          <t>Sicoob</t>
        </is>
      </c>
      <c r="C2041" s="2" t="inlineStr">
        <is>
          <t>02/06/2026</t>
        </is>
      </c>
      <c r="D2041" s="2" t="inlineStr">
        <is>
          <t>02/06/2026</t>
        </is>
      </c>
      <c r="E2041" s="2" t="inlineStr">
        <is>
          <t>Dinheiro</t>
        </is>
      </c>
      <c r="F2041" s="2" t="inlineStr">
        <is>
          <t>Boleto "65971" do cliente "EFRAIN DE CARVALHO PAULA"</t>
        </is>
      </c>
      <c r="G2041" s="2" t="inlineStr">
        <is>
          <t>system</t>
        </is>
      </c>
      <c r="H2041" s="2" t="inlineStr">
        <is>
          <t>01.03.01 : Mensalidade</t>
        </is>
      </c>
      <c r="I2041" s="3" t="n">
        <v>107.55</v>
      </c>
      <c r="J2041" s="2" t="n"/>
      <c r="K2041" s="2">
        <f>IF(H2041="02.09 : Outras Saídas", IF(OR(ISNUMBER(SEARCH("CHEQUE COMPE SICREDI", F2041)), ISNUMBER(SEARCH("aniversario", F2041)), ISNUMBER(SEARCH("churrasco", F2041)), ISNUMBER(SEARCH("bolo", F2041)), ISNUMBER(SEARCH("SUPERMERCADO", F2041))), "6.1 Despesas Administrativas (Pessoal)", IF(OR(ISNUMBER(SEARCH("DLKNET", F2041)), ISNUMBER(SEARCH("TESTE", F2041))), "6.1 Despesas Administrativas (Gerais)", IFERROR(VLOOKUP(H2041, De_Para!A:B, 2, FALSE), "NÃO MAPEADO"))), IFERROR(VLOOKUP(H2041, De_Para!A:B, 2, FALSE), "NÃO MAPEADO"))</f>
        <v/>
      </c>
    </row>
    <row r="2042">
      <c r="A2042" s="2" t="inlineStr">
        <is>
          <t>67644</t>
        </is>
      </c>
      <c r="B2042" s="2" t="inlineStr">
        <is>
          <t>Sicoob</t>
        </is>
      </c>
      <c r="C2042" s="2" t="inlineStr">
        <is>
          <t>02/06/2026</t>
        </is>
      </c>
      <c r="D2042" s="2" t="inlineStr">
        <is>
          <t>02/06/2026</t>
        </is>
      </c>
      <c r="E2042" s="2" t="inlineStr">
        <is>
          <t>Dinheiro</t>
        </is>
      </c>
      <c r="F2042" s="2" t="inlineStr">
        <is>
          <t>Boleto "64891" do cliente "NARIELE CRISTINA RAMOS"</t>
        </is>
      </c>
      <c r="G2042" s="2" t="inlineStr">
        <is>
          <t>system</t>
        </is>
      </c>
      <c r="H2042" s="2" t="inlineStr">
        <is>
          <t>02.03.02.01 : Cobrança Bancaria</t>
        </is>
      </c>
      <c r="I2042" s="2" t="n"/>
      <c r="J2042" s="3" t="n">
        <v>-0.88</v>
      </c>
      <c r="K2042" s="2">
        <f>IF(H2042="02.09 : Outras Saídas", IF(OR(ISNUMBER(SEARCH("CHEQUE COMPE SICREDI", F2042)), ISNUMBER(SEARCH("aniversario", F2042)), ISNUMBER(SEARCH("churrasco", F2042)), ISNUMBER(SEARCH("bolo", F2042)), ISNUMBER(SEARCH("SUPERMERCADO", F2042))), "6.1 Despesas Administrativas (Pessoal)", IF(OR(ISNUMBER(SEARCH("DLKNET", F2042)), ISNUMBER(SEARCH("TESTE", F2042))), "6.1 Despesas Administrativas (Gerais)", IFERROR(VLOOKUP(H2042, De_Para!A:B, 2, FALSE), "NÃO MAPEADO"))), IFERROR(VLOOKUP(H2042, De_Para!A:B, 2, FALSE), "NÃO MAPEADO"))</f>
        <v/>
      </c>
    </row>
    <row r="2043">
      <c r="A2043" s="2" t="inlineStr">
        <is>
          <t>67643</t>
        </is>
      </c>
      <c r="B2043" s="2" t="inlineStr">
        <is>
          <t>Sicoob</t>
        </is>
      </c>
      <c r="C2043" s="2" t="inlineStr">
        <is>
          <t>02/06/2026</t>
        </is>
      </c>
      <c r="D2043" s="2" t="inlineStr">
        <is>
          <t>02/06/2026</t>
        </is>
      </c>
      <c r="E2043" s="2" t="inlineStr">
        <is>
          <t>Dinheiro</t>
        </is>
      </c>
      <c r="F2043" s="2" t="inlineStr">
        <is>
          <t>Boleto "64891" do cliente "NARIELE CRISTINA RAMOS"</t>
        </is>
      </c>
      <c r="G2043" s="2" t="inlineStr">
        <is>
          <t>system</t>
        </is>
      </c>
      <c r="H2043" s="2" t="inlineStr">
        <is>
          <t>01.01.01 : Mensalidade</t>
        </is>
      </c>
      <c r="I2043" s="3" t="n">
        <v>102.43</v>
      </c>
      <c r="J2043" s="2" t="n"/>
      <c r="K2043" s="2">
        <f>IF(H2043="02.09 : Outras Saídas", IF(OR(ISNUMBER(SEARCH("CHEQUE COMPE SICREDI", F2043)), ISNUMBER(SEARCH("aniversario", F2043)), ISNUMBER(SEARCH("churrasco", F2043)), ISNUMBER(SEARCH("bolo", F2043)), ISNUMBER(SEARCH("SUPERMERCADO", F2043))), "6.1 Despesas Administrativas (Pessoal)", IF(OR(ISNUMBER(SEARCH("DLKNET", F2043)), ISNUMBER(SEARCH("TESTE", F2043))), "6.1 Despesas Administrativas (Gerais)", IFERROR(VLOOKUP(H2043, De_Para!A:B, 2, FALSE), "NÃO MAPEADO"))), IFERROR(VLOOKUP(H2043, De_Para!A:B, 2, FALSE), "NÃO MAPEADO"))</f>
        <v/>
      </c>
    </row>
    <row r="2044">
      <c r="A2044" s="2" t="inlineStr">
        <is>
          <t>67642</t>
        </is>
      </c>
      <c r="B2044" s="2" t="inlineStr">
        <is>
          <t>Sicoob</t>
        </is>
      </c>
      <c r="C2044" s="2" t="inlineStr">
        <is>
          <t>02/06/2026</t>
        </is>
      </c>
      <c r="D2044" s="2" t="inlineStr">
        <is>
          <t>02/06/2026</t>
        </is>
      </c>
      <c r="E2044" s="2" t="inlineStr">
        <is>
          <t>Dinheiro</t>
        </is>
      </c>
      <c r="F2044" s="2" t="inlineStr">
        <is>
          <t>Boleto "65253" do cliente "LAUREM VITORIA RAMOS"</t>
        </is>
      </c>
      <c r="G2044" s="2" t="inlineStr">
        <is>
          <t>system</t>
        </is>
      </c>
      <c r="H2044" s="2" t="inlineStr">
        <is>
          <t>02.03.02.01 : Cobrança Bancaria</t>
        </is>
      </c>
      <c r="I2044" s="2" t="n"/>
      <c r="J2044" s="3" t="n">
        <v>-0.88</v>
      </c>
      <c r="K2044" s="2">
        <f>IF(H2044="02.09 : Outras Saídas", IF(OR(ISNUMBER(SEARCH("CHEQUE COMPE SICREDI", F2044)), ISNUMBER(SEARCH("aniversario", F2044)), ISNUMBER(SEARCH("churrasco", F2044)), ISNUMBER(SEARCH("bolo", F2044)), ISNUMBER(SEARCH("SUPERMERCADO", F2044))), "6.1 Despesas Administrativas (Pessoal)", IF(OR(ISNUMBER(SEARCH("DLKNET", F2044)), ISNUMBER(SEARCH("TESTE", F2044))), "6.1 Despesas Administrativas (Gerais)", IFERROR(VLOOKUP(H2044, De_Para!A:B, 2, FALSE), "NÃO MAPEADO"))), IFERROR(VLOOKUP(H2044, De_Para!A:B, 2, FALSE), "NÃO MAPEADO"))</f>
        <v/>
      </c>
    </row>
    <row r="2045">
      <c r="A2045" s="2" t="inlineStr">
        <is>
          <t>67641</t>
        </is>
      </c>
      <c r="B2045" s="2" t="inlineStr">
        <is>
          <t>Sicoob</t>
        </is>
      </c>
      <c r="C2045" s="2" t="inlineStr">
        <is>
          <t>02/06/2026</t>
        </is>
      </c>
      <c r="D2045" s="2" t="inlineStr">
        <is>
          <t>02/06/2026</t>
        </is>
      </c>
      <c r="E2045" s="2" t="inlineStr">
        <is>
          <t>Dinheiro</t>
        </is>
      </c>
      <c r="F2045" s="2" t="inlineStr">
        <is>
          <t>Boleto "65253" do cliente "LAUREM VITORIA RAMOS"</t>
        </is>
      </c>
      <c r="G2045" s="2" t="inlineStr">
        <is>
          <t>system</t>
        </is>
      </c>
      <c r="H2045" s="2" t="inlineStr">
        <is>
          <t>01.01.01 : Mensalidade</t>
        </is>
      </c>
      <c r="I2045" s="3" t="n">
        <v>104.9</v>
      </c>
      <c r="J2045" s="2" t="n"/>
      <c r="K2045" s="2">
        <f>IF(H2045="02.09 : Outras Saídas", IF(OR(ISNUMBER(SEARCH("CHEQUE COMPE SICREDI", F2045)), ISNUMBER(SEARCH("aniversario", F2045)), ISNUMBER(SEARCH("churrasco", F2045)), ISNUMBER(SEARCH("bolo", F2045)), ISNUMBER(SEARCH("SUPERMERCADO", F2045))), "6.1 Despesas Administrativas (Pessoal)", IF(OR(ISNUMBER(SEARCH("DLKNET", F2045)), ISNUMBER(SEARCH("TESTE", F2045))), "6.1 Despesas Administrativas (Gerais)", IFERROR(VLOOKUP(H2045, De_Para!A:B, 2, FALSE), "NÃO MAPEADO"))), IFERROR(VLOOKUP(H2045, De_Para!A:B, 2, FALSE), "NÃO MAPEADO"))</f>
        <v/>
      </c>
    </row>
    <row r="2046">
      <c r="A2046" s="2" t="inlineStr">
        <is>
          <t>67640</t>
        </is>
      </c>
      <c r="B2046" s="2" t="inlineStr">
        <is>
          <t>Sicredi SNI</t>
        </is>
      </c>
      <c r="C2046" s="2" t="inlineStr">
        <is>
          <t>02/06/2026</t>
        </is>
      </c>
      <c r="D2046" s="2" t="inlineStr">
        <is>
          <t>02/06/2026</t>
        </is>
      </c>
      <c r="E2046" s="2" t="inlineStr">
        <is>
          <t>PIX</t>
        </is>
      </c>
      <c r="F2046" s="2" t="inlineStr">
        <is>
          <t>Boleto "64440" do cliente "MARIA LUIZA FARINCHO"</t>
        </is>
      </c>
      <c r="G2046" s="2" t="inlineStr">
        <is>
          <t>system</t>
        </is>
      </c>
      <c r="H2046" s="2" t="inlineStr">
        <is>
          <t>02.03.02.01 : Cobrança Bancaria</t>
        </is>
      </c>
      <c r="I2046" s="2" t="n"/>
      <c r="J2046" s="3" t="n">
        <v>-0.49</v>
      </c>
      <c r="K2046" s="2">
        <f>IF(H2046="02.09 : Outras Saídas", IF(OR(ISNUMBER(SEARCH("CHEQUE COMPE SICREDI", F2046)), ISNUMBER(SEARCH("aniversario", F2046)), ISNUMBER(SEARCH("churrasco", F2046)), ISNUMBER(SEARCH("bolo", F2046)), ISNUMBER(SEARCH("SUPERMERCADO", F2046))), "6.1 Despesas Administrativas (Pessoal)", IF(OR(ISNUMBER(SEARCH("DLKNET", F2046)), ISNUMBER(SEARCH("TESTE", F2046))), "6.1 Despesas Administrativas (Gerais)", IFERROR(VLOOKUP(H2046, De_Para!A:B, 2, FALSE), "NÃO MAPEADO"))), IFERROR(VLOOKUP(H2046, De_Para!A:B, 2, FALSE), "NÃO MAPEADO"))</f>
        <v/>
      </c>
    </row>
    <row r="2047">
      <c r="A2047" s="2" t="inlineStr">
        <is>
          <t>67639</t>
        </is>
      </c>
      <c r="B2047" s="2" t="inlineStr">
        <is>
          <t>Sicredi SNI</t>
        </is>
      </c>
      <c r="C2047" s="2" t="inlineStr">
        <is>
          <t>02/06/2026</t>
        </is>
      </c>
      <c r="D2047" s="2" t="inlineStr">
        <is>
          <t>02/06/2026</t>
        </is>
      </c>
      <c r="E2047" s="2" t="inlineStr">
        <is>
          <t>PIX</t>
        </is>
      </c>
      <c r="F2047" s="2" t="inlineStr">
        <is>
          <t>Boleto "64440" do cliente "MARIA LUIZA FARINCHO"</t>
        </is>
      </c>
      <c r="G2047" s="2" t="inlineStr">
        <is>
          <t>system</t>
        </is>
      </c>
      <c r="H2047" s="2" t="inlineStr">
        <is>
          <t>01.01.01 : Mensalidade</t>
        </is>
      </c>
      <c r="I2047" s="3" t="n">
        <v>110</v>
      </c>
      <c r="J2047" s="2" t="n"/>
      <c r="K2047" s="2">
        <f>IF(H2047="02.09 : Outras Saídas", IF(OR(ISNUMBER(SEARCH("CHEQUE COMPE SICREDI", F2047)), ISNUMBER(SEARCH("aniversario", F2047)), ISNUMBER(SEARCH("churrasco", F2047)), ISNUMBER(SEARCH("bolo", F2047)), ISNUMBER(SEARCH("SUPERMERCADO", F2047))), "6.1 Despesas Administrativas (Pessoal)", IF(OR(ISNUMBER(SEARCH("DLKNET", F2047)), ISNUMBER(SEARCH("TESTE", F2047))), "6.1 Despesas Administrativas (Gerais)", IFERROR(VLOOKUP(H2047, De_Para!A:B, 2, FALSE), "NÃO MAPEADO"))), IFERROR(VLOOKUP(H2047, De_Para!A:B, 2, FALSE), "NÃO MAPEADO"))</f>
        <v/>
      </c>
    </row>
    <row r="2048">
      <c r="A2048" s="2" t="inlineStr">
        <is>
          <t>67638</t>
        </is>
      </c>
      <c r="B2048" s="2" t="inlineStr">
        <is>
          <t>Sicredi SNI</t>
        </is>
      </c>
      <c r="C2048" s="2" t="inlineStr">
        <is>
          <t>02/06/2026</t>
        </is>
      </c>
      <c r="D2048" s="2" t="inlineStr">
        <is>
          <t>02/06/2026</t>
        </is>
      </c>
      <c r="E2048" s="2" t="inlineStr">
        <is>
          <t>PIX</t>
        </is>
      </c>
      <c r="F2048" s="2" t="inlineStr">
        <is>
          <t>Boleto "57096" do cliente "ELIZANGELA APARECIDA ANTONIO"</t>
        </is>
      </c>
      <c r="G2048" s="2" t="inlineStr">
        <is>
          <t>system</t>
        </is>
      </c>
      <c r="H2048" s="2" t="inlineStr">
        <is>
          <t>02.03.02.01 : Cobrança Bancaria</t>
        </is>
      </c>
      <c r="I2048" s="2" t="n"/>
      <c r="J2048" s="3" t="n">
        <v>-0.49</v>
      </c>
      <c r="K2048" s="2">
        <f>IF(H2048="02.09 : Outras Saídas", IF(OR(ISNUMBER(SEARCH("CHEQUE COMPE SICREDI", F2048)), ISNUMBER(SEARCH("aniversario", F2048)), ISNUMBER(SEARCH("churrasco", F2048)), ISNUMBER(SEARCH("bolo", F2048)), ISNUMBER(SEARCH("SUPERMERCADO", F2048))), "6.1 Despesas Administrativas (Pessoal)", IF(OR(ISNUMBER(SEARCH("DLKNET", F2048)), ISNUMBER(SEARCH("TESTE", F2048))), "6.1 Despesas Administrativas (Gerais)", IFERROR(VLOOKUP(H2048, De_Para!A:B, 2, FALSE), "NÃO MAPEADO"))), IFERROR(VLOOKUP(H2048, De_Para!A:B, 2, FALSE), "NÃO MAPEADO"))</f>
        <v/>
      </c>
    </row>
    <row r="2049">
      <c r="A2049" s="2" t="inlineStr">
        <is>
          <t>67637</t>
        </is>
      </c>
      <c r="B2049" s="2" t="inlineStr">
        <is>
          <t>Sicredi SNI</t>
        </is>
      </c>
      <c r="C2049" s="2" t="inlineStr">
        <is>
          <t>02/06/2026</t>
        </is>
      </c>
      <c r="D2049" s="2" t="inlineStr">
        <is>
          <t>02/06/2026</t>
        </is>
      </c>
      <c r="E2049" s="2" t="inlineStr">
        <is>
          <t>PIX</t>
        </is>
      </c>
      <c r="F2049" s="2" t="inlineStr">
        <is>
          <t>Boleto "57096" do cliente "ELIZANGELA APARECIDA ANTONIO"</t>
        </is>
      </c>
      <c r="G2049" s="2" t="inlineStr">
        <is>
          <t>system</t>
        </is>
      </c>
      <c r="H2049" s="2" t="inlineStr">
        <is>
          <t>01.01.01 : Mensalidade</t>
        </is>
      </c>
      <c r="I2049" s="3" t="n">
        <v>100</v>
      </c>
      <c r="J2049" s="2" t="n"/>
      <c r="K2049" s="2">
        <f>IF(H2049="02.09 : Outras Saídas", IF(OR(ISNUMBER(SEARCH("CHEQUE COMPE SICREDI", F2049)), ISNUMBER(SEARCH("aniversario", F2049)), ISNUMBER(SEARCH("churrasco", F2049)), ISNUMBER(SEARCH("bolo", F2049)), ISNUMBER(SEARCH("SUPERMERCADO", F2049))), "6.1 Despesas Administrativas (Pessoal)", IF(OR(ISNUMBER(SEARCH("DLKNET", F2049)), ISNUMBER(SEARCH("TESTE", F2049))), "6.1 Despesas Administrativas (Gerais)", IFERROR(VLOOKUP(H2049, De_Para!A:B, 2, FALSE), "NÃO MAPEADO"))), IFERROR(VLOOKUP(H2049, De_Para!A:B, 2, FALSE), "NÃO MAPEADO"))</f>
        <v/>
      </c>
    </row>
    <row r="2050">
      <c r="A2050" s="2" t="inlineStr">
        <is>
          <t>67636</t>
        </is>
      </c>
      <c r="B2050" s="2" t="inlineStr">
        <is>
          <t>Sicoob</t>
        </is>
      </c>
      <c r="C2050" s="2" t="inlineStr">
        <is>
          <t>02/06/2026</t>
        </is>
      </c>
      <c r="D2050" s="2" t="inlineStr">
        <is>
          <t>02/06/2026</t>
        </is>
      </c>
      <c r="E2050" s="2" t="inlineStr">
        <is>
          <t>Dinheiro</t>
        </is>
      </c>
      <c r="F2050" s="2" t="inlineStr">
        <is>
          <t>Boleto "63769" do cliente "JULIA ISABEL FARINCHA"</t>
        </is>
      </c>
      <c r="G2050" s="2" t="inlineStr">
        <is>
          <t>system</t>
        </is>
      </c>
      <c r="H2050" s="2" t="inlineStr">
        <is>
          <t>02.03.02.01 : Cobrança Bancaria</t>
        </is>
      </c>
      <c r="I2050" s="2" t="n"/>
      <c r="J2050" s="3" t="n">
        <v>-0.88</v>
      </c>
      <c r="K2050" s="2">
        <f>IF(H2050="02.09 : Outras Saídas", IF(OR(ISNUMBER(SEARCH("CHEQUE COMPE SICREDI", F2050)), ISNUMBER(SEARCH("aniversario", F2050)), ISNUMBER(SEARCH("churrasco", F2050)), ISNUMBER(SEARCH("bolo", F2050)), ISNUMBER(SEARCH("SUPERMERCADO", F2050))), "6.1 Despesas Administrativas (Pessoal)", IF(OR(ISNUMBER(SEARCH("DLKNET", F2050)), ISNUMBER(SEARCH("TESTE", F2050))), "6.1 Despesas Administrativas (Gerais)", IFERROR(VLOOKUP(H2050, De_Para!A:B, 2, FALSE), "NÃO MAPEADO"))), IFERROR(VLOOKUP(H2050, De_Para!A:B, 2, FALSE), "NÃO MAPEADO"))</f>
        <v/>
      </c>
    </row>
    <row r="2051">
      <c r="A2051" s="2" t="inlineStr">
        <is>
          <t>67635</t>
        </is>
      </c>
      <c r="B2051" s="2" t="inlineStr">
        <is>
          <t>Sicoob</t>
        </is>
      </c>
      <c r="C2051" s="2" t="inlineStr">
        <is>
          <t>02/06/2026</t>
        </is>
      </c>
      <c r="D2051" s="2" t="inlineStr">
        <is>
          <t>02/06/2026</t>
        </is>
      </c>
      <c r="E2051" s="2" t="inlineStr">
        <is>
          <t>Dinheiro</t>
        </is>
      </c>
      <c r="F2051" s="2" t="inlineStr">
        <is>
          <t>Boleto "63769" do cliente "JULIA ISABEL FARINCHA"</t>
        </is>
      </c>
      <c r="G2051" s="2" t="inlineStr">
        <is>
          <t>system</t>
        </is>
      </c>
      <c r="H2051" s="2" t="inlineStr">
        <is>
          <t>01.01.01 : Mensalidade</t>
        </is>
      </c>
      <c r="I2051" s="3" t="n">
        <v>105</v>
      </c>
      <c r="J2051" s="2" t="n"/>
      <c r="K2051" s="2">
        <f>IF(H2051="02.09 : Outras Saídas", IF(OR(ISNUMBER(SEARCH("CHEQUE COMPE SICREDI", F2051)), ISNUMBER(SEARCH("aniversario", F2051)), ISNUMBER(SEARCH("churrasco", F2051)), ISNUMBER(SEARCH("bolo", F2051)), ISNUMBER(SEARCH("SUPERMERCADO", F2051))), "6.1 Despesas Administrativas (Pessoal)", IF(OR(ISNUMBER(SEARCH("DLKNET", F2051)), ISNUMBER(SEARCH("TESTE", F2051))), "6.1 Despesas Administrativas (Gerais)", IFERROR(VLOOKUP(H2051, De_Para!A:B, 2, FALSE), "NÃO MAPEADO"))), IFERROR(VLOOKUP(H2051, De_Para!A:B, 2, FALSE), "NÃO MAPEADO"))</f>
        <v/>
      </c>
    </row>
    <row r="2052">
      <c r="A2052" s="2" t="inlineStr">
        <is>
          <t>67634</t>
        </is>
      </c>
      <c r="B2052" s="2" t="inlineStr">
        <is>
          <t>Sicoob</t>
        </is>
      </c>
      <c r="C2052" s="2" t="inlineStr">
        <is>
          <t>02/06/2026</t>
        </is>
      </c>
      <c r="D2052" s="2" t="inlineStr">
        <is>
          <t>02/06/2026</t>
        </is>
      </c>
      <c r="E2052" s="2" t="inlineStr">
        <is>
          <t>Dinheiro</t>
        </is>
      </c>
      <c r="F2052" s="2" t="inlineStr">
        <is>
          <t>Boleto "63656" do cliente "JOELSON BENEDITO DE LIMA"</t>
        </is>
      </c>
      <c r="G2052" s="2" t="inlineStr">
        <is>
          <t>system</t>
        </is>
      </c>
      <c r="H2052" s="2" t="inlineStr">
        <is>
          <t>02.03.02.01 : Cobrança Bancaria</t>
        </is>
      </c>
      <c r="I2052" s="2" t="n"/>
      <c r="J2052" s="3" t="n">
        <v>-0.88</v>
      </c>
      <c r="K2052" s="2">
        <f>IF(H2052="02.09 : Outras Saídas", IF(OR(ISNUMBER(SEARCH("CHEQUE COMPE SICREDI", F2052)), ISNUMBER(SEARCH("aniversario", F2052)), ISNUMBER(SEARCH("churrasco", F2052)), ISNUMBER(SEARCH("bolo", F2052)), ISNUMBER(SEARCH("SUPERMERCADO", F2052))), "6.1 Despesas Administrativas (Pessoal)", IF(OR(ISNUMBER(SEARCH("DLKNET", F2052)), ISNUMBER(SEARCH("TESTE", F2052))), "6.1 Despesas Administrativas (Gerais)", IFERROR(VLOOKUP(H2052, De_Para!A:B, 2, FALSE), "NÃO MAPEADO"))), IFERROR(VLOOKUP(H2052, De_Para!A:B, 2, FALSE), "NÃO MAPEADO"))</f>
        <v/>
      </c>
    </row>
    <row r="2053">
      <c r="A2053" s="2" t="inlineStr">
        <is>
          <t>67633</t>
        </is>
      </c>
      <c r="B2053" s="2" t="inlineStr">
        <is>
          <t>Sicoob</t>
        </is>
      </c>
      <c r="C2053" s="2" t="inlineStr">
        <is>
          <t>02/06/2026</t>
        </is>
      </c>
      <c r="D2053" s="2" t="inlineStr">
        <is>
          <t>02/06/2026</t>
        </is>
      </c>
      <c r="E2053" s="2" t="inlineStr">
        <is>
          <t>Dinheiro</t>
        </is>
      </c>
      <c r="F2053" s="2" t="inlineStr">
        <is>
          <t>Boleto "63656" do cliente "JOELSON BENEDITO DE LIMA"</t>
        </is>
      </c>
      <c r="G2053" s="2" t="inlineStr">
        <is>
          <t>system</t>
        </is>
      </c>
      <c r="H2053" s="2" t="inlineStr">
        <is>
          <t>01.01.01 : Mensalidade</t>
        </is>
      </c>
      <c r="I2053" s="3" t="n">
        <v>99.90000000000001</v>
      </c>
      <c r="J2053" s="2" t="n"/>
      <c r="K2053" s="2">
        <f>IF(H2053="02.09 : Outras Saídas", IF(OR(ISNUMBER(SEARCH("CHEQUE COMPE SICREDI", F2053)), ISNUMBER(SEARCH("aniversario", F2053)), ISNUMBER(SEARCH("churrasco", F2053)), ISNUMBER(SEARCH("bolo", F2053)), ISNUMBER(SEARCH("SUPERMERCADO", F2053))), "6.1 Despesas Administrativas (Pessoal)", IF(OR(ISNUMBER(SEARCH("DLKNET", F2053)), ISNUMBER(SEARCH("TESTE", F2053))), "6.1 Despesas Administrativas (Gerais)", IFERROR(VLOOKUP(H2053, De_Para!A:B, 2, FALSE), "NÃO MAPEADO"))), IFERROR(VLOOKUP(H2053, De_Para!A:B, 2, FALSE), "NÃO MAPEADO"))</f>
        <v/>
      </c>
    </row>
    <row r="2054">
      <c r="A2054" s="2" t="inlineStr">
        <is>
          <t>67632</t>
        </is>
      </c>
      <c r="B2054" s="2" t="inlineStr">
        <is>
          <t>Sicredi SNI</t>
        </is>
      </c>
      <c r="C2054" s="2" t="inlineStr">
        <is>
          <t>02/06/2026</t>
        </is>
      </c>
      <c r="D2054" s="2" t="inlineStr">
        <is>
          <t>01/06/2026</t>
        </is>
      </c>
      <c r="E2054" s="2" t="inlineStr">
        <is>
          <t>Cartão de Débito</t>
        </is>
      </c>
      <c r="F2054" s="2" t="inlineStr">
        <is>
          <t>COMPRAS NACIONAIS BeerGarden JOAQUIM TAVORBR</t>
        </is>
      </c>
      <c r="G2054" s="2" t="inlineStr">
        <is>
          <t>clau</t>
        </is>
      </c>
      <c r="H2054" s="2" t="inlineStr">
        <is>
          <t>02.03.02.07 : Pro-Labore</t>
        </is>
      </c>
      <c r="I2054" s="2" t="n"/>
      <c r="J2054" s="3" t="n">
        <v>-230.2</v>
      </c>
      <c r="K2054" s="2">
        <f>IF(H2054="02.09 : Outras Saídas", IF(OR(ISNUMBER(SEARCH("CHEQUE COMPE SICREDI", F2054)), ISNUMBER(SEARCH("aniversario", F2054)), ISNUMBER(SEARCH("churrasco", F2054)), ISNUMBER(SEARCH("bolo", F2054)), ISNUMBER(SEARCH("SUPERMERCADO", F2054))), "6.1 Despesas Administrativas (Pessoal)", IF(OR(ISNUMBER(SEARCH("DLKNET", F2054)), ISNUMBER(SEARCH("TESTE", F2054))), "6.1 Despesas Administrativas (Gerais)", IFERROR(VLOOKUP(H2054, De_Para!A:B, 2, FALSE), "NÃO MAPEADO"))), IFERROR(VLOOKUP(H2054, De_Para!A:B, 2, FALSE), "NÃO MAPEADO"))</f>
        <v/>
      </c>
    </row>
    <row r="2055">
      <c r="A2055" s="2" t="inlineStr">
        <is>
          <t>67631</t>
        </is>
      </c>
      <c r="B2055" s="2" t="inlineStr">
        <is>
          <t>Sicredi SNI</t>
        </is>
      </c>
      <c r="C2055" s="2" t="inlineStr">
        <is>
          <t>02/06/2026</t>
        </is>
      </c>
      <c r="D2055" s="2" t="inlineStr">
        <is>
          <t>02/06/2026</t>
        </is>
      </c>
      <c r="E2055" s="2" t="inlineStr">
        <is>
          <t>PIX</t>
        </is>
      </c>
      <c r="F2055" s="2" t="inlineStr">
        <is>
          <t>Boleto "55918" do cliente "JM AUTO PEÇAS"</t>
        </is>
      </c>
      <c r="G2055" s="2" t="inlineStr">
        <is>
          <t>system</t>
        </is>
      </c>
      <c r="H2055" s="2" t="inlineStr">
        <is>
          <t>02.03.02.01 : Cobrança Bancaria</t>
        </is>
      </c>
      <c r="I2055" s="2" t="n"/>
      <c r="J2055" s="3" t="n">
        <v>-0.49</v>
      </c>
      <c r="K2055" s="2">
        <f>IF(H2055="02.09 : Outras Saídas", IF(OR(ISNUMBER(SEARCH("CHEQUE COMPE SICREDI", F2055)), ISNUMBER(SEARCH("aniversario", F2055)), ISNUMBER(SEARCH("churrasco", F2055)), ISNUMBER(SEARCH("bolo", F2055)), ISNUMBER(SEARCH("SUPERMERCADO", F2055))), "6.1 Despesas Administrativas (Pessoal)", IF(OR(ISNUMBER(SEARCH("DLKNET", F2055)), ISNUMBER(SEARCH("TESTE", F2055))), "6.1 Despesas Administrativas (Gerais)", IFERROR(VLOOKUP(H2055, De_Para!A:B, 2, FALSE), "NÃO MAPEADO"))), IFERROR(VLOOKUP(H2055, De_Para!A:B, 2, FALSE), "NÃO MAPEADO"))</f>
        <v/>
      </c>
    </row>
    <row r="2056">
      <c r="A2056" s="2" t="inlineStr">
        <is>
          <t>67630</t>
        </is>
      </c>
      <c r="B2056" s="2" t="inlineStr">
        <is>
          <t>Sicredi SNI</t>
        </is>
      </c>
      <c r="C2056" s="2" t="inlineStr">
        <is>
          <t>02/06/2026</t>
        </is>
      </c>
      <c r="D2056" s="2" t="inlineStr">
        <is>
          <t>02/06/2026</t>
        </is>
      </c>
      <c r="E2056" s="2" t="inlineStr">
        <is>
          <t>PIX</t>
        </is>
      </c>
      <c r="F2056" s="2" t="inlineStr">
        <is>
          <t>Boleto "55918" do cliente "JM AUTO PEÇAS"</t>
        </is>
      </c>
      <c r="G2056" s="2" t="inlineStr">
        <is>
          <t>system</t>
        </is>
      </c>
      <c r="H2056" s="2" t="inlineStr">
        <is>
          <t>01.03.01 : Mensalidade</t>
        </is>
      </c>
      <c r="I2056" s="3" t="n">
        <v>105</v>
      </c>
      <c r="J2056" s="2" t="n"/>
      <c r="K2056" s="2">
        <f>IF(H2056="02.09 : Outras Saídas", IF(OR(ISNUMBER(SEARCH("CHEQUE COMPE SICREDI", F2056)), ISNUMBER(SEARCH("aniversario", F2056)), ISNUMBER(SEARCH("churrasco", F2056)), ISNUMBER(SEARCH("bolo", F2056)), ISNUMBER(SEARCH("SUPERMERCADO", F2056))), "6.1 Despesas Administrativas (Pessoal)", IF(OR(ISNUMBER(SEARCH("DLKNET", F2056)), ISNUMBER(SEARCH("TESTE", F2056))), "6.1 Despesas Administrativas (Gerais)", IFERROR(VLOOKUP(H2056, De_Para!A:B, 2, FALSE), "NÃO MAPEADO"))), IFERROR(VLOOKUP(H2056, De_Para!A:B, 2, FALSE), "NÃO MAPEADO"))</f>
        <v/>
      </c>
    </row>
    <row r="2057">
      <c r="A2057" s="2" t="inlineStr">
        <is>
          <t>67629</t>
        </is>
      </c>
      <c r="B2057" s="2" t="inlineStr">
        <is>
          <t>Sicredi SNI</t>
        </is>
      </c>
      <c r="C2057" s="2" t="inlineStr">
        <is>
          <t>02/06/2026</t>
        </is>
      </c>
      <c r="D2057" s="2" t="inlineStr">
        <is>
          <t>02/06/2026</t>
        </is>
      </c>
      <c r="E2057" s="2" t="inlineStr">
        <is>
          <t>Dinheiro</t>
        </is>
      </c>
      <c r="F2057" s="2" t="inlineStr">
        <is>
          <t>Boleto "66793" do cliente "APARECIDO TAVARES DUARTE"</t>
        </is>
      </c>
      <c r="G2057" s="2" t="inlineStr">
        <is>
          <t>system</t>
        </is>
      </c>
      <c r="H2057" s="2" t="inlineStr">
        <is>
          <t>02.03.02.01 : Cobrança Bancaria</t>
        </is>
      </c>
      <c r="I2057" s="2" t="n"/>
      <c r="J2057" s="3" t="n">
        <v>-1.08</v>
      </c>
      <c r="K2057" s="2">
        <f>IF(H2057="02.09 : Outras Saídas", IF(OR(ISNUMBER(SEARCH("CHEQUE COMPE SICREDI", F2057)), ISNUMBER(SEARCH("aniversario", F2057)), ISNUMBER(SEARCH("churrasco", F2057)), ISNUMBER(SEARCH("bolo", F2057)), ISNUMBER(SEARCH("SUPERMERCADO", F2057))), "6.1 Despesas Administrativas (Pessoal)", IF(OR(ISNUMBER(SEARCH("DLKNET", F2057)), ISNUMBER(SEARCH("TESTE", F2057))), "6.1 Despesas Administrativas (Gerais)", IFERROR(VLOOKUP(H2057, De_Para!A:B, 2, FALSE), "NÃO MAPEADO"))), IFERROR(VLOOKUP(H2057, De_Para!A:B, 2, FALSE), "NÃO MAPEADO"))</f>
        <v/>
      </c>
    </row>
    <row r="2058">
      <c r="A2058" s="2" t="inlineStr">
        <is>
          <t>67628</t>
        </is>
      </c>
      <c r="B2058" s="2" t="inlineStr">
        <is>
          <t>Sicredi SNI</t>
        </is>
      </c>
      <c r="C2058" s="2" t="inlineStr">
        <is>
          <t>02/06/2026</t>
        </is>
      </c>
      <c r="D2058" s="2" t="inlineStr">
        <is>
          <t>02/06/2026</t>
        </is>
      </c>
      <c r="E2058" s="2" t="inlineStr">
        <is>
          <t>Dinheiro</t>
        </is>
      </c>
      <c r="F2058" s="2" t="inlineStr">
        <is>
          <t>Boleto "66793" do cliente "APARECIDO TAVARES DUARTE"</t>
        </is>
      </c>
      <c r="G2058" s="2" t="inlineStr">
        <is>
          <t>system</t>
        </is>
      </c>
      <c r="H2058" s="2" t="inlineStr">
        <is>
          <t>01.03.01 : Mensalidade</t>
        </is>
      </c>
      <c r="I2058" s="3" t="n">
        <v>105</v>
      </c>
      <c r="J2058" s="2" t="n"/>
      <c r="K2058" s="2">
        <f>IF(H2058="02.09 : Outras Saídas", IF(OR(ISNUMBER(SEARCH("CHEQUE COMPE SICREDI", F2058)), ISNUMBER(SEARCH("aniversario", F2058)), ISNUMBER(SEARCH("churrasco", F2058)), ISNUMBER(SEARCH("bolo", F2058)), ISNUMBER(SEARCH("SUPERMERCADO", F2058))), "6.1 Despesas Administrativas (Pessoal)", IF(OR(ISNUMBER(SEARCH("DLKNET", F2058)), ISNUMBER(SEARCH("TESTE", F2058))), "6.1 Despesas Administrativas (Gerais)", IFERROR(VLOOKUP(H2058, De_Para!A:B, 2, FALSE), "NÃO MAPEADO"))), IFERROR(VLOOKUP(H2058, De_Para!A:B, 2, FALSE), "NÃO MAPEADO"))</f>
        <v/>
      </c>
    </row>
    <row r="2059">
      <c r="A2059" s="2" t="inlineStr">
        <is>
          <t>67627</t>
        </is>
      </c>
      <c r="B2059" s="2" t="inlineStr">
        <is>
          <t>Sicredi SNI</t>
        </is>
      </c>
      <c r="C2059" s="2" t="inlineStr">
        <is>
          <t>02/06/2026</t>
        </is>
      </c>
      <c r="D2059" s="2" t="inlineStr">
        <is>
          <t>02/06/2026</t>
        </is>
      </c>
      <c r="E2059" s="2" t="inlineStr">
        <is>
          <t>Dinheiro</t>
        </is>
      </c>
      <c r="F2059" s="2" t="inlineStr">
        <is>
          <t>Boleto "60764" do cliente "ENILSON RODRIGUES"</t>
        </is>
      </c>
      <c r="G2059" s="2" t="inlineStr">
        <is>
          <t>system</t>
        </is>
      </c>
      <c r="H2059" s="2" t="inlineStr">
        <is>
          <t>02.03.02.01 : Cobrança Bancaria</t>
        </is>
      </c>
      <c r="I2059" s="2" t="n"/>
      <c r="J2059" s="3" t="n">
        <v>-1.08</v>
      </c>
      <c r="K2059" s="2">
        <f>IF(H2059="02.09 : Outras Saídas", IF(OR(ISNUMBER(SEARCH("CHEQUE COMPE SICREDI", F2059)), ISNUMBER(SEARCH("aniversario", F2059)), ISNUMBER(SEARCH("churrasco", F2059)), ISNUMBER(SEARCH("bolo", F2059)), ISNUMBER(SEARCH("SUPERMERCADO", F2059))), "6.1 Despesas Administrativas (Pessoal)", IF(OR(ISNUMBER(SEARCH("DLKNET", F2059)), ISNUMBER(SEARCH("TESTE", F2059))), "6.1 Despesas Administrativas (Gerais)", IFERROR(VLOOKUP(H2059, De_Para!A:B, 2, FALSE), "NÃO MAPEADO"))), IFERROR(VLOOKUP(H2059, De_Para!A:B, 2, FALSE), "NÃO MAPEADO"))</f>
        <v/>
      </c>
    </row>
    <row r="2060">
      <c r="A2060" s="2" t="inlineStr">
        <is>
          <t>67626</t>
        </is>
      </c>
      <c r="B2060" s="2" t="inlineStr">
        <is>
          <t>Sicredi SNI</t>
        </is>
      </c>
      <c r="C2060" s="2" t="inlineStr">
        <is>
          <t>02/06/2026</t>
        </is>
      </c>
      <c r="D2060" s="2" t="inlineStr">
        <is>
          <t>02/06/2026</t>
        </is>
      </c>
      <c r="E2060" s="2" t="inlineStr">
        <is>
          <t>Dinheiro</t>
        </is>
      </c>
      <c r="F2060" s="2" t="inlineStr">
        <is>
          <t>Boleto "60764" do cliente "ENILSON RODRIGUES"</t>
        </is>
      </c>
      <c r="G2060" s="2" t="inlineStr">
        <is>
          <t>system</t>
        </is>
      </c>
      <c r="H2060" s="2" t="inlineStr">
        <is>
          <t>01.03.01 : Mensalidade</t>
        </is>
      </c>
      <c r="I2060" s="3" t="n">
        <v>105</v>
      </c>
      <c r="J2060" s="2" t="n"/>
      <c r="K2060" s="2">
        <f>IF(H2060="02.09 : Outras Saídas", IF(OR(ISNUMBER(SEARCH("CHEQUE COMPE SICREDI", F2060)), ISNUMBER(SEARCH("aniversario", F2060)), ISNUMBER(SEARCH("churrasco", F2060)), ISNUMBER(SEARCH("bolo", F2060)), ISNUMBER(SEARCH("SUPERMERCADO", F2060))), "6.1 Despesas Administrativas (Pessoal)", IF(OR(ISNUMBER(SEARCH("DLKNET", F2060)), ISNUMBER(SEARCH("TESTE", F2060))), "6.1 Despesas Administrativas (Gerais)", IFERROR(VLOOKUP(H2060, De_Para!A:B, 2, FALSE), "NÃO MAPEADO"))), IFERROR(VLOOKUP(H2060, De_Para!A:B, 2, FALSE), "NÃO MAPEADO"))</f>
        <v/>
      </c>
    </row>
    <row r="2061">
      <c r="A2061" s="2" t="inlineStr">
        <is>
          <t>67625</t>
        </is>
      </c>
      <c r="B2061" s="2" t="inlineStr">
        <is>
          <t>Sicoob</t>
        </is>
      </c>
      <c r="C2061" s="2" t="inlineStr">
        <is>
          <t>02/06/2026</t>
        </is>
      </c>
      <c r="D2061" s="2" t="inlineStr">
        <is>
          <t>02/06/2026</t>
        </is>
      </c>
      <c r="E2061" s="2" t="inlineStr">
        <is>
          <t>Dinheiro</t>
        </is>
      </c>
      <c r="F2061" s="2" t="inlineStr">
        <is>
          <t>Boleto "65909" do cliente "ELSA TEODORO DE ARAUJO"</t>
        </is>
      </c>
      <c r="G2061" s="2" t="inlineStr">
        <is>
          <t>system</t>
        </is>
      </c>
      <c r="H2061" s="2" t="inlineStr">
        <is>
          <t>02.03.02.01 : Cobrança Bancaria</t>
        </is>
      </c>
      <c r="I2061" s="2" t="n"/>
      <c r="J2061" s="3" t="n">
        <v>-0.88</v>
      </c>
      <c r="K2061" s="2">
        <f>IF(H2061="02.09 : Outras Saídas", IF(OR(ISNUMBER(SEARCH("CHEQUE COMPE SICREDI", F2061)), ISNUMBER(SEARCH("aniversario", F2061)), ISNUMBER(SEARCH("churrasco", F2061)), ISNUMBER(SEARCH("bolo", F2061)), ISNUMBER(SEARCH("SUPERMERCADO", F2061))), "6.1 Despesas Administrativas (Pessoal)", IF(OR(ISNUMBER(SEARCH("DLKNET", F2061)), ISNUMBER(SEARCH("TESTE", F2061))), "6.1 Despesas Administrativas (Gerais)", IFERROR(VLOOKUP(H2061, De_Para!A:B, 2, FALSE), "NÃO MAPEADO"))), IFERROR(VLOOKUP(H2061, De_Para!A:B, 2, FALSE), "NÃO MAPEADO"))</f>
        <v/>
      </c>
    </row>
    <row r="2062">
      <c r="A2062" s="2" t="inlineStr">
        <is>
          <t>67624</t>
        </is>
      </c>
      <c r="B2062" s="2" t="inlineStr">
        <is>
          <t>Sicoob</t>
        </is>
      </c>
      <c r="C2062" s="2" t="inlineStr">
        <is>
          <t>02/06/2026</t>
        </is>
      </c>
      <c r="D2062" s="2" t="inlineStr">
        <is>
          <t>02/06/2026</t>
        </is>
      </c>
      <c r="E2062" s="2" t="inlineStr">
        <is>
          <t>Dinheiro</t>
        </is>
      </c>
      <c r="F2062" s="2" t="inlineStr">
        <is>
          <t>Boleto "65909" do cliente "ELSA TEODORO DE ARAUJO"</t>
        </is>
      </c>
      <c r="G2062" s="2" t="inlineStr">
        <is>
          <t>system</t>
        </is>
      </c>
      <c r="H2062" s="2" t="inlineStr">
        <is>
          <t>01.01.01 : Mensalidade</t>
        </is>
      </c>
      <c r="I2062" s="3" t="n">
        <v>104.9</v>
      </c>
      <c r="J2062" s="2" t="n"/>
      <c r="K2062" s="2">
        <f>IF(H2062="02.09 : Outras Saídas", IF(OR(ISNUMBER(SEARCH("CHEQUE COMPE SICREDI", F2062)), ISNUMBER(SEARCH("aniversario", F2062)), ISNUMBER(SEARCH("churrasco", F2062)), ISNUMBER(SEARCH("bolo", F2062)), ISNUMBER(SEARCH("SUPERMERCADO", F2062))), "6.1 Despesas Administrativas (Pessoal)", IF(OR(ISNUMBER(SEARCH("DLKNET", F2062)), ISNUMBER(SEARCH("TESTE", F2062))), "6.1 Despesas Administrativas (Gerais)", IFERROR(VLOOKUP(H2062, De_Para!A:B, 2, FALSE), "NÃO MAPEADO"))), IFERROR(VLOOKUP(H2062, De_Para!A:B, 2, FALSE), "NÃO MAPEADO"))</f>
        <v/>
      </c>
    </row>
    <row r="2063">
      <c r="A2063" s="2" t="inlineStr">
        <is>
          <t>67623</t>
        </is>
      </c>
      <c r="B2063" s="2" t="inlineStr">
        <is>
          <t>Sicoob</t>
        </is>
      </c>
      <c r="C2063" s="2" t="inlineStr">
        <is>
          <t>02/06/2026</t>
        </is>
      </c>
      <c r="D2063" s="2" t="inlineStr">
        <is>
          <t>02/06/2026</t>
        </is>
      </c>
      <c r="E2063" s="2" t="inlineStr">
        <is>
          <t>Dinheiro</t>
        </is>
      </c>
      <c r="F2063" s="2" t="inlineStr">
        <is>
          <t>Boleto "62981" do cliente "JOICE GONÇALVES DE OLIVEIRA"</t>
        </is>
      </c>
      <c r="G2063" s="2" t="inlineStr">
        <is>
          <t>system</t>
        </is>
      </c>
      <c r="H2063" s="2" t="inlineStr">
        <is>
          <t>02.03.02.01 : Cobrança Bancaria</t>
        </is>
      </c>
      <c r="I2063" s="2" t="n"/>
      <c r="J2063" s="3" t="n">
        <v>-0.88</v>
      </c>
      <c r="K2063" s="2">
        <f>IF(H2063="02.09 : Outras Saídas", IF(OR(ISNUMBER(SEARCH("CHEQUE COMPE SICREDI", F2063)), ISNUMBER(SEARCH("aniversario", F2063)), ISNUMBER(SEARCH("churrasco", F2063)), ISNUMBER(SEARCH("bolo", F2063)), ISNUMBER(SEARCH("SUPERMERCADO", F2063))), "6.1 Despesas Administrativas (Pessoal)", IF(OR(ISNUMBER(SEARCH("DLKNET", F2063)), ISNUMBER(SEARCH("TESTE", F2063))), "6.1 Despesas Administrativas (Gerais)", IFERROR(VLOOKUP(H2063, De_Para!A:B, 2, FALSE), "NÃO MAPEADO"))), IFERROR(VLOOKUP(H2063, De_Para!A:B, 2, FALSE), "NÃO MAPEADO"))</f>
        <v/>
      </c>
    </row>
    <row r="2064">
      <c r="A2064" s="2" t="inlineStr">
        <is>
          <t>67622</t>
        </is>
      </c>
      <c r="B2064" s="2" t="inlineStr">
        <is>
          <t>Sicoob</t>
        </is>
      </c>
      <c r="C2064" s="2" t="inlineStr">
        <is>
          <t>02/06/2026</t>
        </is>
      </c>
      <c r="D2064" s="2" t="inlineStr">
        <is>
          <t>02/06/2026</t>
        </is>
      </c>
      <c r="E2064" s="2" t="inlineStr">
        <is>
          <t>Dinheiro</t>
        </is>
      </c>
      <c r="F2064" s="2" t="inlineStr">
        <is>
          <t>Boleto "62981" do cliente "JOICE GONÇALVES DE OLIVEIRA"</t>
        </is>
      </c>
      <c r="G2064" s="2" t="inlineStr">
        <is>
          <t>system</t>
        </is>
      </c>
      <c r="H2064" s="2" t="inlineStr">
        <is>
          <t>01.03.01 : Mensalidade</t>
        </is>
      </c>
      <c r="I2064" s="3" t="n">
        <v>69.90000000000001</v>
      </c>
      <c r="J2064" s="2" t="n"/>
      <c r="K2064" s="2">
        <f>IF(H2064="02.09 : Outras Saídas", IF(OR(ISNUMBER(SEARCH("CHEQUE COMPE SICREDI", F2064)), ISNUMBER(SEARCH("aniversario", F2064)), ISNUMBER(SEARCH("churrasco", F2064)), ISNUMBER(SEARCH("bolo", F2064)), ISNUMBER(SEARCH("SUPERMERCADO", F2064))), "6.1 Despesas Administrativas (Pessoal)", IF(OR(ISNUMBER(SEARCH("DLKNET", F2064)), ISNUMBER(SEARCH("TESTE", F2064))), "6.1 Despesas Administrativas (Gerais)", IFERROR(VLOOKUP(H2064, De_Para!A:B, 2, FALSE), "NÃO MAPEADO"))), IFERROR(VLOOKUP(H2064, De_Para!A:B, 2, FALSE), "NÃO MAPEADO"))</f>
        <v/>
      </c>
    </row>
    <row r="2065">
      <c r="A2065" s="2" t="inlineStr">
        <is>
          <t>67621</t>
        </is>
      </c>
      <c r="B2065" s="2" t="inlineStr">
        <is>
          <t>Sicoob</t>
        </is>
      </c>
      <c r="C2065" s="2" t="inlineStr">
        <is>
          <t>02/06/2026</t>
        </is>
      </c>
      <c r="D2065" s="2" t="inlineStr">
        <is>
          <t>02/06/2026</t>
        </is>
      </c>
      <c r="E2065" s="2" t="inlineStr">
        <is>
          <t>Dinheiro</t>
        </is>
      </c>
      <c r="F2065" s="2" t="inlineStr">
        <is>
          <t>Boleto "60919" do cliente "JOSUÉ GOMES"</t>
        </is>
      </c>
      <c r="G2065" s="2" t="inlineStr">
        <is>
          <t>system</t>
        </is>
      </c>
      <c r="H2065" s="2" t="inlineStr">
        <is>
          <t>02.03.02.01 : Cobrança Bancaria</t>
        </is>
      </c>
      <c r="I2065" s="2" t="n"/>
      <c r="J2065" s="3" t="n">
        <v>-0.88</v>
      </c>
      <c r="K2065" s="2">
        <f>IF(H2065="02.09 : Outras Saídas", IF(OR(ISNUMBER(SEARCH("CHEQUE COMPE SICREDI", F2065)), ISNUMBER(SEARCH("aniversario", F2065)), ISNUMBER(SEARCH("churrasco", F2065)), ISNUMBER(SEARCH("bolo", F2065)), ISNUMBER(SEARCH("SUPERMERCADO", F2065))), "6.1 Despesas Administrativas (Pessoal)", IF(OR(ISNUMBER(SEARCH("DLKNET", F2065)), ISNUMBER(SEARCH("TESTE", F2065))), "6.1 Despesas Administrativas (Gerais)", IFERROR(VLOOKUP(H2065, De_Para!A:B, 2, FALSE), "NÃO MAPEADO"))), IFERROR(VLOOKUP(H2065, De_Para!A:B, 2, FALSE), "NÃO MAPEADO"))</f>
        <v/>
      </c>
    </row>
    <row r="2066">
      <c r="A2066" s="2" t="inlineStr">
        <is>
          <t>67620</t>
        </is>
      </c>
      <c r="B2066" s="2" t="inlineStr">
        <is>
          <t>Sicoob</t>
        </is>
      </c>
      <c r="C2066" s="2" t="inlineStr">
        <is>
          <t>02/06/2026</t>
        </is>
      </c>
      <c r="D2066" s="2" t="inlineStr">
        <is>
          <t>02/06/2026</t>
        </is>
      </c>
      <c r="E2066" s="2" t="inlineStr">
        <is>
          <t>Dinheiro</t>
        </is>
      </c>
      <c r="F2066" s="2" t="inlineStr">
        <is>
          <t>Boleto "60919" do cliente "JOSUÉ GOMES"</t>
        </is>
      </c>
      <c r="G2066" s="2" t="inlineStr">
        <is>
          <t>system</t>
        </is>
      </c>
      <c r="H2066" s="2" t="inlineStr">
        <is>
          <t>01.01.01 : Mensalidade</t>
        </is>
      </c>
      <c r="I2066" s="3" t="n">
        <v>105</v>
      </c>
      <c r="J2066" s="2" t="n"/>
      <c r="K2066" s="2">
        <f>IF(H2066="02.09 : Outras Saídas", IF(OR(ISNUMBER(SEARCH("CHEQUE COMPE SICREDI", F2066)), ISNUMBER(SEARCH("aniversario", F2066)), ISNUMBER(SEARCH("churrasco", F2066)), ISNUMBER(SEARCH("bolo", F2066)), ISNUMBER(SEARCH("SUPERMERCADO", F2066))), "6.1 Despesas Administrativas (Pessoal)", IF(OR(ISNUMBER(SEARCH("DLKNET", F2066)), ISNUMBER(SEARCH("TESTE", F2066))), "6.1 Despesas Administrativas (Gerais)", IFERROR(VLOOKUP(H2066, De_Para!A:B, 2, FALSE), "NÃO MAPEADO"))), IFERROR(VLOOKUP(H2066, De_Para!A:B, 2, FALSE), "NÃO MAPEADO"))</f>
        <v/>
      </c>
    </row>
    <row r="2067">
      <c r="A2067" s="2" t="inlineStr">
        <is>
          <t>67619</t>
        </is>
      </c>
      <c r="B2067" s="2" t="inlineStr">
        <is>
          <t>Sicoob</t>
        </is>
      </c>
      <c r="C2067" s="2" t="inlineStr">
        <is>
          <t>02/06/2026</t>
        </is>
      </c>
      <c r="D2067" s="2" t="inlineStr">
        <is>
          <t>02/06/2026</t>
        </is>
      </c>
      <c r="E2067" s="2" t="inlineStr">
        <is>
          <t>Dinheiro</t>
        </is>
      </c>
      <c r="F2067" s="2" t="inlineStr">
        <is>
          <t>Boleto "57238" do cliente "NILMA DE FATIMA PINTO"</t>
        </is>
      </c>
      <c r="G2067" s="2" t="inlineStr">
        <is>
          <t>system</t>
        </is>
      </c>
      <c r="H2067" s="2" t="inlineStr">
        <is>
          <t>02.03.02.01 : Cobrança Bancaria</t>
        </is>
      </c>
      <c r="I2067" s="2" t="n"/>
      <c r="J2067" s="3" t="n">
        <v>-0.88</v>
      </c>
      <c r="K2067" s="2">
        <f>IF(H2067="02.09 : Outras Saídas", IF(OR(ISNUMBER(SEARCH("CHEQUE COMPE SICREDI", F2067)), ISNUMBER(SEARCH("aniversario", F2067)), ISNUMBER(SEARCH("churrasco", F2067)), ISNUMBER(SEARCH("bolo", F2067)), ISNUMBER(SEARCH("SUPERMERCADO", F2067))), "6.1 Despesas Administrativas (Pessoal)", IF(OR(ISNUMBER(SEARCH("DLKNET", F2067)), ISNUMBER(SEARCH("TESTE", F2067))), "6.1 Despesas Administrativas (Gerais)", IFERROR(VLOOKUP(H2067, De_Para!A:B, 2, FALSE), "NÃO MAPEADO"))), IFERROR(VLOOKUP(H2067, De_Para!A:B, 2, FALSE), "NÃO MAPEADO"))</f>
        <v/>
      </c>
    </row>
    <row r="2068">
      <c r="A2068" s="2" t="inlineStr">
        <is>
          <t>67618</t>
        </is>
      </c>
      <c r="B2068" s="2" t="inlineStr">
        <is>
          <t>Sicoob</t>
        </is>
      </c>
      <c r="C2068" s="2" t="inlineStr">
        <is>
          <t>02/06/2026</t>
        </is>
      </c>
      <c r="D2068" s="2" t="inlineStr">
        <is>
          <t>02/06/2026</t>
        </is>
      </c>
      <c r="E2068" s="2" t="inlineStr">
        <is>
          <t>Dinheiro</t>
        </is>
      </c>
      <c r="F2068" s="2" t="inlineStr">
        <is>
          <t>Boleto "57238" do cliente "NILMA DE FATIMA PINTO"</t>
        </is>
      </c>
      <c r="G2068" s="2" t="inlineStr">
        <is>
          <t>system</t>
        </is>
      </c>
      <c r="H2068" s="2" t="inlineStr">
        <is>
          <t>01.01.01 : Mensalidade</t>
        </is>
      </c>
      <c r="I2068" s="3" t="n">
        <v>105</v>
      </c>
      <c r="J2068" s="2" t="n"/>
      <c r="K2068" s="2">
        <f>IF(H2068="02.09 : Outras Saídas", IF(OR(ISNUMBER(SEARCH("CHEQUE COMPE SICREDI", F2068)), ISNUMBER(SEARCH("aniversario", F2068)), ISNUMBER(SEARCH("churrasco", F2068)), ISNUMBER(SEARCH("bolo", F2068)), ISNUMBER(SEARCH("SUPERMERCADO", F2068))), "6.1 Despesas Administrativas (Pessoal)", IF(OR(ISNUMBER(SEARCH("DLKNET", F2068)), ISNUMBER(SEARCH("TESTE", F2068))), "6.1 Despesas Administrativas (Gerais)", IFERROR(VLOOKUP(H2068, De_Para!A:B, 2, FALSE), "NÃO MAPEADO"))), IFERROR(VLOOKUP(H2068, De_Para!A:B, 2, FALSE), "NÃO MAPEADO"))</f>
        <v/>
      </c>
    </row>
    <row r="2069">
      <c r="A2069" s="2" t="inlineStr">
        <is>
          <t>67617</t>
        </is>
      </c>
      <c r="B2069" s="2" t="inlineStr">
        <is>
          <t>Sicoob</t>
        </is>
      </c>
      <c r="C2069" s="2" t="inlineStr">
        <is>
          <t>02/06/2026</t>
        </is>
      </c>
      <c r="D2069" s="2" t="inlineStr">
        <is>
          <t>02/06/2026</t>
        </is>
      </c>
      <c r="E2069" s="2" t="inlineStr">
        <is>
          <t>Dinheiro</t>
        </is>
      </c>
      <c r="F2069" s="2" t="inlineStr">
        <is>
          <t>Boleto "55998" do cliente "ENEZIANE DE FÁTIMA MARQUES"</t>
        </is>
      </c>
      <c r="G2069" s="2" t="inlineStr">
        <is>
          <t>system</t>
        </is>
      </c>
      <c r="H2069" s="2" t="inlineStr">
        <is>
          <t>02.03.02.01 : Cobrança Bancaria</t>
        </is>
      </c>
      <c r="I2069" s="2" t="n"/>
      <c r="J2069" s="3" t="n">
        <v>-0.88</v>
      </c>
      <c r="K2069" s="2">
        <f>IF(H2069="02.09 : Outras Saídas", IF(OR(ISNUMBER(SEARCH("CHEQUE COMPE SICREDI", F2069)), ISNUMBER(SEARCH("aniversario", F2069)), ISNUMBER(SEARCH("churrasco", F2069)), ISNUMBER(SEARCH("bolo", F2069)), ISNUMBER(SEARCH("SUPERMERCADO", F2069))), "6.1 Despesas Administrativas (Pessoal)", IF(OR(ISNUMBER(SEARCH("DLKNET", F2069)), ISNUMBER(SEARCH("TESTE", F2069))), "6.1 Despesas Administrativas (Gerais)", IFERROR(VLOOKUP(H2069, De_Para!A:B, 2, FALSE), "NÃO MAPEADO"))), IFERROR(VLOOKUP(H2069, De_Para!A:B, 2, FALSE), "NÃO MAPEADO"))</f>
        <v/>
      </c>
    </row>
    <row r="2070">
      <c r="A2070" s="2" t="inlineStr">
        <is>
          <t>67616</t>
        </is>
      </c>
      <c r="B2070" s="2" t="inlineStr">
        <is>
          <t>Sicoob</t>
        </is>
      </c>
      <c r="C2070" s="2" t="inlineStr">
        <is>
          <t>02/06/2026</t>
        </is>
      </c>
      <c r="D2070" s="2" t="inlineStr">
        <is>
          <t>02/06/2026</t>
        </is>
      </c>
      <c r="E2070" s="2" t="inlineStr">
        <is>
          <t>Dinheiro</t>
        </is>
      </c>
      <c r="F2070" s="2" t="inlineStr">
        <is>
          <t>Boleto "55998" do cliente "ENEZIANE DE FÁTIMA MARQUES"</t>
        </is>
      </c>
      <c r="G2070" s="2" t="inlineStr">
        <is>
          <t>system</t>
        </is>
      </c>
      <c r="H2070" s="2" t="inlineStr">
        <is>
          <t>01.01.01 : Mensalidade</t>
        </is>
      </c>
      <c r="I2070" s="3" t="n">
        <v>105</v>
      </c>
      <c r="J2070" s="2" t="n"/>
      <c r="K2070" s="2">
        <f>IF(H2070="02.09 : Outras Saídas", IF(OR(ISNUMBER(SEARCH("CHEQUE COMPE SICREDI", F2070)), ISNUMBER(SEARCH("aniversario", F2070)), ISNUMBER(SEARCH("churrasco", F2070)), ISNUMBER(SEARCH("bolo", F2070)), ISNUMBER(SEARCH("SUPERMERCADO", F2070))), "6.1 Despesas Administrativas (Pessoal)", IF(OR(ISNUMBER(SEARCH("DLKNET", F2070)), ISNUMBER(SEARCH("TESTE", F2070))), "6.1 Despesas Administrativas (Gerais)", IFERROR(VLOOKUP(H2070, De_Para!A:B, 2, FALSE), "NÃO MAPEADO"))), IFERROR(VLOOKUP(H2070, De_Para!A:B, 2, FALSE), "NÃO MAPEADO"))</f>
        <v/>
      </c>
    </row>
    <row r="2071">
      <c r="A2071" s="2" t="inlineStr">
        <is>
          <t>67615</t>
        </is>
      </c>
      <c r="B2071" s="2" t="inlineStr">
        <is>
          <t>Sicoob</t>
        </is>
      </c>
      <c r="C2071" s="2" t="inlineStr">
        <is>
          <t>02/06/2026</t>
        </is>
      </c>
      <c r="D2071" s="2" t="inlineStr">
        <is>
          <t>02/06/2026</t>
        </is>
      </c>
      <c r="E2071" s="2" t="inlineStr">
        <is>
          <t>Dinheiro</t>
        </is>
      </c>
      <c r="F2071" s="2" t="inlineStr">
        <is>
          <t>Boleto "55082" do cliente "DANIEL SANCHES DA SILVA"</t>
        </is>
      </c>
      <c r="G2071" s="2" t="inlineStr">
        <is>
          <t>system</t>
        </is>
      </c>
      <c r="H2071" s="2" t="inlineStr">
        <is>
          <t>02.03.02.01 : Cobrança Bancaria</t>
        </is>
      </c>
      <c r="I2071" s="2" t="n"/>
      <c r="J2071" s="3" t="n">
        <v>-0.88</v>
      </c>
      <c r="K2071" s="2">
        <f>IF(H2071="02.09 : Outras Saídas", IF(OR(ISNUMBER(SEARCH("CHEQUE COMPE SICREDI", F2071)), ISNUMBER(SEARCH("aniversario", F2071)), ISNUMBER(SEARCH("churrasco", F2071)), ISNUMBER(SEARCH("bolo", F2071)), ISNUMBER(SEARCH("SUPERMERCADO", F2071))), "6.1 Despesas Administrativas (Pessoal)", IF(OR(ISNUMBER(SEARCH("DLKNET", F2071)), ISNUMBER(SEARCH("TESTE", F2071))), "6.1 Despesas Administrativas (Gerais)", IFERROR(VLOOKUP(H2071, De_Para!A:B, 2, FALSE), "NÃO MAPEADO"))), IFERROR(VLOOKUP(H2071, De_Para!A:B, 2, FALSE), "NÃO MAPEADO"))</f>
        <v/>
      </c>
    </row>
    <row r="2072">
      <c r="A2072" s="2" t="inlineStr">
        <is>
          <t>67614</t>
        </is>
      </c>
      <c r="B2072" s="2" t="inlineStr">
        <is>
          <t>Sicoob</t>
        </is>
      </c>
      <c r="C2072" s="2" t="inlineStr">
        <is>
          <t>02/06/2026</t>
        </is>
      </c>
      <c r="D2072" s="2" t="inlineStr">
        <is>
          <t>02/06/2026</t>
        </is>
      </c>
      <c r="E2072" s="2" t="inlineStr">
        <is>
          <t>Dinheiro</t>
        </is>
      </c>
      <c r="F2072" s="2" t="inlineStr">
        <is>
          <t>Boleto "55082" do cliente "DANIEL SANCHES DA SILVA"</t>
        </is>
      </c>
      <c r="G2072" s="2" t="inlineStr">
        <is>
          <t>system</t>
        </is>
      </c>
      <c r="H2072" s="2" t="inlineStr">
        <is>
          <t>01.01.01 : Mensalidade</t>
        </is>
      </c>
      <c r="I2072" s="3" t="n">
        <v>110</v>
      </c>
      <c r="J2072" s="2" t="n"/>
      <c r="K2072" s="2">
        <f>IF(H2072="02.09 : Outras Saídas", IF(OR(ISNUMBER(SEARCH("CHEQUE COMPE SICREDI", F2072)), ISNUMBER(SEARCH("aniversario", F2072)), ISNUMBER(SEARCH("churrasco", F2072)), ISNUMBER(SEARCH("bolo", F2072)), ISNUMBER(SEARCH("SUPERMERCADO", F2072))), "6.1 Despesas Administrativas (Pessoal)", IF(OR(ISNUMBER(SEARCH("DLKNET", F2072)), ISNUMBER(SEARCH("TESTE", F2072))), "6.1 Despesas Administrativas (Gerais)", IFERROR(VLOOKUP(H2072, De_Para!A:B, 2, FALSE), "NÃO MAPEADO"))), IFERROR(VLOOKUP(H2072, De_Para!A:B, 2, FALSE), "NÃO MAPEADO"))</f>
        <v/>
      </c>
    </row>
    <row r="2073">
      <c r="A2073" s="2" t="inlineStr">
        <is>
          <t>67613</t>
        </is>
      </c>
      <c r="B2073" s="2" t="inlineStr">
        <is>
          <t>Sicredi SNI</t>
        </is>
      </c>
      <c r="C2073" s="2" t="inlineStr">
        <is>
          <t>02/06/2026</t>
        </is>
      </c>
      <c r="D2073" s="2" t="inlineStr">
        <is>
          <t>02/06/2026</t>
        </is>
      </c>
      <c r="E2073" s="2" t="inlineStr">
        <is>
          <t>PIX</t>
        </is>
      </c>
      <c r="F2073" s="2" t="inlineStr">
        <is>
          <t>Boleto "56646" do cliente "NELI ALMEIDA GOMES LUCATTO"</t>
        </is>
      </c>
      <c r="G2073" s="2" t="inlineStr">
        <is>
          <t>system</t>
        </is>
      </c>
      <c r="H2073" s="2" t="inlineStr">
        <is>
          <t>02.03.02.01 : Cobrança Bancaria</t>
        </is>
      </c>
      <c r="I2073" s="2" t="n"/>
      <c r="J2073" s="3" t="n">
        <v>-0.49</v>
      </c>
      <c r="K2073" s="2">
        <f>IF(H2073="02.09 : Outras Saídas", IF(OR(ISNUMBER(SEARCH("CHEQUE COMPE SICREDI", F2073)), ISNUMBER(SEARCH("aniversario", F2073)), ISNUMBER(SEARCH("churrasco", F2073)), ISNUMBER(SEARCH("bolo", F2073)), ISNUMBER(SEARCH("SUPERMERCADO", F2073))), "6.1 Despesas Administrativas (Pessoal)", IF(OR(ISNUMBER(SEARCH("DLKNET", F2073)), ISNUMBER(SEARCH("TESTE", F2073))), "6.1 Despesas Administrativas (Gerais)", IFERROR(VLOOKUP(H2073, De_Para!A:B, 2, FALSE), "NÃO MAPEADO"))), IFERROR(VLOOKUP(H2073, De_Para!A:B, 2, FALSE), "NÃO MAPEADO"))</f>
        <v/>
      </c>
    </row>
    <row r="2074">
      <c r="A2074" s="2" t="inlineStr">
        <is>
          <t>67612</t>
        </is>
      </c>
      <c r="B2074" s="2" t="inlineStr">
        <is>
          <t>Sicredi SNI</t>
        </is>
      </c>
      <c r="C2074" s="2" t="inlineStr">
        <is>
          <t>02/06/2026</t>
        </is>
      </c>
      <c r="D2074" s="2" t="inlineStr">
        <is>
          <t>02/06/2026</t>
        </is>
      </c>
      <c r="E2074" s="2" t="inlineStr">
        <is>
          <t>PIX</t>
        </is>
      </c>
      <c r="F2074" s="2" t="inlineStr">
        <is>
          <t>Boleto "56646" do cliente "NELI ALMEIDA GOMES LUCATTO"</t>
        </is>
      </c>
      <c r="G2074" s="2" t="inlineStr">
        <is>
          <t>system</t>
        </is>
      </c>
      <c r="H2074" s="2" t="inlineStr">
        <is>
          <t>01.03.01 : Mensalidade</t>
        </is>
      </c>
      <c r="I2074" s="3" t="n">
        <v>105</v>
      </c>
      <c r="J2074" s="2" t="n"/>
      <c r="K2074" s="2">
        <f>IF(H2074="02.09 : Outras Saídas", IF(OR(ISNUMBER(SEARCH("CHEQUE COMPE SICREDI", F2074)), ISNUMBER(SEARCH("aniversario", F2074)), ISNUMBER(SEARCH("churrasco", F2074)), ISNUMBER(SEARCH("bolo", F2074)), ISNUMBER(SEARCH("SUPERMERCADO", F2074))), "6.1 Despesas Administrativas (Pessoal)", IF(OR(ISNUMBER(SEARCH("DLKNET", F2074)), ISNUMBER(SEARCH("TESTE", F2074))), "6.1 Despesas Administrativas (Gerais)", IFERROR(VLOOKUP(H2074, De_Para!A:B, 2, FALSE), "NÃO MAPEADO"))), IFERROR(VLOOKUP(H2074, De_Para!A:B, 2, FALSE), "NÃO MAPEADO"))</f>
        <v/>
      </c>
    </row>
    <row r="2075">
      <c r="A2075" s="2" t="inlineStr">
        <is>
          <t>67611</t>
        </is>
      </c>
      <c r="B2075" s="2" t="inlineStr">
        <is>
          <t>Sicredi SNI</t>
        </is>
      </c>
      <c r="C2075" s="2" t="inlineStr">
        <is>
          <t>02/06/2026</t>
        </is>
      </c>
      <c r="D2075" s="2" t="inlineStr">
        <is>
          <t>02/06/2026</t>
        </is>
      </c>
      <c r="E2075" s="2" t="inlineStr">
        <is>
          <t>PIX</t>
        </is>
      </c>
      <c r="F2075" s="2" t="inlineStr">
        <is>
          <t>Boleto "65458" do cliente "ANA PAULA DA ROSA YAMAMOTO"</t>
        </is>
      </c>
      <c r="G2075" s="2" t="inlineStr">
        <is>
          <t>system</t>
        </is>
      </c>
      <c r="H2075" s="2" t="inlineStr">
        <is>
          <t>02.03.02.01 : Cobrança Bancaria</t>
        </is>
      </c>
      <c r="I2075" s="2" t="n"/>
      <c r="J2075" s="3" t="n">
        <v>-0.49</v>
      </c>
      <c r="K2075" s="2">
        <f>IF(H2075="02.09 : Outras Saídas", IF(OR(ISNUMBER(SEARCH("CHEQUE COMPE SICREDI", F2075)), ISNUMBER(SEARCH("aniversario", F2075)), ISNUMBER(SEARCH("churrasco", F2075)), ISNUMBER(SEARCH("bolo", F2075)), ISNUMBER(SEARCH("SUPERMERCADO", F2075))), "6.1 Despesas Administrativas (Pessoal)", IF(OR(ISNUMBER(SEARCH("DLKNET", F2075)), ISNUMBER(SEARCH("TESTE", F2075))), "6.1 Despesas Administrativas (Gerais)", IFERROR(VLOOKUP(H2075, De_Para!A:B, 2, FALSE), "NÃO MAPEADO"))), IFERROR(VLOOKUP(H2075, De_Para!A:B, 2, FALSE), "NÃO MAPEADO"))</f>
        <v/>
      </c>
    </row>
    <row r="2076">
      <c r="A2076" s="2" t="inlineStr">
        <is>
          <t>67610</t>
        </is>
      </c>
      <c r="B2076" s="2" t="inlineStr">
        <is>
          <t>Sicredi SNI</t>
        </is>
      </c>
      <c r="C2076" s="2" t="inlineStr">
        <is>
          <t>02/06/2026</t>
        </is>
      </c>
      <c r="D2076" s="2" t="inlineStr">
        <is>
          <t>02/06/2026</t>
        </is>
      </c>
      <c r="E2076" s="2" t="inlineStr">
        <is>
          <t>PIX</t>
        </is>
      </c>
      <c r="F2076" s="2" t="inlineStr">
        <is>
          <t>Boleto "65458" do cliente "ANA PAULA DA ROSA YAMAMOTO"</t>
        </is>
      </c>
      <c r="G2076" s="2" t="inlineStr">
        <is>
          <t>system</t>
        </is>
      </c>
      <c r="H2076" s="2" t="inlineStr">
        <is>
          <t>01.01.01 : Mensalidade</t>
        </is>
      </c>
      <c r="I2076" s="3" t="n">
        <v>99.90000000000001</v>
      </c>
      <c r="J2076" s="2" t="n"/>
      <c r="K2076" s="2">
        <f>IF(H2076="02.09 : Outras Saídas", IF(OR(ISNUMBER(SEARCH("CHEQUE COMPE SICREDI", F2076)), ISNUMBER(SEARCH("aniversario", F2076)), ISNUMBER(SEARCH("churrasco", F2076)), ISNUMBER(SEARCH("bolo", F2076)), ISNUMBER(SEARCH("SUPERMERCADO", F2076))), "6.1 Despesas Administrativas (Pessoal)", IF(OR(ISNUMBER(SEARCH("DLKNET", F2076)), ISNUMBER(SEARCH("TESTE", F2076))), "6.1 Despesas Administrativas (Gerais)", IFERROR(VLOOKUP(H2076, De_Para!A:B, 2, FALSE), "NÃO MAPEADO"))), IFERROR(VLOOKUP(H2076, De_Para!A:B, 2, FALSE), "NÃO MAPEADO"))</f>
        <v/>
      </c>
    </row>
    <row r="2077">
      <c r="A2077" s="2" t="inlineStr">
        <is>
          <t>67609</t>
        </is>
      </c>
      <c r="B2077" s="2" t="inlineStr">
        <is>
          <t>Sicredi SNI</t>
        </is>
      </c>
      <c r="C2077" s="2" t="inlineStr">
        <is>
          <t>02/06/2026</t>
        </is>
      </c>
      <c r="D2077" s="2" t="inlineStr">
        <is>
          <t>02/06/2026</t>
        </is>
      </c>
      <c r="E2077" s="2" t="inlineStr">
        <is>
          <t>PIX</t>
        </is>
      </c>
      <c r="F2077" s="2" t="inlineStr">
        <is>
          <t>Boleto "53686" do cliente "JOSE LUIZ GONÇALVES"</t>
        </is>
      </c>
      <c r="G2077" s="2" t="inlineStr">
        <is>
          <t>system</t>
        </is>
      </c>
      <c r="H2077" s="2" t="inlineStr">
        <is>
          <t>02.03.02.01 : Cobrança Bancaria</t>
        </is>
      </c>
      <c r="I2077" s="2" t="n"/>
      <c r="J2077" s="3" t="n">
        <v>-0.49</v>
      </c>
      <c r="K2077" s="2">
        <f>IF(H2077="02.09 : Outras Saídas", IF(OR(ISNUMBER(SEARCH("CHEQUE COMPE SICREDI", F2077)), ISNUMBER(SEARCH("aniversario", F2077)), ISNUMBER(SEARCH("churrasco", F2077)), ISNUMBER(SEARCH("bolo", F2077)), ISNUMBER(SEARCH("SUPERMERCADO", F2077))), "6.1 Despesas Administrativas (Pessoal)", IF(OR(ISNUMBER(SEARCH("DLKNET", F2077)), ISNUMBER(SEARCH("TESTE", F2077))), "6.1 Despesas Administrativas (Gerais)", IFERROR(VLOOKUP(H2077, De_Para!A:B, 2, FALSE), "NÃO MAPEADO"))), IFERROR(VLOOKUP(H2077, De_Para!A:B, 2, FALSE), "NÃO MAPEADO"))</f>
        <v/>
      </c>
    </row>
    <row r="2078">
      <c r="A2078" s="2" t="inlineStr">
        <is>
          <t>67608</t>
        </is>
      </c>
      <c r="B2078" s="2" t="inlineStr">
        <is>
          <t>Sicredi SNI</t>
        </is>
      </c>
      <c r="C2078" s="2" t="inlineStr">
        <is>
          <t>02/06/2026</t>
        </is>
      </c>
      <c r="D2078" s="2" t="inlineStr">
        <is>
          <t>02/06/2026</t>
        </is>
      </c>
      <c r="E2078" s="2" t="inlineStr">
        <is>
          <t>PIX</t>
        </is>
      </c>
      <c r="F2078" s="2" t="inlineStr">
        <is>
          <t>Boleto "53686" do cliente "JOSE LUIZ GONÇALVES"</t>
        </is>
      </c>
      <c r="G2078" s="2" t="inlineStr">
        <is>
          <t>system</t>
        </is>
      </c>
      <c r="H2078" s="2" t="inlineStr">
        <is>
          <t>01.03.01 : Mensalidade</t>
        </is>
      </c>
      <c r="I2078" s="3" t="n">
        <v>105</v>
      </c>
      <c r="J2078" s="2" t="n"/>
      <c r="K2078" s="2">
        <f>IF(H2078="02.09 : Outras Saídas", IF(OR(ISNUMBER(SEARCH("CHEQUE COMPE SICREDI", F2078)), ISNUMBER(SEARCH("aniversario", F2078)), ISNUMBER(SEARCH("churrasco", F2078)), ISNUMBER(SEARCH("bolo", F2078)), ISNUMBER(SEARCH("SUPERMERCADO", F2078))), "6.1 Despesas Administrativas (Pessoal)", IF(OR(ISNUMBER(SEARCH("DLKNET", F2078)), ISNUMBER(SEARCH("TESTE", F2078))), "6.1 Despesas Administrativas (Gerais)", IFERROR(VLOOKUP(H2078, De_Para!A:B, 2, FALSE), "NÃO MAPEADO"))), IFERROR(VLOOKUP(H2078, De_Para!A:B, 2, FALSE), "NÃO MAPEADO"))</f>
        <v/>
      </c>
    </row>
    <row r="2079">
      <c r="A2079" s="2" t="inlineStr">
        <is>
          <t>67607</t>
        </is>
      </c>
      <c r="B2079" s="2" t="inlineStr">
        <is>
          <t>Sicoob</t>
        </is>
      </c>
      <c r="C2079" s="2" t="inlineStr">
        <is>
          <t>02/06/2026</t>
        </is>
      </c>
      <c r="D2079" s="2" t="inlineStr">
        <is>
          <t>02/06/2026</t>
        </is>
      </c>
      <c r="E2079" s="2" t="inlineStr">
        <is>
          <t>Dinheiro</t>
        </is>
      </c>
      <c r="F2079" s="2" t="inlineStr">
        <is>
          <t>Boleto "60742" do cliente "ANGELA MARIA DE FREITAS FLOIS"</t>
        </is>
      </c>
      <c r="G2079" s="2" t="inlineStr">
        <is>
          <t>system</t>
        </is>
      </c>
      <c r="H2079" s="2" t="inlineStr">
        <is>
          <t>02.03.02.01 : Cobrança Bancaria</t>
        </is>
      </c>
      <c r="I2079" s="2" t="n"/>
      <c r="J2079" s="3" t="n">
        <v>-0.88</v>
      </c>
      <c r="K2079" s="2">
        <f>IF(H2079="02.09 : Outras Saídas", IF(OR(ISNUMBER(SEARCH("CHEQUE COMPE SICREDI", F2079)), ISNUMBER(SEARCH("aniversario", F2079)), ISNUMBER(SEARCH("churrasco", F2079)), ISNUMBER(SEARCH("bolo", F2079)), ISNUMBER(SEARCH("SUPERMERCADO", F2079))), "6.1 Despesas Administrativas (Pessoal)", IF(OR(ISNUMBER(SEARCH("DLKNET", F2079)), ISNUMBER(SEARCH("TESTE", F2079))), "6.1 Despesas Administrativas (Gerais)", IFERROR(VLOOKUP(H2079, De_Para!A:B, 2, FALSE), "NÃO MAPEADO"))), IFERROR(VLOOKUP(H2079, De_Para!A:B, 2, FALSE), "NÃO MAPEADO"))</f>
        <v/>
      </c>
    </row>
    <row r="2080">
      <c r="A2080" s="2" t="inlineStr">
        <is>
          <t>67606</t>
        </is>
      </c>
      <c r="B2080" s="2" t="inlineStr">
        <is>
          <t>Sicoob</t>
        </is>
      </c>
      <c r="C2080" s="2" t="inlineStr">
        <is>
          <t>02/06/2026</t>
        </is>
      </c>
      <c r="D2080" s="2" t="inlineStr">
        <is>
          <t>02/06/2026</t>
        </is>
      </c>
      <c r="E2080" s="2" t="inlineStr">
        <is>
          <t>Dinheiro</t>
        </is>
      </c>
      <c r="F2080" s="2" t="inlineStr">
        <is>
          <t>Boleto "60742" do cliente "ANGELA MARIA DE FREITAS FLOIS"</t>
        </is>
      </c>
      <c r="G2080" s="2" t="inlineStr">
        <is>
          <t>system</t>
        </is>
      </c>
      <c r="H2080" s="2" t="inlineStr">
        <is>
          <t>01.01.01 : Mensalidade</t>
        </is>
      </c>
      <c r="I2080" s="3" t="n">
        <v>107.2</v>
      </c>
      <c r="J2080" s="2" t="n"/>
      <c r="K2080" s="2">
        <f>IF(H2080="02.09 : Outras Saídas", IF(OR(ISNUMBER(SEARCH("CHEQUE COMPE SICREDI", F2080)), ISNUMBER(SEARCH("aniversario", F2080)), ISNUMBER(SEARCH("churrasco", F2080)), ISNUMBER(SEARCH("bolo", F2080)), ISNUMBER(SEARCH("SUPERMERCADO", F2080))), "6.1 Despesas Administrativas (Pessoal)", IF(OR(ISNUMBER(SEARCH("DLKNET", F2080)), ISNUMBER(SEARCH("TESTE", F2080))), "6.1 Despesas Administrativas (Gerais)", IFERROR(VLOOKUP(H2080, De_Para!A:B, 2, FALSE), "NÃO MAPEADO"))), IFERROR(VLOOKUP(H2080, De_Para!A:B, 2, FALSE), "NÃO MAPEADO"))</f>
        <v/>
      </c>
    </row>
    <row r="2081">
      <c r="A2081" s="2" t="inlineStr">
        <is>
          <t>67605</t>
        </is>
      </c>
      <c r="B2081" s="2" t="inlineStr">
        <is>
          <t>Sicoob</t>
        </is>
      </c>
      <c r="C2081" s="2" t="inlineStr">
        <is>
          <t>02/06/2026</t>
        </is>
      </c>
      <c r="D2081" s="2" t="inlineStr">
        <is>
          <t>02/06/2026</t>
        </is>
      </c>
      <c r="E2081" s="2" t="inlineStr">
        <is>
          <t>Dinheiro</t>
        </is>
      </c>
      <c r="F2081" s="2" t="inlineStr">
        <is>
          <t>Boleto "57579" do cliente "ERCILIO DE GOIS MACIEL"</t>
        </is>
      </c>
      <c r="G2081" s="2" t="inlineStr">
        <is>
          <t>system</t>
        </is>
      </c>
      <c r="H2081" s="2" t="inlineStr">
        <is>
          <t>02.03.02.01 : Cobrança Bancaria</t>
        </is>
      </c>
      <c r="I2081" s="2" t="n"/>
      <c r="J2081" s="3" t="n">
        <v>-0.88</v>
      </c>
      <c r="K2081" s="2">
        <f>IF(H2081="02.09 : Outras Saídas", IF(OR(ISNUMBER(SEARCH("CHEQUE COMPE SICREDI", F2081)), ISNUMBER(SEARCH("aniversario", F2081)), ISNUMBER(SEARCH("churrasco", F2081)), ISNUMBER(SEARCH("bolo", F2081)), ISNUMBER(SEARCH("SUPERMERCADO", F2081))), "6.1 Despesas Administrativas (Pessoal)", IF(OR(ISNUMBER(SEARCH("DLKNET", F2081)), ISNUMBER(SEARCH("TESTE", F2081))), "6.1 Despesas Administrativas (Gerais)", IFERROR(VLOOKUP(H2081, De_Para!A:B, 2, FALSE), "NÃO MAPEADO"))), IFERROR(VLOOKUP(H2081, De_Para!A:B, 2, FALSE), "NÃO MAPEADO"))</f>
        <v/>
      </c>
    </row>
    <row r="2082">
      <c r="A2082" s="2" t="inlineStr">
        <is>
          <t>67604</t>
        </is>
      </c>
      <c r="B2082" s="2" t="inlineStr">
        <is>
          <t>Sicoob</t>
        </is>
      </c>
      <c r="C2082" s="2" t="inlineStr">
        <is>
          <t>02/06/2026</t>
        </is>
      </c>
      <c r="D2082" s="2" t="inlineStr">
        <is>
          <t>02/06/2026</t>
        </is>
      </c>
      <c r="E2082" s="2" t="inlineStr">
        <is>
          <t>Dinheiro</t>
        </is>
      </c>
      <c r="F2082" s="2" t="inlineStr">
        <is>
          <t>Boleto "57579" do cliente "ERCILIO DE GOIS MACIEL"</t>
        </is>
      </c>
      <c r="G2082" s="2" t="inlineStr">
        <is>
          <t>system</t>
        </is>
      </c>
      <c r="H2082" s="2" t="inlineStr">
        <is>
          <t>01.03.01 : Mensalidade</t>
        </is>
      </c>
      <c r="I2082" s="3" t="n">
        <v>105</v>
      </c>
      <c r="J2082" s="2" t="n"/>
      <c r="K2082" s="2">
        <f>IF(H2082="02.09 : Outras Saídas", IF(OR(ISNUMBER(SEARCH("CHEQUE COMPE SICREDI", F2082)), ISNUMBER(SEARCH("aniversario", F2082)), ISNUMBER(SEARCH("churrasco", F2082)), ISNUMBER(SEARCH("bolo", F2082)), ISNUMBER(SEARCH("SUPERMERCADO", F2082))), "6.1 Despesas Administrativas (Pessoal)", IF(OR(ISNUMBER(SEARCH("DLKNET", F2082)), ISNUMBER(SEARCH("TESTE", F2082))), "6.1 Despesas Administrativas (Gerais)", IFERROR(VLOOKUP(H2082, De_Para!A:B, 2, FALSE), "NÃO MAPEADO"))), IFERROR(VLOOKUP(H2082, De_Para!A:B, 2, FALSE), "NÃO MAPEADO"))</f>
        <v/>
      </c>
    </row>
    <row r="2083">
      <c r="A2083" s="2" t="inlineStr">
        <is>
          <t>67603</t>
        </is>
      </c>
      <c r="B2083" s="2" t="inlineStr">
        <is>
          <t>Sicoob</t>
        </is>
      </c>
      <c r="C2083" s="2" t="inlineStr">
        <is>
          <t>02/06/2026</t>
        </is>
      </c>
      <c r="D2083" s="2" t="inlineStr">
        <is>
          <t>02/06/2026</t>
        </is>
      </c>
      <c r="E2083" s="2" t="inlineStr">
        <is>
          <t>Dinheiro</t>
        </is>
      </c>
      <c r="F2083" s="2" t="inlineStr">
        <is>
          <t>Boleto "57282" do cliente "EMILIO LUCAS MOTA DO VALE"</t>
        </is>
      </c>
      <c r="G2083" s="2" t="inlineStr">
        <is>
          <t>system</t>
        </is>
      </c>
      <c r="H2083" s="2" t="inlineStr">
        <is>
          <t>02.03.02.01 : Cobrança Bancaria</t>
        </is>
      </c>
      <c r="I2083" s="2" t="n"/>
      <c r="J2083" s="3" t="n">
        <v>-0.88</v>
      </c>
      <c r="K2083" s="2">
        <f>IF(H2083="02.09 : Outras Saídas", IF(OR(ISNUMBER(SEARCH("CHEQUE COMPE SICREDI", F2083)), ISNUMBER(SEARCH("aniversario", F2083)), ISNUMBER(SEARCH("churrasco", F2083)), ISNUMBER(SEARCH("bolo", F2083)), ISNUMBER(SEARCH("SUPERMERCADO", F2083))), "6.1 Despesas Administrativas (Pessoal)", IF(OR(ISNUMBER(SEARCH("DLKNET", F2083)), ISNUMBER(SEARCH("TESTE", F2083))), "6.1 Despesas Administrativas (Gerais)", IFERROR(VLOOKUP(H2083, De_Para!A:B, 2, FALSE), "NÃO MAPEADO"))), IFERROR(VLOOKUP(H2083, De_Para!A:B, 2, FALSE), "NÃO MAPEADO"))</f>
        <v/>
      </c>
    </row>
    <row r="2084">
      <c r="A2084" s="2" t="inlineStr">
        <is>
          <t>67602</t>
        </is>
      </c>
      <c r="B2084" s="2" t="inlineStr">
        <is>
          <t>Sicoob</t>
        </is>
      </c>
      <c r="C2084" s="2" t="inlineStr">
        <is>
          <t>02/06/2026</t>
        </is>
      </c>
      <c r="D2084" s="2" t="inlineStr">
        <is>
          <t>02/06/2026</t>
        </is>
      </c>
      <c r="E2084" s="2" t="inlineStr">
        <is>
          <t>Dinheiro</t>
        </is>
      </c>
      <c r="F2084" s="2" t="inlineStr">
        <is>
          <t>Boleto "57282" do cliente "EMILIO LUCAS MOTA DO VALE"</t>
        </is>
      </c>
      <c r="G2084" s="2" t="inlineStr">
        <is>
          <t>system</t>
        </is>
      </c>
      <c r="H2084" s="2" t="inlineStr">
        <is>
          <t>01.01.01 : Mensalidade</t>
        </is>
      </c>
      <c r="I2084" s="3" t="n">
        <v>110</v>
      </c>
      <c r="J2084" s="2" t="n"/>
      <c r="K2084" s="2">
        <f>IF(H2084="02.09 : Outras Saídas", IF(OR(ISNUMBER(SEARCH("CHEQUE COMPE SICREDI", F2084)), ISNUMBER(SEARCH("aniversario", F2084)), ISNUMBER(SEARCH("churrasco", F2084)), ISNUMBER(SEARCH("bolo", F2084)), ISNUMBER(SEARCH("SUPERMERCADO", F2084))), "6.1 Despesas Administrativas (Pessoal)", IF(OR(ISNUMBER(SEARCH("DLKNET", F2084)), ISNUMBER(SEARCH("TESTE", F2084))), "6.1 Despesas Administrativas (Gerais)", IFERROR(VLOOKUP(H2084, De_Para!A:B, 2, FALSE), "NÃO MAPEADO"))), IFERROR(VLOOKUP(H2084, De_Para!A:B, 2, FALSE), "NÃO MAPEADO"))</f>
        <v/>
      </c>
    </row>
    <row r="2085">
      <c r="A2085" s="2" t="inlineStr">
        <is>
          <t>67601</t>
        </is>
      </c>
      <c r="B2085" s="2" t="inlineStr">
        <is>
          <t>Sicoob</t>
        </is>
      </c>
      <c r="C2085" s="2" t="inlineStr">
        <is>
          <t>02/06/2026</t>
        </is>
      </c>
      <c r="D2085" s="2" t="inlineStr">
        <is>
          <t>02/06/2026</t>
        </is>
      </c>
      <c r="E2085" s="2" t="inlineStr">
        <is>
          <t>Dinheiro</t>
        </is>
      </c>
      <c r="F2085" s="2" t="inlineStr">
        <is>
          <t>Boleto "56068" do cliente "THIAGO LOBO DE CAMPOS VIANNA"</t>
        </is>
      </c>
      <c r="G2085" s="2" t="inlineStr">
        <is>
          <t>system</t>
        </is>
      </c>
      <c r="H2085" s="2" t="inlineStr">
        <is>
          <t>02.03.02.01 : Cobrança Bancaria</t>
        </is>
      </c>
      <c r="I2085" s="2" t="n"/>
      <c r="J2085" s="3" t="n">
        <v>-0.88</v>
      </c>
      <c r="K2085" s="2">
        <f>IF(H2085="02.09 : Outras Saídas", IF(OR(ISNUMBER(SEARCH("CHEQUE COMPE SICREDI", F2085)), ISNUMBER(SEARCH("aniversario", F2085)), ISNUMBER(SEARCH("churrasco", F2085)), ISNUMBER(SEARCH("bolo", F2085)), ISNUMBER(SEARCH("SUPERMERCADO", F2085))), "6.1 Despesas Administrativas (Pessoal)", IF(OR(ISNUMBER(SEARCH("DLKNET", F2085)), ISNUMBER(SEARCH("TESTE", F2085))), "6.1 Despesas Administrativas (Gerais)", IFERROR(VLOOKUP(H2085, De_Para!A:B, 2, FALSE), "NÃO MAPEADO"))), IFERROR(VLOOKUP(H2085, De_Para!A:B, 2, FALSE), "NÃO MAPEADO"))</f>
        <v/>
      </c>
    </row>
    <row r="2086">
      <c r="A2086" s="2" t="inlineStr">
        <is>
          <t>67600</t>
        </is>
      </c>
      <c r="B2086" s="2" t="inlineStr">
        <is>
          <t>Sicoob</t>
        </is>
      </c>
      <c r="C2086" s="2" t="inlineStr">
        <is>
          <t>02/06/2026</t>
        </is>
      </c>
      <c r="D2086" s="2" t="inlineStr">
        <is>
          <t>02/06/2026</t>
        </is>
      </c>
      <c r="E2086" s="2" t="inlineStr">
        <is>
          <t>Dinheiro</t>
        </is>
      </c>
      <c r="F2086" s="2" t="inlineStr">
        <is>
          <t>Boleto "56068" do cliente "THIAGO LOBO DE CAMPOS VIANNA"</t>
        </is>
      </c>
      <c r="G2086" s="2" t="inlineStr">
        <is>
          <t>system</t>
        </is>
      </c>
      <c r="H2086" s="2" t="inlineStr">
        <is>
          <t>01.01.01 : Mensalidade</t>
        </is>
      </c>
      <c r="I2086" s="3" t="n">
        <v>105</v>
      </c>
      <c r="J2086" s="2" t="n"/>
      <c r="K2086" s="2">
        <f>IF(H2086="02.09 : Outras Saídas", IF(OR(ISNUMBER(SEARCH("CHEQUE COMPE SICREDI", F2086)), ISNUMBER(SEARCH("aniversario", F2086)), ISNUMBER(SEARCH("churrasco", F2086)), ISNUMBER(SEARCH("bolo", F2086)), ISNUMBER(SEARCH("SUPERMERCADO", F2086))), "6.1 Despesas Administrativas (Pessoal)", IF(OR(ISNUMBER(SEARCH("DLKNET", F2086)), ISNUMBER(SEARCH("TESTE", F2086))), "6.1 Despesas Administrativas (Gerais)", IFERROR(VLOOKUP(H2086, De_Para!A:B, 2, FALSE), "NÃO MAPEADO"))), IFERROR(VLOOKUP(H2086, De_Para!A:B, 2, FALSE), "NÃO MAPEADO"))</f>
        <v/>
      </c>
    </row>
    <row r="2087">
      <c r="A2087" s="2" t="inlineStr">
        <is>
          <t>67599</t>
        </is>
      </c>
      <c r="B2087" s="2" t="inlineStr">
        <is>
          <t>Sicredi SNI</t>
        </is>
      </c>
      <c r="C2087" s="2" t="inlineStr">
        <is>
          <t>02/06/2026</t>
        </is>
      </c>
      <c r="D2087" s="2" t="inlineStr">
        <is>
          <t>02/06/2026</t>
        </is>
      </c>
      <c r="E2087" s="2" t="inlineStr">
        <is>
          <t>PIX</t>
        </is>
      </c>
      <c r="F2087" s="2" t="inlineStr">
        <is>
          <t>Boleto "60515" do cliente "NILSON LIBERATO FERREIRA"</t>
        </is>
      </c>
      <c r="G2087" s="2" t="inlineStr">
        <is>
          <t>system</t>
        </is>
      </c>
      <c r="H2087" s="2" t="inlineStr">
        <is>
          <t>02.03.02.01 : Cobrança Bancaria</t>
        </is>
      </c>
      <c r="I2087" s="2" t="n"/>
      <c r="J2087" s="3" t="n">
        <v>-0.49</v>
      </c>
      <c r="K2087" s="2">
        <f>IF(H2087="02.09 : Outras Saídas", IF(OR(ISNUMBER(SEARCH("CHEQUE COMPE SICREDI", F2087)), ISNUMBER(SEARCH("aniversario", F2087)), ISNUMBER(SEARCH("churrasco", F2087)), ISNUMBER(SEARCH("bolo", F2087)), ISNUMBER(SEARCH("SUPERMERCADO", F2087))), "6.1 Despesas Administrativas (Pessoal)", IF(OR(ISNUMBER(SEARCH("DLKNET", F2087)), ISNUMBER(SEARCH("TESTE", F2087))), "6.1 Despesas Administrativas (Gerais)", IFERROR(VLOOKUP(H2087, De_Para!A:B, 2, FALSE), "NÃO MAPEADO"))), IFERROR(VLOOKUP(H2087, De_Para!A:B, 2, FALSE), "NÃO MAPEADO"))</f>
        <v/>
      </c>
    </row>
    <row r="2088">
      <c r="A2088" s="2" t="inlineStr">
        <is>
          <t>67598</t>
        </is>
      </c>
      <c r="B2088" s="2" t="inlineStr">
        <is>
          <t>Sicredi SNI</t>
        </is>
      </c>
      <c r="C2088" s="2" t="inlineStr">
        <is>
          <t>02/06/2026</t>
        </is>
      </c>
      <c r="D2088" s="2" t="inlineStr">
        <is>
          <t>02/06/2026</t>
        </is>
      </c>
      <c r="E2088" s="2" t="inlineStr">
        <is>
          <t>PIX</t>
        </is>
      </c>
      <c r="F2088" s="2" t="inlineStr">
        <is>
          <t>Boleto "60515" do cliente "NILSON LIBERATO FERREIRA"</t>
        </is>
      </c>
      <c r="G2088" s="2" t="inlineStr">
        <is>
          <t>system</t>
        </is>
      </c>
      <c r="H2088" s="2" t="inlineStr">
        <is>
          <t>01.01.01 : Mensalidade</t>
        </is>
      </c>
      <c r="I2088" s="3" t="n">
        <v>102.27</v>
      </c>
      <c r="J2088" s="2" t="n"/>
      <c r="K2088" s="2">
        <f>IF(H2088="02.09 : Outras Saídas", IF(OR(ISNUMBER(SEARCH("CHEQUE COMPE SICREDI", F2088)), ISNUMBER(SEARCH("aniversario", F2088)), ISNUMBER(SEARCH("churrasco", F2088)), ISNUMBER(SEARCH("bolo", F2088)), ISNUMBER(SEARCH("SUPERMERCADO", F2088))), "6.1 Despesas Administrativas (Pessoal)", IF(OR(ISNUMBER(SEARCH("DLKNET", F2088)), ISNUMBER(SEARCH("TESTE", F2088))), "6.1 Despesas Administrativas (Gerais)", IFERROR(VLOOKUP(H2088, De_Para!A:B, 2, FALSE), "NÃO MAPEADO"))), IFERROR(VLOOKUP(H2088, De_Para!A:B, 2, FALSE), "NÃO MAPEADO"))</f>
        <v/>
      </c>
    </row>
    <row r="2089">
      <c r="A2089" s="2" t="inlineStr">
        <is>
          <t>67597</t>
        </is>
      </c>
      <c r="B2089" s="2" t="inlineStr">
        <is>
          <t>Sicredi SNI</t>
        </is>
      </c>
      <c r="C2089" s="2" t="inlineStr">
        <is>
          <t>02/06/2026</t>
        </is>
      </c>
      <c r="D2089" s="2" t="inlineStr">
        <is>
          <t>02/06/2026</t>
        </is>
      </c>
      <c r="E2089" s="2" t="inlineStr">
        <is>
          <t>PIX</t>
        </is>
      </c>
      <c r="F2089" s="2" t="inlineStr">
        <is>
          <t>Boleto "65097" do cliente "ELISAMARA RIBEIRO DE SOUZA GOMES"</t>
        </is>
      </c>
      <c r="G2089" s="2" t="inlineStr">
        <is>
          <t>system</t>
        </is>
      </c>
      <c r="H2089" s="2" t="inlineStr">
        <is>
          <t>02.03.02.01 : Cobrança Bancaria</t>
        </is>
      </c>
      <c r="I2089" s="2" t="n"/>
      <c r="J2089" s="3" t="n">
        <v>-0.49</v>
      </c>
      <c r="K2089" s="2">
        <f>IF(H2089="02.09 : Outras Saídas", IF(OR(ISNUMBER(SEARCH("CHEQUE COMPE SICREDI", F2089)), ISNUMBER(SEARCH("aniversario", F2089)), ISNUMBER(SEARCH("churrasco", F2089)), ISNUMBER(SEARCH("bolo", F2089)), ISNUMBER(SEARCH("SUPERMERCADO", F2089))), "6.1 Despesas Administrativas (Pessoal)", IF(OR(ISNUMBER(SEARCH("DLKNET", F2089)), ISNUMBER(SEARCH("TESTE", F2089))), "6.1 Despesas Administrativas (Gerais)", IFERROR(VLOOKUP(H2089, De_Para!A:B, 2, FALSE), "NÃO MAPEADO"))), IFERROR(VLOOKUP(H2089, De_Para!A:B, 2, FALSE), "NÃO MAPEADO"))</f>
        <v/>
      </c>
    </row>
    <row r="2090">
      <c r="A2090" s="2" t="inlineStr">
        <is>
          <t>67596</t>
        </is>
      </c>
      <c r="B2090" s="2" t="inlineStr">
        <is>
          <t>Sicredi SNI</t>
        </is>
      </c>
      <c r="C2090" s="2" t="inlineStr">
        <is>
          <t>02/06/2026</t>
        </is>
      </c>
      <c r="D2090" s="2" t="inlineStr">
        <is>
          <t>02/06/2026</t>
        </is>
      </c>
      <c r="E2090" s="2" t="inlineStr">
        <is>
          <t>PIX</t>
        </is>
      </c>
      <c r="F2090" s="2" t="inlineStr">
        <is>
          <t>Boleto "65097" do cliente "ELISAMARA RIBEIRO DE SOUZA GOMES"</t>
        </is>
      </c>
      <c r="G2090" s="2" t="inlineStr">
        <is>
          <t>system</t>
        </is>
      </c>
      <c r="H2090" s="2" t="inlineStr">
        <is>
          <t>01.01.01 : Mensalidade</t>
        </is>
      </c>
      <c r="I2090" s="3" t="n">
        <v>112.31</v>
      </c>
      <c r="J2090" s="2" t="n"/>
      <c r="K2090" s="2">
        <f>IF(H2090="02.09 : Outras Saídas", IF(OR(ISNUMBER(SEARCH("CHEQUE COMPE SICREDI", F2090)), ISNUMBER(SEARCH("aniversario", F2090)), ISNUMBER(SEARCH("churrasco", F2090)), ISNUMBER(SEARCH("bolo", F2090)), ISNUMBER(SEARCH("SUPERMERCADO", F2090))), "6.1 Despesas Administrativas (Pessoal)", IF(OR(ISNUMBER(SEARCH("DLKNET", F2090)), ISNUMBER(SEARCH("TESTE", F2090))), "6.1 Despesas Administrativas (Gerais)", IFERROR(VLOOKUP(H2090, De_Para!A:B, 2, FALSE), "NÃO MAPEADO"))), IFERROR(VLOOKUP(H2090, De_Para!A:B, 2, FALSE), "NÃO MAPEADO"))</f>
        <v/>
      </c>
    </row>
    <row r="2091">
      <c r="A2091" s="2" t="inlineStr">
        <is>
          <t>67595</t>
        </is>
      </c>
      <c r="B2091" s="2" t="inlineStr">
        <is>
          <t>Sicoob</t>
        </is>
      </c>
      <c r="C2091" s="2" t="inlineStr">
        <is>
          <t>02/06/2026</t>
        </is>
      </c>
      <c r="D2091" s="2" t="inlineStr">
        <is>
          <t>01/06/2026</t>
        </is>
      </c>
      <c r="E2091" s="2" t="inlineStr">
        <is>
          <t>PIX</t>
        </is>
      </c>
      <c r="F2091" s="2" t="inlineStr">
        <is>
          <t>PIX EMITIDO OUTRA IF_x000D_
Pagamento Pix_x000D_
47.866.934 0001-74</t>
        </is>
      </c>
      <c r="G2091" s="2" t="inlineStr">
        <is>
          <t>clau</t>
        </is>
      </c>
      <c r="H2091" s="2" t="inlineStr">
        <is>
          <t>01.01.03.03 : VALE ALIMENTAÇÃO</t>
        </is>
      </c>
      <c r="I2091" s="2" t="n"/>
      <c r="J2091" s="3" t="n">
        <v>-4483.78</v>
      </c>
      <c r="K2091" s="2">
        <f>IF(H2091="02.09 : Outras Saídas", IF(OR(ISNUMBER(SEARCH("CHEQUE COMPE SICREDI", F2091)), ISNUMBER(SEARCH("aniversario", F2091)), ISNUMBER(SEARCH("churrasco", F2091)), ISNUMBER(SEARCH("bolo", F2091)), ISNUMBER(SEARCH("SUPERMERCADO", F2091))), "6.1 Despesas Administrativas (Pessoal)", IF(OR(ISNUMBER(SEARCH("DLKNET", F2091)), ISNUMBER(SEARCH("TESTE", F2091))), "6.1 Despesas Administrativas (Gerais)", IFERROR(VLOOKUP(H2091, De_Para!A:B, 2, FALSE), "NÃO MAPEADO"))), IFERROR(VLOOKUP(H2091, De_Para!A:B, 2, FALSE), "NÃO MAPEADO"))</f>
        <v/>
      </c>
    </row>
    <row r="2092">
      <c r="A2092" s="2" t="inlineStr">
        <is>
          <t>67594</t>
        </is>
      </c>
      <c r="B2092" s="2" t="inlineStr">
        <is>
          <t>Sicoob</t>
        </is>
      </c>
      <c r="C2092" s="2" t="inlineStr">
        <is>
          <t>02/06/2026</t>
        </is>
      </c>
      <c r="D2092" s="2" t="inlineStr">
        <is>
          <t>01/06/2026</t>
        </is>
      </c>
      <c r="E2092" s="2" t="inlineStr">
        <is>
          <t>Boleto</t>
        </is>
      </c>
      <c r="F2092" s="2" t="inlineStr">
        <is>
          <t>DÉB.TIT.COMPE EFETIVADO_x000D_
Prestação Toro</t>
        </is>
      </c>
      <c r="G2092" s="2" t="inlineStr">
        <is>
          <t>clau</t>
        </is>
      </c>
      <c r="H2092" s="2" t="inlineStr">
        <is>
          <t>02.03.02.07 : Pro-Labore</t>
        </is>
      </c>
      <c r="I2092" s="2" t="n"/>
      <c r="J2092" s="3" t="n">
        <v>-2768.7</v>
      </c>
      <c r="K2092" s="2">
        <f>IF(H2092="02.09 : Outras Saídas", IF(OR(ISNUMBER(SEARCH("CHEQUE COMPE SICREDI", F2092)), ISNUMBER(SEARCH("aniversario", F2092)), ISNUMBER(SEARCH("churrasco", F2092)), ISNUMBER(SEARCH("bolo", F2092)), ISNUMBER(SEARCH("SUPERMERCADO", F2092))), "6.1 Despesas Administrativas (Pessoal)", IF(OR(ISNUMBER(SEARCH("DLKNET", F2092)), ISNUMBER(SEARCH("TESTE", F2092))), "6.1 Despesas Administrativas (Gerais)", IFERROR(VLOOKUP(H2092, De_Para!A:B, 2, FALSE), "NÃO MAPEADO"))), IFERROR(VLOOKUP(H2092, De_Para!A:B, 2, FALSE), "NÃO MAPEADO"))</f>
        <v/>
      </c>
    </row>
    <row r="2093">
      <c r="A2093" s="2" t="inlineStr">
        <is>
          <t>67593</t>
        </is>
      </c>
      <c r="B2093" s="2" t="inlineStr">
        <is>
          <t>Sicoob</t>
        </is>
      </c>
      <c r="C2093" s="2" t="inlineStr">
        <is>
          <t>02/06/2026</t>
        </is>
      </c>
      <c r="D2093" s="2" t="inlineStr">
        <is>
          <t>01/06/2026</t>
        </is>
      </c>
      <c r="E2093" s="2" t="inlineStr">
        <is>
          <t>Débito em Conta</t>
        </is>
      </c>
      <c r="F2093" s="2" t="inlineStr">
        <is>
          <t>TARIFA COBRANÇA</t>
        </is>
      </c>
      <c r="G2093" s="2" t="inlineStr">
        <is>
          <t>clau</t>
        </is>
      </c>
      <c r="H2093" s="2" t="inlineStr">
        <is>
          <t>02.03.03.01 : Tarifas Bancarias</t>
        </is>
      </c>
      <c r="I2093" s="2" t="n"/>
      <c r="J2093" s="3" t="n">
        <v>-85.90000000000001</v>
      </c>
      <c r="K2093" s="2">
        <f>IF(H2093="02.09 : Outras Saídas", IF(OR(ISNUMBER(SEARCH("CHEQUE COMPE SICREDI", F2093)), ISNUMBER(SEARCH("aniversario", F2093)), ISNUMBER(SEARCH("churrasco", F2093)), ISNUMBER(SEARCH("bolo", F2093)), ISNUMBER(SEARCH("SUPERMERCADO", F2093))), "6.1 Despesas Administrativas (Pessoal)", IF(OR(ISNUMBER(SEARCH("DLKNET", F2093)), ISNUMBER(SEARCH("TESTE", F2093))), "6.1 Despesas Administrativas (Gerais)", IFERROR(VLOOKUP(H2093, De_Para!A:B, 2, FALSE), "NÃO MAPEADO"))), IFERROR(VLOOKUP(H2093, De_Para!A:B, 2, FALSE), "NÃO MAPEADO"))</f>
        <v/>
      </c>
    </row>
    <row r="2094">
      <c r="A2094" s="2" t="inlineStr">
        <is>
          <t>67592</t>
        </is>
      </c>
      <c r="B2094" s="2" t="inlineStr">
        <is>
          <t>Sicoob</t>
        </is>
      </c>
      <c r="C2094" s="2" t="inlineStr">
        <is>
          <t>02/06/2026</t>
        </is>
      </c>
      <c r="D2094" s="2" t="inlineStr">
        <is>
          <t>01/06/2026</t>
        </is>
      </c>
      <c r="E2094" s="2" t="inlineStr">
        <is>
          <t>Débito em Conta</t>
        </is>
      </c>
      <c r="F2094" s="2" t="inlineStr">
        <is>
          <t>TARIFA COBRANÇA</t>
        </is>
      </c>
      <c r="G2094" s="2" t="inlineStr">
        <is>
          <t>clau</t>
        </is>
      </c>
      <c r="H2094" s="2" t="inlineStr">
        <is>
          <t>02.03.03.01 : Tarifas Bancarias</t>
        </is>
      </c>
      <c r="I2094" s="2" t="n"/>
      <c r="J2094" s="3" t="n">
        <v>-19.14</v>
      </c>
      <c r="K2094" s="2">
        <f>IF(H2094="02.09 : Outras Saídas", IF(OR(ISNUMBER(SEARCH("CHEQUE COMPE SICREDI", F2094)), ISNUMBER(SEARCH("aniversario", F2094)), ISNUMBER(SEARCH("churrasco", F2094)), ISNUMBER(SEARCH("bolo", F2094)), ISNUMBER(SEARCH("SUPERMERCADO", F2094))), "6.1 Despesas Administrativas (Pessoal)", IF(OR(ISNUMBER(SEARCH("DLKNET", F2094)), ISNUMBER(SEARCH("TESTE", F2094))), "6.1 Despesas Administrativas (Gerais)", IFERROR(VLOOKUP(H2094, De_Para!A:B, 2, FALSE), "NÃO MAPEADO"))), IFERROR(VLOOKUP(H2094, De_Para!A:B, 2, FALSE), "NÃO MAPEADO"))</f>
        <v/>
      </c>
    </row>
    <row r="2095">
      <c r="A2095" s="2" t="inlineStr">
        <is>
          <t>67591</t>
        </is>
      </c>
      <c r="B2095" s="2" t="inlineStr">
        <is>
          <t>Sicredi SNI</t>
        </is>
      </c>
      <c r="C2095" s="2" t="inlineStr">
        <is>
          <t>02/06/2026</t>
        </is>
      </c>
      <c r="D2095" s="2" t="inlineStr">
        <is>
          <t>02/06/2026</t>
        </is>
      </c>
      <c r="E2095" s="2" t="inlineStr">
        <is>
          <t>PIX</t>
        </is>
      </c>
      <c r="F2095" s="2" t="inlineStr">
        <is>
          <t>Boleto "62892" do cliente "VALDIR BUENO DE OLIVEIRA"</t>
        </is>
      </c>
      <c r="G2095" s="2" t="inlineStr">
        <is>
          <t>system</t>
        </is>
      </c>
      <c r="H2095" s="2" t="inlineStr">
        <is>
          <t>02.03.02.01 : Cobrança Bancaria</t>
        </is>
      </c>
      <c r="I2095" s="2" t="n"/>
      <c r="J2095" s="3" t="n">
        <v>-0.49</v>
      </c>
      <c r="K2095" s="2">
        <f>IF(H2095="02.09 : Outras Saídas", IF(OR(ISNUMBER(SEARCH("CHEQUE COMPE SICREDI", F2095)), ISNUMBER(SEARCH("aniversario", F2095)), ISNUMBER(SEARCH("churrasco", F2095)), ISNUMBER(SEARCH("bolo", F2095)), ISNUMBER(SEARCH("SUPERMERCADO", F2095))), "6.1 Despesas Administrativas (Pessoal)", IF(OR(ISNUMBER(SEARCH("DLKNET", F2095)), ISNUMBER(SEARCH("TESTE", F2095))), "6.1 Despesas Administrativas (Gerais)", IFERROR(VLOOKUP(H2095, De_Para!A:B, 2, FALSE), "NÃO MAPEADO"))), IFERROR(VLOOKUP(H2095, De_Para!A:B, 2, FALSE), "NÃO MAPEADO"))</f>
        <v/>
      </c>
    </row>
    <row r="2096">
      <c r="A2096" s="2" t="inlineStr">
        <is>
          <t>67590</t>
        </is>
      </c>
      <c r="B2096" s="2" t="inlineStr">
        <is>
          <t>Sicredi SNI</t>
        </is>
      </c>
      <c r="C2096" s="2" t="inlineStr">
        <is>
          <t>02/06/2026</t>
        </is>
      </c>
      <c r="D2096" s="2" t="inlineStr">
        <is>
          <t>02/06/2026</t>
        </is>
      </c>
      <c r="E2096" s="2" t="inlineStr">
        <is>
          <t>PIX</t>
        </is>
      </c>
      <c r="F2096" s="2" t="inlineStr">
        <is>
          <t>Boleto "62892" do cliente "VALDIR BUENO DE OLIVEIRA"</t>
        </is>
      </c>
      <c r="G2096" s="2" t="inlineStr">
        <is>
          <t>system</t>
        </is>
      </c>
      <c r="H2096" s="2" t="inlineStr">
        <is>
          <t>01.03.01 : Mensalidade</t>
        </is>
      </c>
      <c r="I2096" s="3" t="n">
        <v>105</v>
      </c>
      <c r="J2096" s="2" t="n"/>
      <c r="K2096" s="2">
        <f>IF(H2096="02.09 : Outras Saídas", IF(OR(ISNUMBER(SEARCH("CHEQUE COMPE SICREDI", F2096)), ISNUMBER(SEARCH("aniversario", F2096)), ISNUMBER(SEARCH("churrasco", F2096)), ISNUMBER(SEARCH("bolo", F2096)), ISNUMBER(SEARCH("SUPERMERCADO", F2096))), "6.1 Despesas Administrativas (Pessoal)", IF(OR(ISNUMBER(SEARCH("DLKNET", F2096)), ISNUMBER(SEARCH("TESTE", F2096))), "6.1 Despesas Administrativas (Gerais)", IFERROR(VLOOKUP(H2096, De_Para!A:B, 2, FALSE), "NÃO MAPEADO"))), IFERROR(VLOOKUP(H2096, De_Para!A:B, 2, FALSE), "NÃO MAPEADO"))</f>
        <v/>
      </c>
    </row>
    <row r="2097">
      <c r="A2097" s="2" t="inlineStr">
        <is>
          <t>67589</t>
        </is>
      </c>
      <c r="B2097" s="2" t="inlineStr">
        <is>
          <t>Sicredi SNI</t>
        </is>
      </c>
      <c r="C2097" s="2" t="inlineStr">
        <is>
          <t>02/06/2026</t>
        </is>
      </c>
      <c r="D2097" s="2" t="inlineStr">
        <is>
          <t>02/06/2026</t>
        </is>
      </c>
      <c r="E2097" s="2" t="inlineStr">
        <is>
          <t>PIX</t>
        </is>
      </c>
      <c r="F2097" s="2" t="inlineStr">
        <is>
          <t>Boleto "55632" do cliente "SERGIO TOSO"</t>
        </is>
      </c>
      <c r="G2097" s="2" t="inlineStr">
        <is>
          <t>system</t>
        </is>
      </c>
      <c r="H2097" s="2" t="inlineStr">
        <is>
          <t>02.03.02.01 : Cobrança Bancaria</t>
        </is>
      </c>
      <c r="I2097" s="2" t="n"/>
      <c r="J2097" s="3" t="n">
        <v>-0.49</v>
      </c>
      <c r="K2097" s="2">
        <f>IF(H2097="02.09 : Outras Saídas", IF(OR(ISNUMBER(SEARCH("CHEQUE COMPE SICREDI", F2097)), ISNUMBER(SEARCH("aniversario", F2097)), ISNUMBER(SEARCH("churrasco", F2097)), ISNUMBER(SEARCH("bolo", F2097)), ISNUMBER(SEARCH("SUPERMERCADO", F2097))), "6.1 Despesas Administrativas (Pessoal)", IF(OR(ISNUMBER(SEARCH("DLKNET", F2097)), ISNUMBER(SEARCH("TESTE", F2097))), "6.1 Despesas Administrativas (Gerais)", IFERROR(VLOOKUP(H2097, De_Para!A:B, 2, FALSE), "NÃO MAPEADO"))), IFERROR(VLOOKUP(H2097, De_Para!A:B, 2, FALSE), "NÃO MAPEADO"))</f>
        <v/>
      </c>
    </row>
    <row r="2098">
      <c r="A2098" s="2" t="inlineStr">
        <is>
          <t>67588</t>
        </is>
      </c>
      <c r="B2098" s="2" t="inlineStr">
        <is>
          <t>Sicredi SNI</t>
        </is>
      </c>
      <c r="C2098" s="2" t="inlineStr">
        <is>
          <t>02/06/2026</t>
        </is>
      </c>
      <c r="D2098" s="2" t="inlineStr">
        <is>
          <t>02/06/2026</t>
        </is>
      </c>
      <c r="E2098" s="2" t="inlineStr">
        <is>
          <t>PIX</t>
        </is>
      </c>
      <c r="F2098" s="2" t="inlineStr">
        <is>
          <t>Boleto "55632" do cliente "SERGIO TOSO"</t>
        </is>
      </c>
      <c r="G2098" s="2" t="inlineStr">
        <is>
          <t>system</t>
        </is>
      </c>
      <c r="H2098" s="2" t="inlineStr">
        <is>
          <t>01.01.01 : Mensalidade</t>
        </is>
      </c>
      <c r="I2098" s="3" t="n">
        <v>107.2</v>
      </c>
      <c r="J2098" s="2" t="n"/>
      <c r="K2098" s="2">
        <f>IF(H2098="02.09 : Outras Saídas", IF(OR(ISNUMBER(SEARCH("CHEQUE COMPE SICREDI", F2098)), ISNUMBER(SEARCH("aniversario", F2098)), ISNUMBER(SEARCH("churrasco", F2098)), ISNUMBER(SEARCH("bolo", F2098)), ISNUMBER(SEARCH("SUPERMERCADO", F2098))), "6.1 Despesas Administrativas (Pessoal)", IF(OR(ISNUMBER(SEARCH("DLKNET", F2098)), ISNUMBER(SEARCH("TESTE", F2098))), "6.1 Despesas Administrativas (Gerais)", IFERROR(VLOOKUP(H2098, De_Para!A:B, 2, FALSE), "NÃO MAPEADO"))), IFERROR(VLOOKUP(H2098, De_Para!A:B, 2, FALSE), "NÃO MAPEADO"))</f>
        <v/>
      </c>
    </row>
    <row r="2099">
      <c r="A2099" s="2" t="inlineStr">
        <is>
          <t>67587</t>
        </is>
      </c>
      <c r="B2099" s="2" t="inlineStr">
        <is>
          <t>Sicredi SNI</t>
        </is>
      </c>
      <c r="C2099" s="2" t="inlineStr">
        <is>
          <t>02/06/2026</t>
        </is>
      </c>
      <c r="D2099" s="2" t="inlineStr">
        <is>
          <t>02/06/2026</t>
        </is>
      </c>
      <c r="E2099" s="2" t="inlineStr">
        <is>
          <t>PIX</t>
        </is>
      </c>
      <c r="F2099" s="2" t="inlineStr">
        <is>
          <t>Boleto "55898" do cliente "DARIO OLIVEIRA"</t>
        </is>
      </c>
      <c r="G2099" s="2" t="inlineStr">
        <is>
          <t>system</t>
        </is>
      </c>
      <c r="H2099" s="2" t="inlineStr">
        <is>
          <t>02.03.02.01 : Cobrança Bancaria</t>
        </is>
      </c>
      <c r="I2099" s="2" t="n"/>
      <c r="J2099" s="3" t="n">
        <v>-0.49</v>
      </c>
      <c r="K2099" s="2">
        <f>IF(H2099="02.09 : Outras Saídas", IF(OR(ISNUMBER(SEARCH("CHEQUE COMPE SICREDI", F2099)), ISNUMBER(SEARCH("aniversario", F2099)), ISNUMBER(SEARCH("churrasco", F2099)), ISNUMBER(SEARCH("bolo", F2099)), ISNUMBER(SEARCH("SUPERMERCADO", F2099))), "6.1 Despesas Administrativas (Pessoal)", IF(OR(ISNUMBER(SEARCH("DLKNET", F2099)), ISNUMBER(SEARCH("TESTE", F2099))), "6.1 Despesas Administrativas (Gerais)", IFERROR(VLOOKUP(H2099, De_Para!A:B, 2, FALSE), "NÃO MAPEADO"))), IFERROR(VLOOKUP(H2099, De_Para!A:B, 2, FALSE), "NÃO MAPEADO"))</f>
        <v/>
      </c>
    </row>
    <row r="2100">
      <c r="A2100" s="2" t="inlineStr">
        <is>
          <t>67586</t>
        </is>
      </c>
      <c r="B2100" s="2" t="inlineStr">
        <is>
          <t>Sicredi SNI</t>
        </is>
      </c>
      <c r="C2100" s="2" t="inlineStr">
        <is>
          <t>02/06/2026</t>
        </is>
      </c>
      <c r="D2100" s="2" t="inlineStr">
        <is>
          <t>02/06/2026</t>
        </is>
      </c>
      <c r="E2100" s="2" t="inlineStr">
        <is>
          <t>PIX</t>
        </is>
      </c>
      <c r="F2100" s="2" t="inlineStr">
        <is>
          <t>Boleto "55898" do cliente "DARIO OLIVEIRA"</t>
        </is>
      </c>
      <c r="G2100" s="2" t="inlineStr">
        <is>
          <t>system</t>
        </is>
      </c>
      <c r="H2100" s="2" t="inlineStr">
        <is>
          <t>01.01.01 : Mensalidade</t>
        </is>
      </c>
      <c r="I2100" s="3" t="n">
        <v>105</v>
      </c>
      <c r="J2100" s="2" t="n"/>
      <c r="K2100" s="2">
        <f>IF(H2100="02.09 : Outras Saídas", IF(OR(ISNUMBER(SEARCH("CHEQUE COMPE SICREDI", F2100)), ISNUMBER(SEARCH("aniversario", F2100)), ISNUMBER(SEARCH("churrasco", F2100)), ISNUMBER(SEARCH("bolo", F2100)), ISNUMBER(SEARCH("SUPERMERCADO", F2100))), "6.1 Despesas Administrativas (Pessoal)", IF(OR(ISNUMBER(SEARCH("DLKNET", F2100)), ISNUMBER(SEARCH("TESTE", F2100))), "6.1 Despesas Administrativas (Gerais)", IFERROR(VLOOKUP(H2100, De_Para!A:B, 2, FALSE), "NÃO MAPEADO"))), IFERROR(VLOOKUP(H2100, De_Para!A:B, 2, FALSE), "NÃO MAPEADO"))</f>
        <v/>
      </c>
    </row>
    <row r="2101">
      <c r="A2101" s="2" t="inlineStr">
        <is>
          <t>67585</t>
        </is>
      </c>
      <c r="B2101" s="2" t="inlineStr">
        <is>
          <t>Sicoob</t>
        </is>
      </c>
      <c r="C2101" s="2" t="inlineStr">
        <is>
          <t>02/06/2026</t>
        </is>
      </c>
      <c r="D2101" s="2" t="inlineStr">
        <is>
          <t>01/06/2026</t>
        </is>
      </c>
      <c r="E2101" s="2" t="inlineStr">
        <is>
          <t>Dinheiro</t>
        </is>
      </c>
      <c r="F2101" s="2" t="inlineStr">
        <is>
          <t>Boleto "57391" do cliente "ANA PAULA DA COSTA"</t>
        </is>
      </c>
      <c r="G2101" s="2" t="inlineStr">
        <is>
          <t>system</t>
        </is>
      </c>
      <c r="H2101" s="2" t="inlineStr">
        <is>
          <t>02.03.02.01 : Cobrança Bancaria</t>
        </is>
      </c>
      <c r="I2101" s="2" t="n"/>
      <c r="J2101" s="3" t="n">
        <v>-0.3</v>
      </c>
      <c r="K2101" s="2">
        <f>IF(H2101="02.09 : Outras Saídas", IF(OR(ISNUMBER(SEARCH("CHEQUE COMPE SICREDI", F2101)), ISNUMBER(SEARCH("aniversario", F2101)), ISNUMBER(SEARCH("churrasco", F2101)), ISNUMBER(SEARCH("bolo", F2101)), ISNUMBER(SEARCH("SUPERMERCADO", F2101))), "6.1 Despesas Administrativas (Pessoal)", IF(OR(ISNUMBER(SEARCH("DLKNET", F2101)), ISNUMBER(SEARCH("TESTE", F2101))), "6.1 Despesas Administrativas (Gerais)", IFERROR(VLOOKUP(H2101, De_Para!A:B, 2, FALSE), "NÃO MAPEADO"))), IFERROR(VLOOKUP(H2101, De_Para!A:B, 2, FALSE), "NÃO MAPEADO"))</f>
        <v/>
      </c>
    </row>
    <row r="2102">
      <c r="A2102" s="2" t="inlineStr">
        <is>
          <t>67584</t>
        </is>
      </c>
      <c r="B2102" s="2" t="inlineStr">
        <is>
          <t>Sicoob</t>
        </is>
      </c>
      <c r="C2102" s="2" t="inlineStr">
        <is>
          <t>02/06/2026</t>
        </is>
      </c>
      <c r="D2102" s="2" t="inlineStr">
        <is>
          <t>01/06/2026</t>
        </is>
      </c>
      <c r="E2102" s="2" t="inlineStr">
        <is>
          <t>Dinheiro</t>
        </is>
      </c>
      <c r="F2102" s="2" t="inlineStr">
        <is>
          <t>Boleto "57391" do cliente "ANA PAULA DA COSTA"</t>
        </is>
      </c>
      <c r="G2102" s="2" t="inlineStr">
        <is>
          <t>system</t>
        </is>
      </c>
      <c r="H2102" s="2" t="inlineStr">
        <is>
          <t>01.01.01 : Mensalidade</t>
        </is>
      </c>
      <c r="I2102" s="3" t="n">
        <v>107.34</v>
      </c>
      <c r="J2102" s="2" t="n"/>
      <c r="K2102" s="2">
        <f>IF(H2102="02.09 : Outras Saídas", IF(OR(ISNUMBER(SEARCH("CHEQUE COMPE SICREDI", F2102)), ISNUMBER(SEARCH("aniversario", F2102)), ISNUMBER(SEARCH("churrasco", F2102)), ISNUMBER(SEARCH("bolo", F2102)), ISNUMBER(SEARCH("SUPERMERCADO", F2102))), "6.1 Despesas Administrativas (Pessoal)", IF(OR(ISNUMBER(SEARCH("DLKNET", F2102)), ISNUMBER(SEARCH("TESTE", F2102))), "6.1 Despesas Administrativas (Gerais)", IFERROR(VLOOKUP(H2102, De_Para!A:B, 2, FALSE), "NÃO MAPEADO"))), IFERROR(VLOOKUP(H2102, De_Para!A:B, 2, FALSE), "NÃO MAPEADO"))</f>
        <v/>
      </c>
    </row>
    <row r="2103">
      <c r="A2103" s="2" t="inlineStr">
        <is>
          <t>67583</t>
        </is>
      </c>
      <c r="B2103" s="2" t="inlineStr">
        <is>
          <t>Sicoob</t>
        </is>
      </c>
      <c r="C2103" s="2" t="inlineStr">
        <is>
          <t>02/06/2026</t>
        </is>
      </c>
      <c r="D2103" s="2" t="inlineStr">
        <is>
          <t>01/06/2026</t>
        </is>
      </c>
      <c r="E2103" s="2" t="inlineStr">
        <is>
          <t>Dinheiro</t>
        </is>
      </c>
      <c r="F2103" s="2" t="inlineStr">
        <is>
          <t>Boleto "56744" do cliente "ANA CLAUDIA DA SILVA"</t>
        </is>
      </c>
      <c r="G2103" s="2" t="inlineStr">
        <is>
          <t>system</t>
        </is>
      </c>
      <c r="H2103" s="2" t="inlineStr">
        <is>
          <t>02.03.02.01 : Cobrança Bancaria</t>
        </is>
      </c>
      <c r="I2103" s="2" t="n"/>
      <c r="J2103" s="3" t="n">
        <v>-0.88</v>
      </c>
      <c r="K2103" s="2">
        <f>IF(H2103="02.09 : Outras Saídas", IF(OR(ISNUMBER(SEARCH("CHEQUE COMPE SICREDI", F2103)), ISNUMBER(SEARCH("aniversario", F2103)), ISNUMBER(SEARCH("churrasco", F2103)), ISNUMBER(SEARCH("bolo", F2103)), ISNUMBER(SEARCH("SUPERMERCADO", F2103))), "6.1 Despesas Administrativas (Pessoal)", IF(OR(ISNUMBER(SEARCH("DLKNET", F2103)), ISNUMBER(SEARCH("TESTE", F2103))), "6.1 Despesas Administrativas (Gerais)", IFERROR(VLOOKUP(H2103, De_Para!A:B, 2, FALSE), "NÃO MAPEADO"))), IFERROR(VLOOKUP(H2103, De_Para!A:B, 2, FALSE), "NÃO MAPEADO"))</f>
        <v/>
      </c>
    </row>
    <row r="2104">
      <c r="A2104" s="2" t="inlineStr">
        <is>
          <t>67582</t>
        </is>
      </c>
      <c r="B2104" s="2" t="inlineStr">
        <is>
          <t>Sicoob</t>
        </is>
      </c>
      <c r="C2104" s="2" t="inlineStr">
        <is>
          <t>02/06/2026</t>
        </is>
      </c>
      <c r="D2104" s="2" t="inlineStr">
        <is>
          <t>01/06/2026</t>
        </is>
      </c>
      <c r="E2104" s="2" t="inlineStr">
        <is>
          <t>Dinheiro</t>
        </is>
      </c>
      <c r="F2104" s="2" t="inlineStr">
        <is>
          <t>Boleto "56744" do cliente "ANA CLAUDIA DA SILVA"</t>
        </is>
      </c>
      <c r="G2104" s="2" t="inlineStr">
        <is>
          <t>system</t>
        </is>
      </c>
      <c r="H2104" s="2" t="inlineStr">
        <is>
          <t>01.01.01 : Mensalidade</t>
        </is>
      </c>
      <c r="I2104" s="3" t="n">
        <v>105</v>
      </c>
      <c r="J2104" s="2" t="n"/>
      <c r="K2104" s="2">
        <f>IF(H2104="02.09 : Outras Saídas", IF(OR(ISNUMBER(SEARCH("CHEQUE COMPE SICREDI", F2104)), ISNUMBER(SEARCH("aniversario", F2104)), ISNUMBER(SEARCH("churrasco", F2104)), ISNUMBER(SEARCH("bolo", F2104)), ISNUMBER(SEARCH("SUPERMERCADO", F2104))), "6.1 Despesas Administrativas (Pessoal)", IF(OR(ISNUMBER(SEARCH("DLKNET", F2104)), ISNUMBER(SEARCH("TESTE", F2104))), "6.1 Despesas Administrativas (Gerais)", IFERROR(VLOOKUP(H2104, De_Para!A:B, 2, FALSE), "NÃO MAPEADO"))), IFERROR(VLOOKUP(H2104, De_Para!A:B, 2, FALSE), "NÃO MAPEADO"))</f>
        <v/>
      </c>
    </row>
    <row r="2105">
      <c r="A2105" s="2" t="inlineStr">
        <is>
          <t>67581</t>
        </is>
      </c>
      <c r="B2105" s="2" t="inlineStr">
        <is>
          <t>Sicoob</t>
        </is>
      </c>
      <c r="C2105" s="2" t="inlineStr">
        <is>
          <t>02/06/2026</t>
        </is>
      </c>
      <c r="D2105" s="2" t="inlineStr">
        <is>
          <t>01/06/2026</t>
        </is>
      </c>
      <c r="E2105" s="2" t="inlineStr">
        <is>
          <t>Dinheiro</t>
        </is>
      </c>
      <c r="F2105" s="2" t="inlineStr">
        <is>
          <t>Boleto "55570" do cliente "JANAINA PAULINO"</t>
        </is>
      </c>
      <c r="G2105" s="2" t="inlineStr">
        <is>
          <t>system</t>
        </is>
      </c>
      <c r="H2105" s="2" t="inlineStr">
        <is>
          <t>02.03.02.01 : Cobrança Bancaria</t>
        </is>
      </c>
      <c r="I2105" s="2" t="n"/>
      <c r="J2105" s="3" t="n">
        <v>-0.3</v>
      </c>
      <c r="K2105" s="2">
        <f>IF(H2105="02.09 : Outras Saídas", IF(OR(ISNUMBER(SEARCH("CHEQUE COMPE SICREDI", F2105)), ISNUMBER(SEARCH("aniversario", F2105)), ISNUMBER(SEARCH("churrasco", F2105)), ISNUMBER(SEARCH("bolo", F2105)), ISNUMBER(SEARCH("SUPERMERCADO", F2105))), "6.1 Despesas Administrativas (Pessoal)", IF(OR(ISNUMBER(SEARCH("DLKNET", F2105)), ISNUMBER(SEARCH("TESTE", F2105))), "6.1 Despesas Administrativas (Gerais)", IFERROR(VLOOKUP(H2105, De_Para!A:B, 2, FALSE), "NÃO MAPEADO"))), IFERROR(VLOOKUP(H2105, De_Para!A:B, 2, FALSE), "NÃO MAPEADO"))</f>
        <v/>
      </c>
    </row>
    <row r="2106">
      <c r="A2106" s="2" t="inlineStr">
        <is>
          <t>67580</t>
        </is>
      </c>
      <c r="B2106" s="2" t="inlineStr">
        <is>
          <t>Sicoob</t>
        </is>
      </c>
      <c r="C2106" s="2" t="inlineStr">
        <is>
          <t>02/06/2026</t>
        </is>
      </c>
      <c r="D2106" s="2" t="inlineStr">
        <is>
          <t>01/06/2026</t>
        </is>
      </c>
      <c r="E2106" s="2" t="inlineStr">
        <is>
          <t>Dinheiro</t>
        </is>
      </c>
      <c r="F2106" s="2" t="inlineStr">
        <is>
          <t>Boleto "55570" do cliente "JANAINA PAULINO"</t>
        </is>
      </c>
      <c r="G2106" s="2" t="inlineStr">
        <is>
          <t>system</t>
        </is>
      </c>
      <c r="H2106" s="2" t="inlineStr">
        <is>
          <t>01.01.01 : Mensalidade</t>
        </is>
      </c>
      <c r="I2106" s="3" t="n">
        <v>102.23</v>
      </c>
      <c r="J2106" s="2" t="n"/>
      <c r="K2106" s="2">
        <f>IF(H2106="02.09 : Outras Saídas", IF(OR(ISNUMBER(SEARCH("CHEQUE COMPE SICREDI", F2106)), ISNUMBER(SEARCH("aniversario", F2106)), ISNUMBER(SEARCH("churrasco", F2106)), ISNUMBER(SEARCH("bolo", F2106)), ISNUMBER(SEARCH("SUPERMERCADO", F2106))), "6.1 Despesas Administrativas (Pessoal)", IF(OR(ISNUMBER(SEARCH("DLKNET", F2106)), ISNUMBER(SEARCH("TESTE", F2106))), "6.1 Despesas Administrativas (Gerais)", IFERROR(VLOOKUP(H2106, De_Para!A:B, 2, FALSE), "NÃO MAPEADO"))), IFERROR(VLOOKUP(H2106, De_Para!A:B, 2, FALSE), "NÃO MAPEADO"))</f>
        <v/>
      </c>
    </row>
    <row r="2107">
      <c r="A2107" s="2" t="inlineStr">
        <is>
          <t>67579</t>
        </is>
      </c>
      <c r="B2107" s="2" t="inlineStr">
        <is>
          <t>Sicredi SNI</t>
        </is>
      </c>
      <c r="C2107" s="2" t="inlineStr">
        <is>
          <t>01/06/2026</t>
        </is>
      </c>
      <c r="D2107" s="2" t="inlineStr">
        <is>
          <t>01/06/2026</t>
        </is>
      </c>
      <c r="E2107" s="2" t="inlineStr">
        <is>
          <t>PIX</t>
        </is>
      </c>
      <c r="F2107" s="2" t="inlineStr">
        <is>
          <t>Boleto "55364" do cliente "SULLIVAN MEDEIROS MACENO"</t>
        </is>
      </c>
      <c r="G2107" s="2" t="inlineStr">
        <is>
          <t>system</t>
        </is>
      </c>
      <c r="H2107" s="2" t="inlineStr">
        <is>
          <t>02.03.02.01 : Cobrança Bancaria</t>
        </is>
      </c>
      <c r="I2107" s="2" t="n"/>
      <c r="J2107" s="3" t="n">
        <v>-0.49</v>
      </c>
      <c r="K2107" s="2">
        <f>IF(H2107="02.09 : Outras Saídas", IF(OR(ISNUMBER(SEARCH("CHEQUE COMPE SICREDI", F2107)), ISNUMBER(SEARCH("aniversario", F2107)), ISNUMBER(SEARCH("churrasco", F2107)), ISNUMBER(SEARCH("bolo", F2107)), ISNUMBER(SEARCH("SUPERMERCADO", F2107))), "6.1 Despesas Administrativas (Pessoal)", IF(OR(ISNUMBER(SEARCH("DLKNET", F2107)), ISNUMBER(SEARCH("TESTE", F2107))), "6.1 Despesas Administrativas (Gerais)", IFERROR(VLOOKUP(H2107, De_Para!A:B, 2, FALSE), "NÃO MAPEADO"))), IFERROR(VLOOKUP(H2107, De_Para!A:B, 2, FALSE), "NÃO MAPEADO"))</f>
        <v/>
      </c>
    </row>
    <row r="2108">
      <c r="A2108" s="2" t="inlineStr">
        <is>
          <t>67578</t>
        </is>
      </c>
      <c r="B2108" s="2" t="inlineStr">
        <is>
          <t>Sicredi SNI</t>
        </is>
      </c>
      <c r="C2108" s="2" t="inlineStr">
        <is>
          <t>01/06/2026</t>
        </is>
      </c>
      <c r="D2108" s="2" t="inlineStr">
        <is>
          <t>01/06/2026</t>
        </is>
      </c>
      <c r="E2108" s="2" t="inlineStr">
        <is>
          <t>PIX</t>
        </is>
      </c>
      <c r="F2108" s="2" t="inlineStr">
        <is>
          <t>Boleto "55364" do cliente "SULLIVAN MEDEIROS MACENO"</t>
        </is>
      </c>
      <c r="G2108" s="2" t="inlineStr">
        <is>
          <t>system</t>
        </is>
      </c>
      <c r="H2108" s="2" t="inlineStr">
        <is>
          <t>01.01.01 : Mensalidade</t>
        </is>
      </c>
      <c r="I2108" s="3" t="n">
        <v>105</v>
      </c>
      <c r="J2108" s="2" t="n"/>
      <c r="K2108" s="2">
        <f>IF(H2108="02.09 : Outras Saídas", IF(OR(ISNUMBER(SEARCH("CHEQUE COMPE SICREDI", F2108)), ISNUMBER(SEARCH("aniversario", F2108)), ISNUMBER(SEARCH("churrasco", F2108)), ISNUMBER(SEARCH("bolo", F2108)), ISNUMBER(SEARCH("SUPERMERCADO", F2108))), "6.1 Despesas Administrativas (Pessoal)", IF(OR(ISNUMBER(SEARCH("DLKNET", F2108)), ISNUMBER(SEARCH("TESTE", F2108))), "6.1 Despesas Administrativas (Gerais)", IFERROR(VLOOKUP(H2108, De_Para!A:B, 2, FALSE), "NÃO MAPEADO"))), IFERROR(VLOOKUP(H2108, De_Para!A:B, 2, FALSE), "NÃO MAPEADO"))</f>
        <v/>
      </c>
    </row>
    <row r="2109">
      <c r="A2109" s="2" t="inlineStr">
        <is>
          <t>67577</t>
        </is>
      </c>
      <c r="B2109" s="2" t="inlineStr">
        <is>
          <t>Sicredi SNI</t>
        </is>
      </c>
      <c r="C2109" s="2" t="inlineStr">
        <is>
          <t>01/06/2026</t>
        </is>
      </c>
      <c r="D2109" s="2" t="inlineStr">
        <is>
          <t>01/06/2026</t>
        </is>
      </c>
      <c r="E2109" s="2" t="inlineStr">
        <is>
          <t>PIX</t>
        </is>
      </c>
      <c r="F2109" s="2" t="inlineStr">
        <is>
          <t>Boleto "55385" do cliente "CLAUDINEIA GERALDINO"</t>
        </is>
      </c>
      <c r="G2109" s="2" t="inlineStr">
        <is>
          <t>system</t>
        </is>
      </c>
      <c r="H2109" s="2" t="inlineStr">
        <is>
          <t>02.03.02.01 : Cobrança Bancaria</t>
        </is>
      </c>
      <c r="I2109" s="2" t="n"/>
      <c r="J2109" s="3" t="n">
        <v>-0.49</v>
      </c>
      <c r="K2109" s="2">
        <f>IF(H2109="02.09 : Outras Saídas", IF(OR(ISNUMBER(SEARCH("CHEQUE COMPE SICREDI", F2109)), ISNUMBER(SEARCH("aniversario", F2109)), ISNUMBER(SEARCH("churrasco", F2109)), ISNUMBER(SEARCH("bolo", F2109)), ISNUMBER(SEARCH("SUPERMERCADO", F2109))), "6.1 Despesas Administrativas (Pessoal)", IF(OR(ISNUMBER(SEARCH("DLKNET", F2109)), ISNUMBER(SEARCH("TESTE", F2109))), "6.1 Despesas Administrativas (Gerais)", IFERROR(VLOOKUP(H2109, De_Para!A:B, 2, FALSE), "NÃO MAPEADO"))), IFERROR(VLOOKUP(H2109, De_Para!A:B, 2, FALSE), "NÃO MAPEADO"))</f>
        <v/>
      </c>
    </row>
    <row r="2110">
      <c r="A2110" s="2" t="inlineStr">
        <is>
          <t>67576</t>
        </is>
      </c>
      <c r="B2110" s="2" t="inlineStr">
        <is>
          <t>Sicredi SNI</t>
        </is>
      </c>
      <c r="C2110" s="2" t="inlineStr">
        <is>
          <t>01/06/2026</t>
        </is>
      </c>
      <c r="D2110" s="2" t="inlineStr">
        <is>
          <t>01/06/2026</t>
        </is>
      </c>
      <c r="E2110" s="2" t="inlineStr">
        <is>
          <t>PIX</t>
        </is>
      </c>
      <c r="F2110" s="2" t="inlineStr">
        <is>
          <t>Boleto "55385" do cliente "CLAUDINEIA GERALDINO"</t>
        </is>
      </c>
      <c r="G2110" s="2" t="inlineStr">
        <is>
          <t>system</t>
        </is>
      </c>
      <c r="H2110" s="2" t="inlineStr">
        <is>
          <t>01.01.01 : Mensalidade</t>
        </is>
      </c>
      <c r="I2110" s="3" t="n">
        <v>105</v>
      </c>
      <c r="J2110" s="2" t="n"/>
      <c r="K2110" s="2">
        <f>IF(H2110="02.09 : Outras Saídas", IF(OR(ISNUMBER(SEARCH("CHEQUE COMPE SICREDI", F2110)), ISNUMBER(SEARCH("aniversario", F2110)), ISNUMBER(SEARCH("churrasco", F2110)), ISNUMBER(SEARCH("bolo", F2110)), ISNUMBER(SEARCH("SUPERMERCADO", F2110))), "6.1 Despesas Administrativas (Pessoal)", IF(OR(ISNUMBER(SEARCH("DLKNET", F2110)), ISNUMBER(SEARCH("TESTE", F2110))), "6.1 Despesas Administrativas (Gerais)", IFERROR(VLOOKUP(H2110, De_Para!A:B, 2, FALSE), "NÃO MAPEADO"))), IFERROR(VLOOKUP(H2110, De_Para!A:B, 2, FALSE), "NÃO MAPEADO"))</f>
        <v/>
      </c>
    </row>
    <row r="2111">
      <c r="A2111" s="2" t="inlineStr">
        <is>
          <t>67575</t>
        </is>
      </c>
      <c r="B2111" s="2" t="inlineStr">
        <is>
          <t>Sicoob</t>
        </is>
      </c>
      <c r="C2111" s="2" t="inlineStr">
        <is>
          <t>01/06/2026</t>
        </is>
      </c>
      <c r="D2111" s="2" t="inlineStr">
        <is>
          <t>01/06/2026</t>
        </is>
      </c>
      <c r="E2111" s="2" t="inlineStr">
        <is>
          <t>Dinheiro</t>
        </is>
      </c>
      <c r="F2111" s="2" t="inlineStr">
        <is>
          <t>Boleto "60012" do cliente "AIRTON OJEDA"</t>
        </is>
      </c>
      <c r="G2111" s="2" t="inlineStr">
        <is>
          <t>system</t>
        </is>
      </c>
      <c r="H2111" s="2" t="inlineStr">
        <is>
          <t>02.03.02.01 : Cobrança Bancaria</t>
        </is>
      </c>
      <c r="I2111" s="2" t="n"/>
      <c r="J2111" s="3" t="n">
        <v>-0.88</v>
      </c>
      <c r="K2111" s="2">
        <f>IF(H2111="02.09 : Outras Saídas", IF(OR(ISNUMBER(SEARCH("CHEQUE COMPE SICREDI", F2111)), ISNUMBER(SEARCH("aniversario", F2111)), ISNUMBER(SEARCH("churrasco", F2111)), ISNUMBER(SEARCH("bolo", F2111)), ISNUMBER(SEARCH("SUPERMERCADO", F2111))), "6.1 Despesas Administrativas (Pessoal)", IF(OR(ISNUMBER(SEARCH("DLKNET", F2111)), ISNUMBER(SEARCH("TESTE", F2111))), "6.1 Despesas Administrativas (Gerais)", IFERROR(VLOOKUP(H2111, De_Para!A:B, 2, FALSE), "NÃO MAPEADO"))), IFERROR(VLOOKUP(H2111, De_Para!A:B, 2, FALSE), "NÃO MAPEADO"))</f>
        <v/>
      </c>
    </row>
    <row r="2112">
      <c r="A2112" s="2" t="inlineStr">
        <is>
          <t>67574</t>
        </is>
      </c>
      <c r="B2112" s="2" t="inlineStr">
        <is>
          <t>Sicoob</t>
        </is>
      </c>
      <c r="C2112" s="2" t="inlineStr">
        <is>
          <t>01/06/2026</t>
        </is>
      </c>
      <c r="D2112" s="2" t="inlineStr">
        <is>
          <t>01/06/2026</t>
        </is>
      </c>
      <c r="E2112" s="2" t="inlineStr">
        <is>
          <t>Dinheiro</t>
        </is>
      </c>
      <c r="F2112" s="2" t="inlineStr">
        <is>
          <t>Boleto "60012" do cliente "AIRTON OJEDA"</t>
        </is>
      </c>
      <c r="G2112" s="2" t="inlineStr">
        <is>
          <t>system</t>
        </is>
      </c>
      <c r="H2112" s="2" t="inlineStr">
        <is>
          <t>01.03.01 : Mensalidade</t>
        </is>
      </c>
      <c r="I2112" s="3" t="n">
        <v>105</v>
      </c>
      <c r="J2112" s="2" t="n"/>
      <c r="K2112" s="2">
        <f>IF(H2112="02.09 : Outras Saídas", IF(OR(ISNUMBER(SEARCH("CHEQUE COMPE SICREDI", F2112)), ISNUMBER(SEARCH("aniversario", F2112)), ISNUMBER(SEARCH("churrasco", F2112)), ISNUMBER(SEARCH("bolo", F2112)), ISNUMBER(SEARCH("SUPERMERCADO", F2112))), "6.1 Despesas Administrativas (Pessoal)", IF(OR(ISNUMBER(SEARCH("DLKNET", F2112)), ISNUMBER(SEARCH("TESTE", F2112))), "6.1 Despesas Administrativas (Gerais)", IFERROR(VLOOKUP(H2112, De_Para!A:B, 2, FALSE), "NÃO MAPEADO"))), IFERROR(VLOOKUP(H2112, De_Para!A:B, 2, FALSE), "NÃO MAPEADO"))</f>
        <v/>
      </c>
    </row>
    <row r="2113">
      <c r="A2113" s="2" t="inlineStr">
        <is>
          <t>67573</t>
        </is>
      </c>
      <c r="B2113" s="2" t="inlineStr">
        <is>
          <t>Sicoob</t>
        </is>
      </c>
      <c r="C2113" s="2" t="inlineStr">
        <is>
          <t>01/06/2026</t>
        </is>
      </c>
      <c r="D2113" s="2" t="inlineStr">
        <is>
          <t>01/06/2026</t>
        </is>
      </c>
      <c r="E2113" s="2" t="inlineStr">
        <is>
          <t>Dinheiro</t>
        </is>
      </c>
      <c r="F2113" s="2" t="inlineStr">
        <is>
          <t>Boleto "59533" do cliente "VILCIANE APARECIDA CAMARGO"</t>
        </is>
      </c>
      <c r="G2113" s="2" t="inlineStr">
        <is>
          <t>system</t>
        </is>
      </c>
      <c r="H2113" s="2" t="inlineStr">
        <is>
          <t>02.03.02.01 : Cobrança Bancaria</t>
        </is>
      </c>
      <c r="I2113" s="2" t="n"/>
      <c r="J2113" s="3" t="n">
        <v>-0.88</v>
      </c>
      <c r="K2113" s="2">
        <f>IF(H2113="02.09 : Outras Saídas", IF(OR(ISNUMBER(SEARCH("CHEQUE COMPE SICREDI", F2113)), ISNUMBER(SEARCH("aniversario", F2113)), ISNUMBER(SEARCH("churrasco", F2113)), ISNUMBER(SEARCH("bolo", F2113)), ISNUMBER(SEARCH("SUPERMERCADO", F2113))), "6.1 Despesas Administrativas (Pessoal)", IF(OR(ISNUMBER(SEARCH("DLKNET", F2113)), ISNUMBER(SEARCH("TESTE", F2113))), "6.1 Despesas Administrativas (Gerais)", IFERROR(VLOOKUP(H2113, De_Para!A:B, 2, FALSE), "NÃO MAPEADO"))), IFERROR(VLOOKUP(H2113, De_Para!A:B, 2, FALSE), "NÃO MAPEADO"))</f>
        <v/>
      </c>
    </row>
    <row r="2114">
      <c r="A2114" s="2" t="inlineStr">
        <is>
          <t>67572</t>
        </is>
      </c>
      <c r="B2114" s="2" t="inlineStr">
        <is>
          <t>Sicoob</t>
        </is>
      </c>
      <c r="C2114" s="2" t="inlineStr">
        <is>
          <t>01/06/2026</t>
        </is>
      </c>
      <c r="D2114" s="2" t="inlineStr">
        <is>
          <t>01/06/2026</t>
        </is>
      </c>
      <c r="E2114" s="2" t="inlineStr">
        <is>
          <t>Dinheiro</t>
        </is>
      </c>
      <c r="F2114" s="2" t="inlineStr">
        <is>
          <t>Boleto "59533" do cliente "VILCIANE APARECIDA CAMARGO"</t>
        </is>
      </c>
      <c r="G2114" s="2" t="inlineStr">
        <is>
          <t>system</t>
        </is>
      </c>
      <c r="H2114" s="2" t="inlineStr">
        <is>
          <t>01.01.01 : Mensalidade</t>
        </is>
      </c>
      <c r="I2114" s="3" t="n">
        <v>105</v>
      </c>
      <c r="J2114" s="2" t="n"/>
      <c r="K2114" s="2">
        <f>IF(H2114="02.09 : Outras Saídas", IF(OR(ISNUMBER(SEARCH("CHEQUE COMPE SICREDI", F2114)), ISNUMBER(SEARCH("aniversario", F2114)), ISNUMBER(SEARCH("churrasco", F2114)), ISNUMBER(SEARCH("bolo", F2114)), ISNUMBER(SEARCH("SUPERMERCADO", F2114))), "6.1 Despesas Administrativas (Pessoal)", IF(OR(ISNUMBER(SEARCH("DLKNET", F2114)), ISNUMBER(SEARCH("TESTE", F2114))), "6.1 Despesas Administrativas (Gerais)", IFERROR(VLOOKUP(H2114, De_Para!A:B, 2, FALSE), "NÃO MAPEADO"))), IFERROR(VLOOKUP(H2114, De_Para!A:B, 2, FALSE), "NÃO MAPEADO"))</f>
        <v/>
      </c>
    </row>
    <row r="2115">
      <c r="A2115" s="2" t="inlineStr">
        <is>
          <t>67571</t>
        </is>
      </c>
      <c r="B2115" s="2" t="inlineStr">
        <is>
          <t>Sicoob</t>
        </is>
      </c>
      <c r="C2115" s="2" t="inlineStr">
        <is>
          <t>01/06/2026</t>
        </is>
      </c>
      <c r="D2115" s="2" t="inlineStr">
        <is>
          <t>01/06/2026</t>
        </is>
      </c>
      <c r="E2115" s="2" t="inlineStr">
        <is>
          <t>Dinheiro</t>
        </is>
      </c>
      <c r="F2115" s="2" t="inlineStr">
        <is>
          <t>Boleto "55178" do cliente "TIAGO DA CUNHA PINTO"</t>
        </is>
      </c>
      <c r="G2115" s="2" t="inlineStr">
        <is>
          <t>system</t>
        </is>
      </c>
      <c r="H2115" s="2" t="inlineStr">
        <is>
          <t>02.03.02.01 : Cobrança Bancaria</t>
        </is>
      </c>
      <c r="I2115" s="2" t="n"/>
      <c r="J2115" s="3" t="n">
        <v>-0.88</v>
      </c>
      <c r="K2115" s="2">
        <f>IF(H2115="02.09 : Outras Saídas", IF(OR(ISNUMBER(SEARCH("CHEQUE COMPE SICREDI", F2115)), ISNUMBER(SEARCH("aniversario", F2115)), ISNUMBER(SEARCH("churrasco", F2115)), ISNUMBER(SEARCH("bolo", F2115)), ISNUMBER(SEARCH("SUPERMERCADO", F2115))), "6.1 Despesas Administrativas (Pessoal)", IF(OR(ISNUMBER(SEARCH("DLKNET", F2115)), ISNUMBER(SEARCH("TESTE", F2115))), "6.1 Despesas Administrativas (Gerais)", IFERROR(VLOOKUP(H2115, De_Para!A:B, 2, FALSE), "NÃO MAPEADO"))), IFERROR(VLOOKUP(H2115, De_Para!A:B, 2, FALSE), "NÃO MAPEADO"))</f>
        <v/>
      </c>
    </row>
    <row r="2116">
      <c r="A2116" s="2" t="inlineStr">
        <is>
          <t>67570</t>
        </is>
      </c>
      <c r="B2116" s="2" t="inlineStr">
        <is>
          <t>Sicoob</t>
        </is>
      </c>
      <c r="C2116" s="2" t="inlineStr">
        <is>
          <t>01/06/2026</t>
        </is>
      </c>
      <c r="D2116" s="2" t="inlineStr">
        <is>
          <t>01/06/2026</t>
        </is>
      </c>
      <c r="E2116" s="2" t="inlineStr">
        <is>
          <t>Dinheiro</t>
        </is>
      </c>
      <c r="F2116" s="2" t="inlineStr">
        <is>
          <t>Boleto "55178" do cliente "TIAGO DA CUNHA PINTO"</t>
        </is>
      </c>
      <c r="G2116" s="2" t="inlineStr">
        <is>
          <t>system</t>
        </is>
      </c>
      <c r="H2116" s="2" t="inlineStr">
        <is>
          <t>01.01.01 : Mensalidade</t>
        </is>
      </c>
      <c r="I2116" s="3" t="n">
        <v>105</v>
      </c>
      <c r="J2116" s="2" t="n"/>
      <c r="K2116" s="2">
        <f>IF(H2116="02.09 : Outras Saídas", IF(OR(ISNUMBER(SEARCH("CHEQUE COMPE SICREDI", F2116)), ISNUMBER(SEARCH("aniversario", F2116)), ISNUMBER(SEARCH("churrasco", F2116)), ISNUMBER(SEARCH("bolo", F2116)), ISNUMBER(SEARCH("SUPERMERCADO", F2116))), "6.1 Despesas Administrativas (Pessoal)", IF(OR(ISNUMBER(SEARCH("DLKNET", F2116)), ISNUMBER(SEARCH("TESTE", F2116))), "6.1 Despesas Administrativas (Gerais)", IFERROR(VLOOKUP(H2116, De_Para!A:B, 2, FALSE), "NÃO MAPEADO"))), IFERROR(VLOOKUP(H2116, De_Para!A:B, 2, FALSE), "NÃO MAPEADO"))</f>
        <v/>
      </c>
    </row>
    <row r="2117">
      <c r="A2117" s="2" t="inlineStr">
        <is>
          <t>67569</t>
        </is>
      </c>
      <c r="B2117" s="2" t="inlineStr">
        <is>
          <t>Sicoob</t>
        </is>
      </c>
      <c r="C2117" s="2" t="inlineStr">
        <is>
          <t>01/06/2026</t>
        </is>
      </c>
      <c r="D2117" s="2" t="inlineStr">
        <is>
          <t>01/06/2026</t>
        </is>
      </c>
      <c r="E2117" s="2" t="inlineStr">
        <is>
          <t>Dinheiro</t>
        </is>
      </c>
      <c r="F2117" s="2" t="inlineStr">
        <is>
          <t>Boleto "69216" do cliente "SILVINEY BAGATIM DIAS"</t>
        </is>
      </c>
      <c r="G2117" s="2" t="inlineStr">
        <is>
          <t>system</t>
        </is>
      </c>
      <c r="H2117" s="2" t="inlineStr">
        <is>
          <t>02.03.02.01 : Cobrança Bancaria</t>
        </is>
      </c>
      <c r="I2117" s="2" t="n"/>
      <c r="J2117" s="3" t="n">
        <v>-0.88</v>
      </c>
      <c r="K2117" s="2">
        <f>IF(H2117="02.09 : Outras Saídas", IF(OR(ISNUMBER(SEARCH("CHEQUE COMPE SICREDI", F2117)), ISNUMBER(SEARCH("aniversario", F2117)), ISNUMBER(SEARCH("churrasco", F2117)), ISNUMBER(SEARCH("bolo", F2117)), ISNUMBER(SEARCH("SUPERMERCADO", F2117))), "6.1 Despesas Administrativas (Pessoal)", IF(OR(ISNUMBER(SEARCH("DLKNET", F2117)), ISNUMBER(SEARCH("TESTE", F2117))), "6.1 Despesas Administrativas (Gerais)", IFERROR(VLOOKUP(H2117, De_Para!A:B, 2, FALSE), "NÃO MAPEADO"))), IFERROR(VLOOKUP(H2117, De_Para!A:B, 2, FALSE), "NÃO MAPEADO"))</f>
        <v/>
      </c>
    </row>
    <row r="2118">
      <c r="A2118" s="2" t="inlineStr">
        <is>
          <t>67568</t>
        </is>
      </c>
      <c r="B2118" s="2" t="inlineStr">
        <is>
          <t>Sicoob</t>
        </is>
      </c>
      <c r="C2118" s="2" t="inlineStr">
        <is>
          <t>01/06/2026</t>
        </is>
      </c>
      <c r="D2118" s="2" t="inlineStr">
        <is>
          <t>01/06/2026</t>
        </is>
      </c>
      <c r="E2118" s="2" t="inlineStr">
        <is>
          <t>Dinheiro</t>
        </is>
      </c>
      <c r="F2118" s="2" t="inlineStr">
        <is>
          <t>Boleto "69216" do cliente "SILVINEY BAGATIM DIAS"</t>
        </is>
      </c>
      <c r="G2118" s="2" t="inlineStr">
        <is>
          <t>system</t>
        </is>
      </c>
      <c r="H2118" s="2" t="inlineStr">
        <is>
          <t>01.01.01 : Mensalidade</t>
        </is>
      </c>
      <c r="I2118" s="3" t="n">
        <v>48.65</v>
      </c>
      <c r="J2118" s="2" t="n"/>
      <c r="K2118" s="2">
        <f>IF(H2118="02.09 : Outras Saídas", IF(OR(ISNUMBER(SEARCH("CHEQUE COMPE SICREDI", F2118)), ISNUMBER(SEARCH("aniversario", F2118)), ISNUMBER(SEARCH("churrasco", F2118)), ISNUMBER(SEARCH("bolo", F2118)), ISNUMBER(SEARCH("SUPERMERCADO", F2118))), "6.1 Despesas Administrativas (Pessoal)", IF(OR(ISNUMBER(SEARCH("DLKNET", F2118)), ISNUMBER(SEARCH("TESTE", F2118))), "6.1 Despesas Administrativas (Gerais)", IFERROR(VLOOKUP(H2118, De_Para!A:B, 2, FALSE), "NÃO MAPEADO"))), IFERROR(VLOOKUP(H2118, De_Para!A:B, 2, FALSE), "NÃO MAPEADO"))</f>
        <v/>
      </c>
    </row>
    <row r="2119">
      <c r="A2119" s="2" t="inlineStr">
        <is>
          <t>67567</t>
        </is>
      </c>
      <c r="B2119" s="2" t="inlineStr">
        <is>
          <t>Sicredi SNI</t>
        </is>
      </c>
      <c r="C2119" s="2" t="inlineStr">
        <is>
          <t>01/06/2026</t>
        </is>
      </c>
      <c r="D2119" s="2" t="inlineStr">
        <is>
          <t>01/06/2026</t>
        </is>
      </c>
      <c r="E2119" s="2" t="inlineStr">
        <is>
          <t>PIX</t>
        </is>
      </c>
      <c r="F2119" s="2" t="inlineStr">
        <is>
          <t>Boleto "64685" do cliente "ALISSON HENRIQUE DOS SANTOS"</t>
        </is>
      </c>
      <c r="G2119" s="2" t="inlineStr">
        <is>
          <t>system</t>
        </is>
      </c>
      <c r="H2119" s="2" t="inlineStr">
        <is>
          <t>02.03.02.01 : Cobrança Bancaria</t>
        </is>
      </c>
      <c r="I2119" s="2" t="n"/>
      <c r="J2119" s="3" t="n">
        <v>-0.49</v>
      </c>
      <c r="K2119" s="2">
        <f>IF(H2119="02.09 : Outras Saídas", IF(OR(ISNUMBER(SEARCH("CHEQUE COMPE SICREDI", F2119)), ISNUMBER(SEARCH("aniversario", F2119)), ISNUMBER(SEARCH("churrasco", F2119)), ISNUMBER(SEARCH("bolo", F2119)), ISNUMBER(SEARCH("SUPERMERCADO", F2119))), "6.1 Despesas Administrativas (Pessoal)", IF(OR(ISNUMBER(SEARCH("DLKNET", F2119)), ISNUMBER(SEARCH("TESTE", F2119))), "6.1 Despesas Administrativas (Gerais)", IFERROR(VLOOKUP(H2119, De_Para!A:B, 2, FALSE), "NÃO MAPEADO"))), IFERROR(VLOOKUP(H2119, De_Para!A:B, 2, FALSE), "NÃO MAPEADO"))</f>
        <v/>
      </c>
    </row>
    <row r="2120">
      <c r="A2120" s="2" t="inlineStr">
        <is>
          <t>67566</t>
        </is>
      </c>
      <c r="B2120" s="2" t="inlineStr">
        <is>
          <t>Sicredi SNI</t>
        </is>
      </c>
      <c r="C2120" s="2" t="inlineStr">
        <is>
          <t>01/06/2026</t>
        </is>
      </c>
      <c r="D2120" s="2" t="inlineStr">
        <is>
          <t>01/06/2026</t>
        </is>
      </c>
      <c r="E2120" s="2" t="inlineStr">
        <is>
          <t>PIX</t>
        </is>
      </c>
      <c r="F2120" s="2" t="inlineStr">
        <is>
          <t>Boleto "64685" do cliente "ALISSON HENRIQUE DOS SANTOS"</t>
        </is>
      </c>
      <c r="G2120" s="2" t="inlineStr">
        <is>
          <t>system</t>
        </is>
      </c>
      <c r="H2120" s="2" t="inlineStr">
        <is>
          <t>01.01.01 : Mensalidade</t>
        </is>
      </c>
      <c r="I2120" s="3" t="n">
        <v>107.42</v>
      </c>
      <c r="J2120" s="2" t="n"/>
      <c r="K2120" s="2">
        <f>IF(H2120="02.09 : Outras Saídas", IF(OR(ISNUMBER(SEARCH("CHEQUE COMPE SICREDI", F2120)), ISNUMBER(SEARCH("aniversario", F2120)), ISNUMBER(SEARCH("churrasco", F2120)), ISNUMBER(SEARCH("bolo", F2120)), ISNUMBER(SEARCH("SUPERMERCADO", F2120))), "6.1 Despesas Administrativas (Pessoal)", IF(OR(ISNUMBER(SEARCH("DLKNET", F2120)), ISNUMBER(SEARCH("TESTE", F2120))), "6.1 Despesas Administrativas (Gerais)", IFERROR(VLOOKUP(H2120, De_Para!A:B, 2, FALSE), "NÃO MAPEADO"))), IFERROR(VLOOKUP(H2120, De_Para!A:B, 2, FALSE), "NÃO MAPEADO"))</f>
        <v/>
      </c>
    </row>
    <row r="2121">
      <c r="A2121" s="2" t="inlineStr">
        <is>
          <t>67565</t>
        </is>
      </c>
      <c r="B2121" s="2" t="inlineStr">
        <is>
          <t>Sicredi SNI</t>
        </is>
      </c>
      <c r="C2121" s="2" t="inlineStr">
        <is>
          <t>01/06/2026</t>
        </is>
      </c>
      <c r="D2121" s="2" t="inlineStr">
        <is>
          <t>01/06/2026</t>
        </is>
      </c>
      <c r="E2121" s="2" t="inlineStr">
        <is>
          <t>PIX</t>
        </is>
      </c>
      <c r="F2121" s="2" t="inlineStr">
        <is>
          <t>Boleto "69033" do cliente "GELSON REVELINO"</t>
        </is>
      </c>
      <c r="G2121" s="2" t="inlineStr">
        <is>
          <t>system</t>
        </is>
      </c>
      <c r="H2121" s="2" t="inlineStr">
        <is>
          <t>02.03.02.01 : Cobrança Bancaria</t>
        </is>
      </c>
      <c r="I2121" s="2" t="n"/>
      <c r="J2121" s="3" t="n">
        <v>-0.49</v>
      </c>
      <c r="K2121" s="2">
        <f>IF(H2121="02.09 : Outras Saídas", IF(OR(ISNUMBER(SEARCH("CHEQUE COMPE SICREDI", F2121)), ISNUMBER(SEARCH("aniversario", F2121)), ISNUMBER(SEARCH("churrasco", F2121)), ISNUMBER(SEARCH("bolo", F2121)), ISNUMBER(SEARCH("SUPERMERCADO", F2121))), "6.1 Despesas Administrativas (Pessoal)", IF(OR(ISNUMBER(SEARCH("DLKNET", F2121)), ISNUMBER(SEARCH("TESTE", F2121))), "6.1 Despesas Administrativas (Gerais)", IFERROR(VLOOKUP(H2121, De_Para!A:B, 2, FALSE), "NÃO MAPEADO"))), IFERROR(VLOOKUP(H2121, De_Para!A:B, 2, FALSE), "NÃO MAPEADO"))</f>
        <v/>
      </c>
    </row>
    <row r="2122">
      <c r="A2122" s="2" t="inlineStr">
        <is>
          <t>67564</t>
        </is>
      </c>
      <c r="B2122" s="2" t="inlineStr">
        <is>
          <t>Sicredi SNI</t>
        </is>
      </c>
      <c r="C2122" s="2" t="inlineStr">
        <is>
          <t>01/06/2026</t>
        </is>
      </c>
      <c r="D2122" s="2" t="inlineStr">
        <is>
          <t>01/06/2026</t>
        </is>
      </c>
      <c r="E2122" s="2" t="inlineStr">
        <is>
          <t>PIX</t>
        </is>
      </c>
      <c r="F2122" s="2" t="inlineStr">
        <is>
          <t>Boleto "69033" do cliente "GELSON REVELINO"</t>
        </is>
      </c>
      <c r="G2122" s="2" t="inlineStr">
        <is>
          <t>system</t>
        </is>
      </c>
      <c r="H2122" s="2" t="inlineStr">
        <is>
          <t>01.60.01 : Serviço de reparo e manutenção</t>
        </is>
      </c>
      <c r="I2122" s="3" t="n">
        <v>40.96</v>
      </c>
      <c r="J2122" s="2" t="n"/>
      <c r="K2122" s="2">
        <f>IF(H2122="02.09 : Outras Saídas", IF(OR(ISNUMBER(SEARCH("CHEQUE COMPE SICREDI", F2122)), ISNUMBER(SEARCH("aniversario", F2122)), ISNUMBER(SEARCH("churrasco", F2122)), ISNUMBER(SEARCH("bolo", F2122)), ISNUMBER(SEARCH("SUPERMERCADO", F2122))), "6.1 Despesas Administrativas (Pessoal)", IF(OR(ISNUMBER(SEARCH("DLKNET", F2122)), ISNUMBER(SEARCH("TESTE", F2122))), "6.1 Despesas Administrativas (Gerais)", IFERROR(VLOOKUP(H2122, De_Para!A:B, 2, FALSE), "NÃO MAPEADO"))), IFERROR(VLOOKUP(H2122, De_Para!A:B, 2, FALSE), "NÃO MAPEADO"))</f>
        <v/>
      </c>
    </row>
    <row r="2123">
      <c r="A2123" s="2" t="inlineStr">
        <is>
          <t>67563</t>
        </is>
      </c>
      <c r="B2123" s="2" t="inlineStr">
        <is>
          <t>Sicredi SNI</t>
        </is>
      </c>
      <c r="C2123" s="2" t="inlineStr">
        <is>
          <t>01/06/2026</t>
        </is>
      </c>
      <c r="D2123" s="2" t="inlineStr">
        <is>
          <t>01/06/2026</t>
        </is>
      </c>
      <c r="E2123" s="2" t="inlineStr">
        <is>
          <t>Dinheiro</t>
        </is>
      </c>
      <c r="F2123" s="2" t="inlineStr">
        <is>
          <t>Boleto "62741" do cliente "AJU EDUARDO MONTANHER SILVA"</t>
        </is>
      </c>
      <c r="G2123" s="2" t="inlineStr">
        <is>
          <t>system</t>
        </is>
      </c>
      <c r="H2123" s="2" t="inlineStr">
        <is>
          <t>02.03.02.01 : Cobrança Bancaria</t>
        </is>
      </c>
      <c r="I2123" s="2" t="n"/>
      <c r="J2123" s="3" t="n">
        <v>-1.08</v>
      </c>
      <c r="K2123" s="2">
        <f>IF(H2123="02.09 : Outras Saídas", IF(OR(ISNUMBER(SEARCH("CHEQUE COMPE SICREDI", F2123)), ISNUMBER(SEARCH("aniversario", F2123)), ISNUMBER(SEARCH("churrasco", F2123)), ISNUMBER(SEARCH("bolo", F2123)), ISNUMBER(SEARCH("SUPERMERCADO", F2123))), "6.1 Despesas Administrativas (Pessoal)", IF(OR(ISNUMBER(SEARCH("DLKNET", F2123)), ISNUMBER(SEARCH("TESTE", F2123))), "6.1 Despesas Administrativas (Gerais)", IFERROR(VLOOKUP(H2123, De_Para!A:B, 2, FALSE), "NÃO MAPEADO"))), IFERROR(VLOOKUP(H2123, De_Para!A:B, 2, FALSE), "NÃO MAPEADO"))</f>
        <v/>
      </c>
    </row>
    <row r="2124">
      <c r="A2124" s="2" t="inlineStr">
        <is>
          <t>67562</t>
        </is>
      </c>
      <c r="B2124" s="2" t="inlineStr">
        <is>
          <t>Sicredi SNI</t>
        </is>
      </c>
      <c r="C2124" s="2" t="inlineStr">
        <is>
          <t>01/06/2026</t>
        </is>
      </c>
      <c r="D2124" s="2" t="inlineStr">
        <is>
          <t>01/06/2026</t>
        </is>
      </c>
      <c r="E2124" s="2" t="inlineStr">
        <is>
          <t>Dinheiro</t>
        </is>
      </c>
      <c r="F2124" s="2" t="inlineStr">
        <is>
          <t>Boleto "62741" do cliente "AJU EDUARDO MONTANHER SILVA"</t>
        </is>
      </c>
      <c r="G2124" s="2" t="inlineStr">
        <is>
          <t>system</t>
        </is>
      </c>
      <c r="H2124" s="2" t="inlineStr">
        <is>
          <t>01.01.01 : Mensalidade</t>
        </is>
      </c>
      <c r="I2124" s="3" t="n">
        <v>104.9</v>
      </c>
      <c r="J2124" s="2" t="n"/>
      <c r="K2124" s="2">
        <f>IF(H2124="02.09 : Outras Saídas", IF(OR(ISNUMBER(SEARCH("CHEQUE COMPE SICREDI", F2124)), ISNUMBER(SEARCH("aniversario", F2124)), ISNUMBER(SEARCH("churrasco", F2124)), ISNUMBER(SEARCH("bolo", F2124)), ISNUMBER(SEARCH("SUPERMERCADO", F2124))), "6.1 Despesas Administrativas (Pessoal)", IF(OR(ISNUMBER(SEARCH("DLKNET", F2124)), ISNUMBER(SEARCH("TESTE", F2124))), "6.1 Despesas Administrativas (Gerais)", IFERROR(VLOOKUP(H2124, De_Para!A:B, 2, FALSE), "NÃO MAPEADO"))), IFERROR(VLOOKUP(H2124, De_Para!A:B, 2, FALSE), "NÃO MAPEADO"))</f>
        <v/>
      </c>
    </row>
    <row r="2125">
      <c r="A2125" s="2" t="inlineStr">
        <is>
          <t>67561</t>
        </is>
      </c>
      <c r="B2125" s="2" t="inlineStr">
        <is>
          <t>Sicoob</t>
        </is>
      </c>
      <c r="C2125" s="2" t="inlineStr">
        <is>
          <t>01/06/2026</t>
        </is>
      </c>
      <c r="D2125" s="2" t="inlineStr">
        <is>
          <t>01/06/2026</t>
        </is>
      </c>
      <c r="E2125" s="2" t="inlineStr">
        <is>
          <t>Dinheiro</t>
        </is>
      </c>
      <c r="F2125" s="2" t="inlineStr">
        <is>
          <t>Boleto "63835" do cliente "CLAUDIO INOCENCIO DA SILVA"</t>
        </is>
      </c>
      <c r="G2125" s="2" t="inlineStr">
        <is>
          <t>system</t>
        </is>
      </c>
      <c r="H2125" s="2" t="inlineStr">
        <is>
          <t>02.03.02.01 : Cobrança Bancaria</t>
        </is>
      </c>
      <c r="I2125" s="2" t="n"/>
      <c r="J2125" s="3" t="n">
        <v>-0.88</v>
      </c>
      <c r="K2125" s="2">
        <f>IF(H2125="02.09 : Outras Saídas", IF(OR(ISNUMBER(SEARCH("CHEQUE COMPE SICREDI", F2125)), ISNUMBER(SEARCH("aniversario", F2125)), ISNUMBER(SEARCH("churrasco", F2125)), ISNUMBER(SEARCH("bolo", F2125)), ISNUMBER(SEARCH("SUPERMERCADO", F2125))), "6.1 Despesas Administrativas (Pessoal)", IF(OR(ISNUMBER(SEARCH("DLKNET", F2125)), ISNUMBER(SEARCH("TESTE", F2125))), "6.1 Despesas Administrativas (Gerais)", IFERROR(VLOOKUP(H2125, De_Para!A:B, 2, FALSE), "NÃO MAPEADO"))), IFERROR(VLOOKUP(H2125, De_Para!A:B, 2, FALSE), "NÃO MAPEADO"))</f>
        <v/>
      </c>
    </row>
    <row r="2126">
      <c r="A2126" s="2" t="inlineStr">
        <is>
          <t>67560</t>
        </is>
      </c>
      <c r="B2126" s="2" t="inlineStr">
        <is>
          <t>Sicoob</t>
        </is>
      </c>
      <c r="C2126" s="2" t="inlineStr">
        <is>
          <t>01/06/2026</t>
        </is>
      </c>
      <c r="D2126" s="2" t="inlineStr">
        <is>
          <t>01/06/2026</t>
        </is>
      </c>
      <c r="E2126" s="2" t="inlineStr">
        <is>
          <t>Dinheiro</t>
        </is>
      </c>
      <c r="F2126" s="2" t="inlineStr">
        <is>
          <t>Boleto "63835" do cliente "CLAUDIO INOCENCIO DA SILVA"</t>
        </is>
      </c>
      <c r="G2126" s="2" t="inlineStr">
        <is>
          <t>system</t>
        </is>
      </c>
      <c r="H2126" s="2" t="inlineStr">
        <is>
          <t>01.01.01 : Mensalidade</t>
        </is>
      </c>
      <c r="I2126" s="3" t="n">
        <v>104.9</v>
      </c>
      <c r="J2126" s="2" t="n"/>
      <c r="K2126" s="2">
        <f>IF(H2126="02.09 : Outras Saídas", IF(OR(ISNUMBER(SEARCH("CHEQUE COMPE SICREDI", F2126)), ISNUMBER(SEARCH("aniversario", F2126)), ISNUMBER(SEARCH("churrasco", F2126)), ISNUMBER(SEARCH("bolo", F2126)), ISNUMBER(SEARCH("SUPERMERCADO", F2126))), "6.1 Despesas Administrativas (Pessoal)", IF(OR(ISNUMBER(SEARCH("DLKNET", F2126)), ISNUMBER(SEARCH("TESTE", F2126))), "6.1 Despesas Administrativas (Gerais)", IFERROR(VLOOKUP(H2126, De_Para!A:B, 2, FALSE), "NÃO MAPEADO"))), IFERROR(VLOOKUP(H2126, De_Para!A:B, 2, FALSE), "NÃO MAPEADO"))</f>
        <v/>
      </c>
    </row>
    <row r="2127">
      <c r="A2127" s="2" t="inlineStr">
        <is>
          <t>67559</t>
        </is>
      </c>
      <c r="B2127" s="2" t="inlineStr">
        <is>
          <t>Sicoob</t>
        </is>
      </c>
      <c r="C2127" s="2" t="inlineStr">
        <is>
          <t>01/06/2026</t>
        </is>
      </c>
      <c r="D2127" s="2" t="inlineStr">
        <is>
          <t>01/06/2026</t>
        </is>
      </c>
      <c r="E2127" s="2" t="inlineStr">
        <is>
          <t>Dinheiro</t>
        </is>
      </c>
      <c r="F2127" s="2" t="inlineStr">
        <is>
          <t>Boleto "63510" do cliente "SERAFIM APARECIDO ORADOR FILHO"</t>
        </is>
      </c>
      <c r="G2127" s="2" t="inlineStr">
        <is>
          <t>system</t>
        </is>
      </c>
      <c r="H2127" s="2" t="inlineStr">
        <is>
          <t>02.03.02.01 : Cobrança Bancaria</t>
        </is>
      </c>
      <c r="I2127" s="2" t="n"/>
      <c r="J2127" s="3" t="n">
        <v>-0.88</v>
      </c>
      <c r="K2127" s="2">
        <f>IF(H2127="02.09 : Outras Saídas", IF(OR(ISNUMBER(SEARCH("CHEQUE COMPE SICREDI", F2127)), ISNUMBER(SEARCH("aniversario", F2127)), ISNUMBER(SEARCH("churrasco", F2127)), ISNUMBER(SEARCH("bolo", F2127)), ISNUMBER(SEARCH("SUPERMERCADO", F2127))), "6.1 Despesas Administrativas (Pessoal)", IF(OR(ISNUMBER(SEARCH("DLKNET", F2127)), ISNUMBER(SEARCH("TESTE", F2127))), "6.1 Despesas Administrativas (Gerais)", IFERROR(VLOOKUP(H2127, De_Para!A:B, 2, FALSE), "NÃO MAPEADO"))), IFERROR(VLOOKUP(H2127, De_Para!A:B, 2, FALSE), "NÃO MAPEADO"))</f>
        <v/>
      </c>
    </row>
    <row r="2128">
      <c r="A2128" s="2" t="inlineStr">
        <is>
          <t>67558</t>
        </is>
      </c>
      <c r="B2128" s="2" t="inlineStr">
        <is>
          <t>Sicoob</t>
        </is>
      </c>
      <c r="C2128" s="2" t="inlineStr">
        <is>
          <t>01/06/2026</t>
        </is>
      </c>
      <c r="D2128" s="2" t="inlineStr">
        <is>
          <t>01/06/2026</t>
        </is>
      </c>
      <c r="E2128" s="2" t="inlineStr">
        <is>
          <t>Dinheiro</t>
        </is>
      </c>
      <c r="F2128" s="2" t="inlineStr">
        <is>
          <t>Boleto "63510" do cliente "SERAFIM APARECIDO ORADOR FILHO"</t>
        </is>
      </c>
      <c r="G2128" s="2" t="inlineStr">
        <is>
          <t>system</t>
        </is>
      </c>
      <c r="H2128" s="2" t="inlineStr">
        <is>
          <t>01.01.01 : Mensalidade</t>
        </is>
      </c>
      <c r="I2128" s="3" t="n">
        <v>109.9</v>
      </c>
      <c r="J2128" s="2" t="n"/>
      <c r="K2128" s="2">
        <f>IF(H2128="02.09 : Outras Saídas", IF(OR(ISNUMBER(SEARCH("CHEQUE COMPE SICREDI", F2128)), ISNUMBER(SEARCH("aniversario", F2128)), ISNUMBER(SEARCH("churrasco", F2128)), ISNUMBER(SEARCH("bolo", F2128)), ISNUMBER(SEARCH("SUPERMERCADO", F2128))), "6.1 Despesas Administrativas (Pessoal)", IF(OR(ISNUMBER(SEARCH("DLKNET", F2128)), ISNUMBER(SEARCH("TESTE", F2128))), "6.1 Despesas Administrativas (Gerais)", IFERROR(VLOOKUP(H2128, De_Para!A:B, 2, FALSE), "NÃO MAPEADO"))), IFERROR(VLOOKUP(H2128, De_Para!A:B, 2, FALSE), "NÃO MAPEADO"))</f>
        <v/>
      </c>
    </row>
    <row r="2129">
      <c r="A2129" s="2" t="inlineStr">
        <is>
          <t>67557</t>
        </is>
      </c>
      <c r="B2129" s="2" t="inlineStr">
        <is>
          <t>Sicoob</t>
        </is>
      </c>
      <c r="C2129" s="2" t="inlineStr">
        <is>
          <t>01/06/2026</t>
        </is>
      </c>
      <c r="D2129" s="2" t="inlineStr">
        <is>
          <t>01/06/2026</t>
        </is>
      </c>
      <c r="E2129" s="2" t="inlineStr">
        <is>
          <t>Dinheiro</t>
        </is>
      </c>
      <c r="F2129" s="2" t="inlineStr">
        <is>
          <t>Boleto "62754" do cliente "ISAU GOULART ALVES"</t>
        </is>
      </c>
      <c r="G2129" s="2" t="inlineStr">
        <is>
          <t>system</t>
        </is>
      </c>
      <c r="H2129" s="2" t="inlineStr">
        <is>
          <t>02.03.02.01 : Cobrança Bancaria</t>
        </is>
      </c>
      <c r="I2129" s="2" t="n"/>
      <c r="J2129" s="3" t="n">
        <v>-0.88</v>
      </c>
      <c r="K2129" s="2">
        <f>IF(H2129="02.09 : Outras Saídas", IF(OR(ISNUMBER(SEARCH("CHEQUE COMPE SICREDI", F2129)), ISNUMBER(SEARCH("aniversario", F2129)), ISNUMBER(SEARCH("churrasco", F2129)), ISNUMBER(SEARCH("bolo", F2129)), ISNUMBER(SEARCH("SUPERMERCADO", F2129))), "6.1 Despesas Administrativas (Pessoal)", IF(OR(ISNUMBER(SEARCH("DLKNET", F2129)), ISNUMBER(SEARCH("TESTE", F2129))), "6.1 Despesas Administrativas (Gerais)", IFERROR(VLOOKUP(H2129, De_Para!A:B, 2, FALSE), "NÃO MAPEADO"))), IFERROR(VLOOKUP(H2129, De_Para!A:B, 2, FALSE), "NÃO MAPEADO"))</f>
        <v/>
      </c>
    </row>
    <row r="2130">
      <c r="A2130" s="2" t="inlineStr">
        <is>
          <t>67556</t>
        </is>
      </c>
      <c r="B2130" s="2" t="inlineStr">
        <is>
          <t>Sicoob</t>
        </is>
      </c>
      <c r="C2130" s="2" t="inlineStr">
        <is>
          <t>01/06/2026</t>
        </is>
      </c>
      <c r="D2130" s="2" t="inlineStr">
        <is>
          <t>01/06/2026</t>
        </is>
      </c>
      <c r="E2130" s="2" t="inlineStr">
        <is>
          <t>Dinheiro</t>
        </is>
      </c>
      <c r="F2130" s="2" t="inlineStr">
        <is>
          <t>Boleto "62754" do cliente "ISAU GOULART ALVES"</t>
        </is>
      </c>
      <c r="G2130" s="2" t="inlineStr">
        <is>
          <t>system</t>
        </is>
      </c>
      <c r="H2130" s="2" t="inlineStr">
        <is>
          <t>01.01.01 : Mensalidade</t>
        </is>
      </c>
      <c r="I2130" s="3" t="n">
        <v>104.9</v>
      </c>
      <c r="J2130" s="2" t="n"/>
      <c r="K2130" s="2">
        <f>IF(H2130="02.09 : Outras Saídas", IF(OR(ISNUMBER(SEARCH("CHEQUE COMPE SICREDI", F2130)), ISNUMBER(SEARCH("aniversario", F2130)), ISNUMBER(SEARCH("churrasco", F2130)), ISNUMBER(SEARCH("bolo", F2130)), ISNUMBER(SEARCH("SUPERMERCADO", F2130))), "6.1 Despesas Administrativas (Pessoal)", IF(OR(ISNUMBER(SEARCH("DLKNET", F2130)), ISNUMBER(SEARCH("TESTE", F2130))), "6.1 Despesas Administrativas (Gerais)", IFERROR(VLOOKUP(H2130, De_Para!A:B, 2, FALSE), "NÃO MAPEADO"))), IFERROR(VLOOKUP(H2130, De_Para!A:B, 2, FALSE), "NÃO MAPEADO"))</f>
        <v/>
      </c>
    </row>
    <row r="2131">
      <c r="A2131" s="2" t="inlineStr">
        <is>
          <t>67555</t>
        </is>
      </c>
      <c r="B2131" s="2" t="inlineStr">
        <is>
          <t>Sicoob</t>
        </is>
      </c>
      <c r="C2131" s="2" t="inlineStr">
        <is>
          <t>01/06/2026</t>
        </is>
      </c>
      <c r="D2131" s="2" t="inlineStr">
        <is>
          <t>01/06/2026</t>
        </is>
      </c>
      <c r="E2131" s="2" t="inlineStr">
        <is>
          <t>Dinheiro</t>
        </is>
      </c>
      <c r="F2131" s="2" t="inlineStr">
        <is>
          <t>Boleto "59807" do cliente "JOSE MOREIRA DA SILVA FILHO"</t>
        </is>
      </c>
      <c r="G2131" s="2" t="inlineStr">
        <is>
          <t>system</t>
        </is>
      </c>
      <c r="H2131" s="2" t="inlineStr">
        <is>
          <t>02.03.02.01 : Cobrança Bancaria</t>
        </is>
      </c>
      <c r="I2131" s="2" t="n"/>
      <c r="J2131" s="3" t="n">
        <v>-0.88</v>
      </c>
      <c r="K2131" s="2">
        <f>IF(H2131="02.09 : Outras Saídas", IF(OR(ISNUMBER(SEARCH("CHEQUE COMPE SICREDI", F2131)), ISNUMBER(SEARCH("aniversario", F2131)), ISNUMBER(SEARCH("churrasco", F2131)), ISNUMBER(SEARCH("bolo", F2131)), ISNUMBER(SEARCH("SUPERMERCADO", F2131))), "6.1 Despesas Administrativas (Pessoal)", IF(OR(ISNUMBER(SEARCH("DLKNET", F2131)), ISNUMBER(SEARCH("TESTE", F2131))), "6.1 Despesas Administrativas (Gerais)", IFERROR(VLOOKUP(H2131, De_Para!A:B, 2, FALSE), "NÃO MAPEADO"))), IFERROR(VLOOKUP(H2131, De_Para!A:B, 2, FALSE), "NÃO MAPEADO"))</f>
        <v/>
      </c>
    </row>
    <row r="2132">
      <c r="A2132" s="2" t="inlineStr">
        <is>
          <t>67554</t>
        </is>
      </c>
      <c r="B2132" s="2" t="inlineStr">
        <is>
          <t>Sicoob</t>
        </is>
      </c>
      <c r="C2132" s="2" t="inlineStr">
        <is>
          <t>01/06/2026</t>
        </is>
      </c>
      <c r="D2132" s="2" t="inlineStr">
        <is>
          <t>01/06/2026</t>
        </is>
      </c>
      <c r="E2132" s="2" t="inlineStr">
        <is>
          <t>Dinheiro</t>
        </is>
      </c>
      <c r="F2132" s="2" t="inlineStr">
        <is>
          <t>Boleto "59807" do cliente "JOSE MOREIRA DA SILVA FILHO"</t>
        </is>
      </c>
      <c r="G2132" s="2" t="inlineStr">
        <is>
          <t>system</t>
        </is>
      </c>
      <c r="H2132" s="2" t="inlineStr">
        <is>
          <t>01.01.01 : Mensalidade</t>
        </is>
      </c>
      <c r="I2132" s="3" t="n">
        <v>105</v>
      </c>
      <c r="J2132" s="2" t="n"/>
      <c r="K2132" s="2">
        <f>IF(H2132="02.09 : Outras Saídas", IF(OR(ISNUMBER(SEARCH("CHEQUE COMPE SICREDI", F2132)), ISNUMBER(SEARCH("aniversario", F2132)), ISNUMBER(SEARCH("churrasco", F2132)), ISNUMBER(SEARCH("bolo", F2132)), ISNUMBER(SEARCH("SUPERMERCADO", F2132))), "6.1 Despesas Administrativas (Pessoal)", IF(OR(ISNUMBER(SEARCH("DLKNET", F2132)), ISNUMBER(SEARCH("TESTE", F2132))), "6.1 Despesas Administrativas (Gerais)", IFERROR(VLOOKUP(H2132, De_Para!A:B, 2, FALSE), "NÃO MAPEADO"))), IFERROR(VLOOKUP(H2132, De_Para!A:B, 2, FALSE), "NÃO MAPEADO"))</f>
        <v/>
      </c>
    </row>
    <row r="2133">
      <c r="A2133" s="2" t="inlineStr">
        <is>
          <t>67553</t>
        </is>
      </c>
      <c r="B2133" s="2" t="inlineStr">
        <is>
          <t>Sicoob</t>
        </is>
      </c>
      <c r="C2133" s="2" t="inlineStr">
        <is>
          <t>01/06/2026</t>
        </is>
      </c>
      <c r="D2133" s="2" t="inlineStr">
        <is>
          <t>01/06/2026</t>
        </is>
      </c>
      <c r="E2133" s="2" t="inlineStr">
        <is>
          <t>Dinheiro</t>
        </is>
      </c>
      <c r="F2133" s="2" t="inlineStr">
        <is>
          <t>Boleto "59606" do cliente "JOEL SOARES DE OLIVEIRA"</t>
        </is>
      </c>
      <c r="G2133" s="2" t="inlineStr">
        <is>
          <t>system</t>
        </is>
      </c>
      <c r="H2133" s="2" t="inlineStr">
        <is>
          <t>02.03.02.01 : Cobrança Bancaria</t>
        </is>
      </c>
      <c r="I2133" s="2" t="n"/>
      <c r="J2133" s="3" t="n">
        <v>-0.88</v>
      </c>
      <c r="K2133" s="2">
        <f>IF(H2133="02.09 : Outras Saídas", IF(OR(ISNUMBER(SEARCH("CHEQUE COMPE SICREDI", F2133)), ISNUMBER(SEARCH("aniversario", F2133)), ISNUMBER(SEARCH("churrasco", F2133)), ISNUMBER(SEARCH("bolo", F2133)), ISNUMBER(SEARCH("SUPERMERCADO", F2133))), "6.1 Despesas Administrativas (Pessoal)", IF(OR(ISNUMBER(SEARCH("DLKNET", F2133)), ISNUMBER(SEARCH("TESTE", F2133))), "6.1 Despesas Administrativas (Gerais)", IFERROR(VLOOKUP(H2133, De_Para!A:B, 2, FALSE), "NÃO MAPEADO"))), IFERROR(VLOOKUP(H2133, De_Para!A:B, 2, FALSE), "NÃO MAPEADO"))</f>
        <v/>
      </c>
    </row>
    <row r="2134">
      <c r="A2134" s="2" t="inlineStr">
        <is>
          <t>67552</t>
        </is>
      </c>
      <c r="B2134" s="2" t="inlineStr">
        <is>
          <t>Sicoob</t>
        </is>
      </c>
      <c r="C2134" s="2" t="inlineStr">
        <is>
          <t>01/06/2026</t>
        </is>
      </c>
      <c r="D2134" s="2" t="inlineStr">
        <is>
          <t>01/06/2026</t>
        </is>
      </c>
      <c r="E2134" s="2" t="inlineStr">
        <is>
          <t>Dinheiro</t>
        </is>
      </c>
      <c r="F2134" s="2" t="inlineStr">
        <is>
          <t>Boleto "59606" do cliente "JOEL SOARES DE OLIVEIRA"</t>
        </is>
      </c>
      <c r="G2134" s="2" t="inlineStr">
        <is>
          <t>system</t>
        </is>
      </c>
      <c r="H2134" s="2" t="inlineStr">
        <is>
          <t>01.01.01 : Mensalidade</t>
        </is>
      </c>
      <c r="I2134" s="3" t="n">
        <v>105</v>
      </c>
      <c r="J2134" s="2" t="n"/>
      <c r="K2134" s="2">
        <f>IF(H2134="02.09 : Outras Saídas", IF(OR(ISNUMBER(SEARCH("CHEQUE COMPE SICREDI", F2134)), ISNUMBER(SEARCH("aniversario", F2134)), ISNUMBER(SEARCH("churrasco", F2134)), ISNUMBER(SEARCH("bolo", F2134)), ISNUMBER(SEARCH("SUPERMERCADO", F2134))), "6.1 Despesas Administrativas (Pessoal)", IF(OR(ISNUMBER(SEARCH("DLKNET", F2134)), ISNUMBER(SEARCH("TESTE", F2134))), "6.1 Despesas Administrativas (Gerais)", IFERROR(VLOOKUP(H2134, De_Para!A:B, 2, FALSE), "NÃO MAPEADO"))), IFERROR(VLOOKUP(H2134, De_Para!A:B, 2, FALSE), "NÃO MAPEADO"))</f>
        <v/>
      </c>
    </row>
    <row r="2135">
      <c r="A2135" s="2" t="inlineStr">
        <is>
          <t>67551</t>
        </is>
      </c>
      <c r="B2135" s="2" t="inlineStr">
        <is>
          <t>Sicredi SNI</t>
        </is>
      </c>
      <c r="C2135" s="2" t="inlineStr">
        <is>
          <t>01/06/2026</t>
        </is>
      </c>
      <c r="D2135" s="2" t="inlineStr">
        <is>
          <t>01/06/2026</t>
        </is>
      </c>
      <c r="E2135" s="2" t="inlineStr">
        <is>
          <t>PIX</t>
        </is>
      </c>
      <c r="F2135" s="2" t="inlineStr">
        <is>
          <t>Boleto "69206" do cliente "CARLOS RODRIGO DA COSTA"</t>
        </is>
      </c>
      <c r="G2135" s="2" t="inlineStr">
        <is>
          <t>system</t>
        </is>
      </c>
      <c r="H2135" s="2" t="inlineStr">
        <is>
          <t>02.03.02.01 : Cobrança Bancaria</t>
        </is>
      </c>
      <c r="I2135" s="2" t="n"/>
      <c r="J2135" s="3" t="n">
        <v>-0.49</v>
      </c>
      <c r="K2135" s="2">
        <f>IF(H2135="02.09 : Outras Saídas", IF(OR(ISNUMBER(SEARCH("CHEQUE COMPE SICREDI", F2135)), ISNUMBER(SEARCH("aniversario", F2135)), ISNUMBER(SEARCH("churrasco", F2135)), ISNUMBER(SEARCH("bolo", F2135)), ISNUMBER(SEARCH("SUPERMERCADO", F2135))), "6.1 Despesas Administrativas (Pessoal)", IF(OR(ISNUMBER(SEARCH("DLKNET", F2135)), ISNUMBER(SEARCH("TESTE", F2135))), "6.1 Despesas Administrativas (Gerais)", IFERROR(VLOOKUP(H2135, De_Para!A:B, 2, FALSE), "NÃO MAPEADO"))), IFERROR(VLOOKUP(H2135, De_Para!A:B, 2, FALSE), "NÃO MAPEADO"))</f>
        <v/>
      </c>
    </row>
    <row r="2136">
      <c r="A2136" s="2" t="inlineStr">
        <is>
          <t>67550</t>
        </is>
      </c>
      <c r="B2136" s="2" t="inlineStr">
        <is>
          <t>Sicredi SNI</t>
        </is>
      </c>
      <c r="C2136" s="2" t="inlineStr">
        <is>
          <t>01/06/2026</t>
        </is>
      </c>
      <c r="D2136" s="2" t="inlineStr">
        <is>
          <t>01/06/2026</t>
        </is>
      </c>
      <c r="E2136" s="2" t="inlineStr">
        <is>
          <t>PIX</t>
        </is>
      </c>
      <c r="F2136" s="2" t="inlineStr">
        <is>
          <t>Boleto "69206" do cliente "CARLOS RODRIGO DA COSTA"</t>
        </is>
      </c>
      <c r="G2136" s="2" t="inlineStr">
        <is>
          <t>system</t>
        </is>
      </c>
      <c r="H2136" s="2" t="inlineStr">
        <is>
          <t>01.01.01 : Mensalidade</t>
        </is>
      </c>
      <c r="I2136" s="3" t="n">
        <v>71.7</v>
      </c>
      <c r="J2136" s="2" t="n"/>
      <c r="K2136" s="2">
        <f>IF(H2136="02.09 : Outras Saídas", IF(OR(ISNUMBER(SEARCH("CHEQUE COMPE SICREDI", F2136)), ISNUMBER(SEARCH("aniversario", F2136)), ISNUMBER(SEARCH("churrasco", F2136)), ISNUMBER(SEARCH("bolo", F2136)), ISNUMBER(SEARCH("SUPERMERCADO", F2136))), "6.1 Despesas Administrativas (Pessoal)", IF(OR(ISNUMBER(SEARCH("DLKNET", F2136)), ISNUMBER(SEARCH("TESTE", F2136))), "6.1 Despesas Administrativas (Gerais)", IFERROR(VLOOKUP(H2136, De_Para!A:B, 2, FALSE), "NÃO MAPEADO"))), IFERROR(VLOOKUP(H2136, De_Para!A:B, 2, FALSE), "NÃO MAPEADO"))</f>
        <v/>
      </c>
    </row>
    <row r="2137">
      <c r="A2137" s="2" t="inlineStr">
        <is>
          <t>67549</t>
        </is>
      </c>
      <c r="B2137" s="2" t="inlineStr">
        <is>
          <t>Sicredi SNI</t>
        </is>
      </c>
      <c r="C2137" s="2" t="inlineStr">
        <is>
          <t>01/06/2026</t>
        </is>
      </c>
      <c r="D2137" s="2" t="inlineStr">
        <is>
          <t>29/05/2026</t>
        </is>
      </c>
      <c r="E2137" s="2" t="inlineStr">
        <is>
          <t>Débito em Conta</t>
        </is>
      </c>
      <c r="F2137" s="2" t="inlineStr">
        <is>
          <t>TARIFA COM R LIQUIDACAO</t>
        </is>
      </c>
      <c r="G2137" s="2" t="inlineStr">
        <is>
          <t>clau</t>
        </is>
      </c>
      <c r="H2137" s="2" t="inlineStr">
        <is>
          <t>02.03.03.09 : TARIFA COM R LIQUIDACAO</t>
        </is>
      </c>
      <c r="I2137" s="2" t="n"/>
      <c r="J2137" s="3" t="n">
        <v>-1.7</v>
      </c>
      <c r="K2137" s="2">
        <f>IF(H2137="02.09 : Outras Saídas", IF(OR(ISNUMBER(SEARCH("CHEQUE COMPE SICREDI", F2137)), ISNUMBER(SEARCH("aniversario", F2137)), ISNUMBER(SEARCH("churrasco", F2137)), ISNUMBER(SEARCH("bolo", F2137)), ISNUMBER(SEARCH("SUPERMERCADO", F2137))), "6.1 Despesas Administrativas (Pessoal)", IF(OR(ISNUMBER(SEARCH("DLKNET", F2137)), ISNUMBER(SEARCH("TESTE", F2137))), "6.1 Despesas Administrativas (Gerais)", IFERROR(VLOOKUP(H2137, De_Para!A:B, 2, FALSE), "NÃO MAPEADO"))), IFERROR(VLOOKUP(H2137, De_Para!A:B, 2, FALSE), "NÃO MAPEADO"))</f>
        <v/>
      </c>
    </row>
    <row r="2138">
      <c r="A2138" s="2" t="inlineStr">
        <is>
          <t>67548</t>
        </is>
      </c>
      <c r="B2138" s="2" t="inlineStr">
        <is>
          <t>Sicredi SNI</t>
        </is>
      </c>
      <c r="C2138" s="2" t="inlineStr">
        <is>
          <t>01/06/2026</t>
        </is>
      </c>
      <c r="D2138" s="2" t="inlineStr">
        <is>
          <t>29/05/2026</t>
        </is>
      </c>
      <c r="E2138" s="2" t="inlineStr">
        <is>
          <t>Débito em Conta</t>
        </is>
      </c>
      <c r="F2138" s="2" t="inlineStr">
        <is>
          <t>TARIFA COM R LIQUIDACAO</t>
        </is>
      </c>
      <c r="G2138" s="2" t="inlineStr">
        <is>
          <t>clau</t>
        </is>
      </c>
      <c r="H2138" s="2" t="inlineStr">
        <is>
          <t>02.03.03.09 : TARIFA COM R LIQUIDACAO</t>
        </is>
      </c>
      <c r="I2138" s="2" t="n"/>
      <c r="J2138" s="3" t="n">
        <v>-0.85</v>
      </c>
      <c r="K2138" s="2">
        <f>IF(H2138="02.09 : Outras Saídas", IF(OR(ISNUMBER(SEARCH("CHEQUE COMPE SICREDI", F2138)), ISNUMBER(SEARCH("aniversario", F2138)), ISNUMBER(SEARCH("churrasco", F2138)), ISNUMBER(SEARCH("bolo", F2138)), ISNUMBER(SEARCH("SUPERMERCADO", F2138))), "6.1 Despesas Administrativas (Pessoal)", IF(OR(ISNUMBER(SEARCH("DLKNET", F2138)), ISNUMBER(SEARCH("TESTE", F2138))), "6.1 Despesas Administrativas (Gerais)", IFERROR(VLOOKUP(H2138, De_Para!A:B, 2, FALSE), "NÃO MAPEADO"))), IFERROR(VLOOKUP(H2138, De_Para!A:B, 2, FALSE), "NÃO MAPEADO"))</f>
        <v/>
      </c>
    </row>
    <row r="2139">
      <c r="A2139" s="2" t="inlineStr">
        <is>
          <t>67547</t>
        </is>
      </c>
      <c r="B2139" s="2" t="inlineStr">
        <is>
          <t>Sicredi SNI</t>
        </is>
      </c>
      <c r="C2139" s="2" t="inlineStr">
        <is>
          <t>01/06/2026</t>
        </is>
      </c>
      <c r="D2139" s="2" t="inlineStr">
        <is>
          <t>29/05/2026</t>
        </is>
      </c>
      <c r="E2139" s="2" t="inlineStr">
        <is>
          <t>Boleto</t>
        </is>
      </c>
      <c r="F2139" s="2" t="inlineStr">
        <is>
          <t>LIQUIDACAO BOLETO 52568821000122 BRADESCO ADMINI</t>
        </is>
      </c>
      <c r="G2139" s="2" t="inlineStr">
        <is>
          <t>clau</t>
        </is>
      </c>
      <c r="H2139" s="2" t="inlineStr">
        <is>
          <t>02.10.01 : SEGURO CARRO</t>
        </is>
      </c>
      <c r="I2139" s="2" t="n"/>
      <c r="J2139" s="3" t="n">
        <v>-499.44</v>
      </c>
      <c r="K2139" s="2">
        <f>IF(H2139="02.09 : Outras Saídas", IF(OR(ISNUMBER(SEARCH("CHEQUE COMPE SICREDI", F2139)), ISNUMBER(SEARCH("aniversario", F2139)), ISNUMBER(SEARCH("churrasco", F2139)), ISNUMBER(SEARCH("bolo", F2139)), ISNUMBER(SEARCH("SUPERMERCADO", F2139))), "6.1 Despesas Administrativas (Pessoal)", IF(OR(ISNUMBER(SEARCH("DLKNET", F2139)), ISNUMBER(SEARCH("TESTE", F2139))), "6.1 Despesas Administrativas (Gerais)", IFERROR(VLOOKUP(H2139, De_Para!A:B, 2, FALSE), "NÃO MAPEADO"))), IFERROR(VLOOKUP(H2139, De_Para!A:B, 2, FALSE), "NÃO MAPEADO"))</f>
        <v/>
      </c>
    </row>
    <row r="2140">
      <c r="A2140" s="2" t="inlineStr">
        <is>
          <t>67546</t>
        </is>
      </c>
      <c r="B2140" s="2" t="inlineStr">
        <is>
          <t>Sicredi SNI</t>
        </is>
      </c>
      <c r="C2140" s="2" t="inlineStr">
        <is>
          <t>01/06/2026</t>
        </is>
      </c>
      <c r="D2140" s="2" t="inlineStr">
        <is>
          <t>29/05/2026</t>
        </is>
      </c>
      <c r="E2140" s="2" t="inlineStr">
        <is>
          <t>Débito em Conta</t>
        </is>
      </c>
      <c r="F2140" s="2" t="inlineStr">
        <is>
          <t>MANUTENCAO DE TITULOS</t>
        </is>
      </c>
      <c r="G2140" s="2" t="inlineStr">
        <is>
          <t>clau</t>
        </is>
      </c>
      <c r="H2140" s="2" t="inlineStr">
        <is>
          <t>02.03.03.06 : MANUTENCAO DE TITULOS</t>
        </is>
      </c>
      <c r="I2140" s="2" t="n"/>
      <c r="J2140" s="3" t="n">
        <v>-1.06</v>
      </c>
      <c r="K2140" s="2">
        <f>IF(H2140="02.09 : Outras Saídas", IF(OR(ISNUMBER(SEARCH("CHEQUE COMPE SICREDI", F2140)), ISNUMBER(SEARCH("aniversario", F2140)), ISNUMBER(SEARCH("churrasco", F2140)), ISNUMBER(SEARCH("bolo", F2140)), ISNUMBER(SEARCH("SUPERMERCADO", F2140))), "6.1 Despesas Administrativas (Pessoal)", IF(OR(ISNUMBER(SEARCH("DLKNET", F2140)), ISNUMBER(SEARCH("TESTE", F2140))), "6.1 Despesas Administrativas (Gerais)", IFERROR(VLOOKUP(H2140, De_Para!A:B, 2, FALSE), "NÃO MAPEADO"))), IFERROR(VLOOKUP(H2140, De_Para!A:B, 2, FALSE), "NÃO MAPEADO"))</f>
        <v/>
      </c>
    </row>
    <row r="2141">
      <c r="A2141" s="2" t="inlineStr">
        <is>
          <t>67545</t>
        </is>
      </c>
      <c r="B2141" s="2" t="inlineStr">
        <is>
          <t>Sicredi SNI</t>
        </is>
      </c>
      <c r="C2141" s="2" t="inlineStr">
        <is>
          <t>01/06/2026</t>
        </is>
      </c>
      <c r="D2141" s="2" t="inlineStr">
        <is>
          <t>01/06/2026</t>
        </is>
      </c>
      <c r="E2141" s="2" t="inlineStr">
        <is>
          <t>Débito em Conta</t>
        </is>
      </c>
      <c r="F2141" s="2" t="inlineStr">
        <is>
          <t>PAGTO JUROS CONTR ROTATIV</t>
        </is>
      </c>
      <c r="G2141" s="2" t="inlineStr">
        <is>
          <t>clau</t>
        </is>
      </c>
      <c r="H2141" s="2" t="inlineStr">
        <is>
          <t>02.03.03.05 : PAGTO JUROS CONTR ROTATIVO</t>
        </is>
      </c>
      <c r="I2141" s="2" t="n"/>
      <c r="J2141" s="3" t="n">
        <v>-740.96</v>
      </c>
      <c r="K2141" s="2">
        <f>IF(H2141="02.09 : Outras Saídas", IF(OR(ISNUMBER(SEARCH("CHEQUE COMPE SICREDI", F2141)), ISNUMBER(SEARCH("aniversario", F2141)), ISNUMBER(SEARCH("churrasco", F2141)), ISNUMBER(SEARCH("bolo", F2141)), ISNUMBER(SEARCH("SUPERMERCADO", F2141))), "6.1 Despesas Administrativas (Pessoal)", IF(OR(ISNUMBER(SEARCH("DLKNET", F2141)), ISNUMBER(SEARCH("TESTE", F2141))), "6.1 Despesas Administrativas (Gerais)", IFERROR(VLOOKUP(H2141, De_Para!A:B, 2, FALSE), "NÃO MAPEADO"))), IFERROR(VLOOKUP(H2141, De_Para!A:B, 2, FALSE), "NÃO MAPEADO"))</f>
        <v/>
      </c>
    </row>
    <row r="2142">
      <c r="A2142" s="2" t="inlineStr">
        <is>
          <t>67544</t>
        </is>
      </c>
      <c r="B2142" s="2" t="inlineStr">
        <is>
          <t>Sicredi SNI</t>
        </is>
      </c>
      <c r="C2142" s="2" t="inlineStr">
        <is>
          <t>01/06/2026</t>
        </is>
      </c>
      <c r="D2142" s="2" t="inlineStr">
        <is>
          <t>01/06/2026</t>
        </is>
      </c>
      <c r="E2142" s="2" t="inlineStr">
        <is>
          <t>Débito em Conta</t>
        </is>
      </c>
      <c r="F2142" s="2" t="inlineStr">
        <is>
          <t>IOF S/ OPER. CREDITO PJ</t>
        </is>
      </c>
      <c r="G2142" s="2" t="inlineStr">
        <is>
          <t>clau</t>
        </is>
      </c>
      <c r="H2142" s="2" t="inlineStr">
        <is>
          <t>DÉB.IOF : 02.03.09</t>
        </is>
      </c>
      <c r="I2142" s="2" t="n"/>
      <c r="J2142" s="3" t="n">
        <v>-127.1</v>
      </c>
      <c r="K2142" s="2">
        <f>IF(H2142="02.09 : Outras Saídas", IF(OR(ISNUMBER(SEARCH("CHEQUE COMPE SICREDI", F2142)), ISNUMBER(SEARCH("aniversario", F2142)), ISNUMBER(SEARCH("churrasco", F2142)), ISNUMBER(SEARCH("bolo", F2142)), ISNUMBER(SEARCH("SUPERMERCADO", F2142))), "6.1 Despesas Administrativas (Pessoal)", IF(OR(ISNUMBER(SEARCH("DLKNET", F2142)), ISNUMBER(SEARCH("TESTE", F2142))), "6.1 Despesas Administrativas (Gerais)", IFERROR(VLOOKUP(H2142, De_Para!A:B, 2, FALSE), "NÃO MAPEADO"))), IFERROR(VLOOKUP(H2142, De_Para!A:B, 2, FALSE), "NÃO MAPEADO"))</f>
        <v/>
      </c>
    </row>
    <row r="2143">
      <c r="A2143" s="2" t="inlineStr">
        <is>
          <t>67543</t>
        </is>
      </c>
      <c r="B2143" s="2" t="inlineStr">
        <is>
          <t>Sicredi SNI</t>
        </is>
      </c>
      <c r="C2143" s="2" t="inlineStr">
        <is>
          <t>01/06/2026</t>
        </is>
      </c>
      <c r="D2143" s="2" t="inlineStr">
        <is>
          <t>01/06/2026</t>
        </is>
      </c>
      <c r="E2143" s="2" t="inlineStr">
        <is>
          <t>PIX</t>
        </is>
      </c>
      <c r="F2143" s="2" t="inlineStr">
        <is>
          <t>Boleto "67152" do cliente "VANDA APARECIDA CAMARGO"</t>
        </is>
      </c>
      <c r="G2143" s="2" t="inlineStr">
        <is>
          <t>system</t>
        </is>
      </c>
      <c r="H2143" s="2" t="inlineStr">
        <is>
          <t>02.03.02.01 : Cobrança Bancaria</t>
        </is>
      </c>
      <c r="I2143" s="2" t="n"/>
      <c r="J2143" s="3" t="n">
        <v>-0.49</v>
      </c>
      <c r="K2143" s="2">
        <f>IF(H2143="02.09 : Outras Saídas", IF(OR(ISNUMBER(SEARCH("CHEQUE COMPE SICREDI", F2143)), ISNUMBER(SEARCH("aniversario", F2143)), ISNUMBER(SEARCH("churrasco", F2143)), ISNUMBER(SEARCH("bolo", F2143)), ISNUMBER(SEARCH("SUPERMERCADO", F2143))), "6.1 Despesas Administrativas (Pessoal)", IF(OR(ISNUMBER(SEARCH("DLKNET", F2143)), ISNUMBER(SEARCH("TESTE", F2143))), "6.1 Despesas Administrativas (Gerais)", IFERROR(VLOOKUP(H2143, De_Para!A:B, 2, FALSE), "NÃO MAPEADO"))), IFERROR(VLOOKUP(H2143, De_Para!A:B, 2, FALSE), "NÃO MAPEADO"))</f>
        <v/>
      </c>
    </row>
    <row r="2144">
      <c r="A2144" s="2" t="inlineStr">
        <is>
          <t>67542</t>
        </is>
      </c>
      <c r="B2144" s="2" t="inlineStr">
        <is>
          <t>Sicredi SNI</t>
        </is>
      </c>
      <c r="C2144" s="2" t="inlineStr">
        <is>
          <t>01/06/2026</t>
        </is>
      </c>
      <c r="D2144" s="2" t="inlineStr">
        <is>
          <t>01/06/2026</t>
        </is>
      </c>
      <c r="E2144" s="2" t="inlineStr">
        <is>
          <t>PIX</t>
        </is>
      </c>
      <c r="F2144" s="2" t="inlineStr">
        <is>
          <t>Boleto "67152" do cliente "VANDA APARECIDA CAMARGO"</t>
        </is>
      </c>
      <c r="G2144" s="2" t="inlineStr">
        <is>
          <t>system</t>
        </is>
      </c>
      <c r="H2144" s="2" t="inlineStr">
        <is>
          <t>01.01.01 : Mensalidade</t>
        </is>
      </c>
      <c r="I2144" s="3" t="n">
        <v>112.54</v>
      </c>
      <c r="J2144" s="2" t="n"/>
      <c r="K2144" s="2">
        <f>IF(H2144="02.09 : Outras Saídas", IF(OR(ISNUMBER(SEARCH("CHEQUE COMPE SICREDI", F2144)), ISNUMBER(SEARCH("aniversario", F2144)), ISNUMBER(SEARCH("churrasco", F2144)), ISNUMBER(SEARCH("bolo", F2144)), ISNUMBER(SEARCH("SUPERMERCADO", F2144))), "6.1 Despesas Administrativas (Pessoal)", IF(OR(ISNUMBER(SEARCH("DLKNET", F2144)), ISNUMBER(SEARCH("TESTE", F2144))), "6.1 Despesas Administrativas (Gerais)", IFERROR(VLOOKUP(H2144, De_Para!A:B, 2, FALSE), "NÃO MAPEADO"))), IFERROR(VLOOKUP(H2144, De_Para!A:B, 2, FALSE), "NÃO MAPEADO"))</f>
        <v/>
      </c>
    </row>
    <row r="2145">
      <c r="A2145" s="2" t="inlineStr">
        <is>
          <t>67541</t>
        </is>
      </c>
      <c r="B2145" s="2" t="inlineStr">
        <is>
          <t>Sicredi SNI</t>
        </is>
      </c>
      <c r="C2145" s="2" t="inlineStr">
        <is>
          <t>01/06/2026</t>
        </is>
      </c>
      <c r="D2145" s="2" t="inlineStr">
        <is>
          <t>01/06/2026</t>
        </is>
      </c>
      <c r="E2145" s="2" t="inlineStr">
        <is>
          <t>PIX</t>
        </is>
      </c>
      <c r="F2145" s="2" t="inlineStr">
        <is>
          <t>Boleto "69034" do cliente "VANDA APARECIDA CAMARGO"</t>
        </is>
      </c>
      <c r="G2145" s="2" t="inlineStr">
        <is>
          <t>system</t>
        </is>
      </c>
      <c r="H2145" s="2" t="inlineStr">
        <is>
          <t>02.03.02.01 : Cobrança Bancaria</t>
        </is>
      </c>
      <c r="I2145" s="2" t="n"/>
      <c r="J2145" s="3" t="n">
        <v>-0.49</v>
      </c>
      <c r="K2145" s="2">
        <f>IF(H2145="02.09 : Outras Saídas", IF(OR(ISNUMBER(SEARCH("CHEQUE COMPE SICREDI", F2145)), ISNUMBER(SEARCH("aniversario", F2145)), ISNUMBER(SEARCH("churrasco", F2145)), ISNUMBER(SEARCH("bolo", F2145)), ISNUMBER(SEARCH("SUPERMERCADO", F2145))), "6.1 Despesas Administrativas (Pessoal)", IF(OR(ISNUMBER(SEARCH("DLKNET", F2145)), ISNUMBER(SEARCH("TESTE", F2145))), "6.1 Despesas Administrativas (Gerais)", IFERROR(VLOOKUP(H2145, De_Para!A:B, 2, FALSE), "NÃO MAPEADO"))), IFERROR(VLOOKUP(H2145, De_Para!A:B, 2, FALSE), "NÃO MAPEADO"))</f>
        <v/>
      </c>
    </row>
    <row r="2146">
      <c r="A2146" s="2" t="inlineStr">
        <is>
          <t>67540</t>
        </is>
      </c>
      <c r="B2146" s="2" t="inlineStr">
        <is>
          <t>Sicredi SNI</t>
        </is>
      </c>
      <c r="C2146" s="2" t="inlineStr">
        <is>
          <t>01/06/2026</t>
        </is>
      </c>
      <c r="D2146" s="2" t="inlineStr">
        <is>
          <t>01/06/2026</t>
        </is>
      </c>
      <c r="E2146" s="2" t="inlineStr">
        <is>
          <t>PIX</t>
        </is>
      </c>
      <c r="F2146" s="2" t="inlineStr">
        <is>
          <t>Boleto "69034" do cliente "VANDA APARECIDA CAMARGO"</t>
        </is>
      </c>
      <c r="G2146" s="2" t="inlineStr">
        <is>
          <t>system</t>
        </is>
      </c>
      <c r="H2146" s="2" t="inlineStr">
        <is>
          <t>01.60.01 : Serviço de reparo e manutenção</t>
        </is>
      </c>
      <c r="I2146" s="3" t="n">
        <v>51.2</v>
      </c>
      <c r="J2146" s="2" t="n"/>
      <c r="K2146" s="2">
        <f>IF(H2146="02.09 : Outras Saídas", IF(OR(ISNUMBER(SEARCH("CHEQUE COMPE SICREDI", F2146)), ISNUMBER(SEARCH("aniversario", F2146)), ISNUMBER(SEARCH("churrasco", F2146)), ISNUMBER(SEARCH("bolo", F2146)), ISNUMBER(SEARCH("SUPERMERCADO", F2146))), "6.1 Despesas Administrativas (Pessoal)", IF(OR(ISNUMBER(SEARCH("DLKNET", F2146)), ISNUMBER(SEARCH("TESTE", F2146))), "6.1 Despesas Administrativas (Gerais)", IFERROR(VLOOKUP(H2146, De_Para!A:B, 2, FALSE), "NÃO MAPEADO"))), IFERROR(VLOOKUP(H2146, De_Para!A:B, 2, FALSE), "NÃO MAPEADO"))</f>
        <v/>
      </c>
    </row>
    <row r="2147">
      <c r="A2147" s="2" t="inlineStr">
        <is>
          <t>67539</t>
        </is>
      </c>
      <c r="B2147" s="2" t="inlineStr">
        <is>
          <t>Sicredi SNI</t>
        </is>
      </c>
      <c r="C2147" s="2" t="inlineStr">
        <is>
          <t>01/06/2026</t>
        </is>
      </c>
      <c r="D2147" s="2" t="inlineStr">
        <is>
          <t>01/06/2026</t>
        </is>
      </c>
      <c r="E2147" s="2" t="inlineStr">
        <is>
          <t>PIX</t>
        </is>
      </c>
      <c r="F2147" s="2" t="inlineStr">
        <is>
          <t>Boleto "54503" do cliente "THIARLES WILLIAN DA SILVA CORDEIRO"</t>
        </is>
      </c>
      <c r="G2147" s="2" t="inlineStr">
        <is>
          <t>system</t>
        </is>
      </c>
      <c r="H2147" s="2" t="inlineStr">
        <is>
          <t>02.03.02.01 : Cobrança Bancaria</t>
        </is>
      </c>
      <c r="I2147" s="2" t="n"/>
      <c r="J2147" s="3" t="n">
        <v>-0.49</v>
      </c>
      <c r="K2147" s="2">
        <f>IF(H2147="02.09 : Outras Saídas", IF(OR(ISNUMBER(SEARCH("CHEQUE COMPE SICREDI", F2147)), ISNUMBER(SEARCH("aniversario", F2147)), ISNUMBER(SEARCH("churrasco", F2147)), ISNUMBER(SEARCH("bolo", F2147)), ISNUMBER(SEARCH("SUPERMERCADO", F2147))), "6.1 Despesas Administrativas (Pessoal)", IF(OR(ISNUMBER(SEARCH("DLKNET", F2147)), ISNUMBER(SEARCH("TESTE", F2147))), "6.1 Despesas Administrativas (Gerais)", IFERROR(VLOOKUP(H2147, De_Para!A:B, 2, FALSE), "NÃO MAPEADO"))), IFERROR(VLOOKUP(H2147, De_Para!A:B, 2, FALSE), "NÃO MAPEADO"))</f>
        <v/>
      </c>
    </row>
    <row r="2148">
      <c r="A2148" s="2" t="inlineStr">
        <is>
          <t>67538</t>
        </is>
      </c>
      <c r="B2148" s="2" t="inlineStr">
        <is>
          <t>Sicredi SNI</t>
        </is>
      </c>
      <c r="C2148" s="2" t="inlineStr">
        <is>
          <t>01/06/2026</t>
        </is>
      </c>
      <c r="D2148" s="2" t="inlineStr">
        <is>
          <t>01/06/2026</t>
        </is>
      </c>
      <c r="E2148" s="2" t="inlineStr">
        <is>
          <t>PIX</t>
        </is>
      </c>
      <c r="F2148" s="2" t="inlineStr">
        <is>
          <t>Boleto "54503" do cliente "THIARLES WILLIAN DA SILVA CORDEIRO"</t>
        </is>
      </c>
      <c r="G2148" s="2" t="inlineStr">
        <is>
          <t>system</t>
        </is>
      </c>
      <c r="H2148" s="2" t="inlineStr">
        <is>
          <t>01.01.01 : Mensalidade</t>
        </is>
      </c>
      <c r="I2148" s="3" t="n">
        <v>112.64</v>
      </c>
      <c r="J2148" s="2" t="n"/>
      <c r="K2148" s="2">
        <f>IF(H2148="02.09 : Outras Saídas", IF(OR(ISNUMBER(SEARCH("CHEQUE COMPE SICREDI", F2148)), ISNUMBER(SEARCH("aniversario", F2148)), ISNUMBER(SEARCH("churrasco", F2148)), ISNUMBER(SEARCH("bolo", F2148)), ISNUMBER(SEARCH("SUPERMERCADO", F2148))), "6.1 Despesas Administrativas (Pessoal)", IF(OR(ISNUMBER(SEARCH("DLKNET", F2148)), ISNUMBER(SEARCH("TESTE", F2148))), "6.1 Despesas Administrativas (Gerais)", IFERROR(VLOOKUP(H2148, De_Para!A:B, 2, FALSE), "NÃO MAPEADO"))), IFERROR(VLOOKUP(H2148, De_Para!A:B, 2, FALSE), "NÃO MAPEADO"))</f>
        <v/>
      </c>
    </row>
    <row r="2149">
      <c r="A2149" s="2" t="inlineStr">
        <is>
          <t>67537</t>
        </is>
      </c>
      <c r="B2149" s="2" t="inlineStr">
        <is>
          <t>Sicredi SNI</t>
        </is>
      </c>
      <c r="C2149" s="2" t="inlineStr">
        <is>
          <t>01/06/2026</t>
        </is>
      </c>
      <c r="D2149" s="2" t="inlineStr">
        <is>
          <t>01/06/2026</t>
        </is>
      </c>
      <c r="E2149" s="2" t="inlineStr">
        <is>
          <t>Dinheiro</t>
        </is>
      </c>
      <c r="F2149" s="2" t="inlineStr">
        <is>
          <t>Boleto "55298" do cliente "FRANSOA FERNANDO DA SILVA OLIVEIRA"</t>
        </is>
      </c>
      <c r="G2149" s="2" t="inlineStr">
        <is>
          <t>system</t>
        </is>
      </c>
      <c r="H2149" s="2" t="inlineStr">
        <is>
          <t>02.03.02.01 : Cobrança Bancaria</t>
        </is>
      </c>
      <c r="I2149" s="2" t="n"/>
      <c r="J2149" s="3" t="n">
        <v>-1.08</v>
      </c>
      <c r="K2149" s="2">
        <f>IF(H2149="02.09 : Outras Saídas", IF(OR(ISNUMBER(SEARCH("CHEQUE COMPE SICREDI", F2149)), ISNUMBER(SEARCH("aniversario", F2149)), ISNUMBER(SEARCH("churrasco", F2149)), ISNUMBER(SEARCH("bolo", F2149)), ISNUMBER(SEARCH("SUPERMERCADO", F2149))), "6.1 Despesas Administrativas (Pessoal)", IF(OR(ISNUMBER(SEARCH("DLKNET", F2149)), ISNUMBER(SEARCH("TESTE", F2149))), "6.1 Despesas Administrativas (Gerais)", IFERROR(VLOOKUP(H2149, De_Para!A:B, 2, FALSE), "NÃO MAPEADO"))), IFERROR(VLOOKUP(H2149, De_Para!A:B, 2, FALSE), "NÃO MAPEADO"))</f>
        <v/>
      </c>
    </row>
    <row r="2150">
      <c r="A2150" s="2" t="inlineStr">
        <is>
          <t>67536</t>
        </is>
      </c>
      <c r="B2150" s="2" t="inlineStr">
        <is>
          <t>Sicredi SNI</t>
        </is>
      </c>
      <c r="C2150" s="2" t="inlineStr">
        <is>
          <t>01/06/2026</t>
        </is>
      </c>
      <c r="D2150" s="2" t="inlineStr">
        <is>
          <t>01/06/2026</t>
        </is>
      </c>
      <c r="E2150" s="2" t="inlineStr">
        <is>
          <t>Dinheiro</t>
        </is>
      </c>
      <c r="F2150" s="2" t="inlineStr">
        <is>
          <t>Boleto "55298" do cliente "FRANSOA FERNANDO DA SILVA OLIVEIRA"</t>
        </is>
      </c>
      <c r="G2150" s="2" t="inlineStr">
        <is>
          <t>system</t>
        </is>
      </c>
      <c r="H2150" s="2" t="inlineStr">
        <is>
          <t>01.01.01 : Mensalidade</t>
        </is>
      </c>
      <c r="I2150" s="3" t="n">
        <v>105</v>
      </c>
      <c r="J2150" s="2" t="n"/>
      <c r="K2150" s="2">
        <f>IF(H2150="02.09 : Outras Saídas", IF(OR(ISNUMBER(SEARCH("CHEQUE COMPE SICREDI", F2150)), ISNUMBER(SEARCH("aniversario", F2150)), ISNUMBER(SEARCH("churrasco", F2150)), ISNUMBER(SEARCH("bolo", F2150)), ISNUMBER(SEARCH("SUPERMERCADO", F2150))), "6.1 Despesas Administrativas (Pessoal)", IF(OR(ISNUMBER(SEARCH("DLKNET", F2150)), ISNUMBER(SEARCH("TESTE", F2150))), "6.1 Despesas Administrativas (Gerais)", IFERROR(VLOOKUP(H2150, De_Para!A:B, 2, FALSE), "NÃO MAPEADO"))), IFERROR(VLOOKUP(H2150, De_Para!A:B, 2, FALSE), "NÃO MAPEADO"))</f>
        <v/>
      </c>
    </row>
    <row r="2151">
      <c r="A2151" s="2" t="inlineStr">
        <is>
          <t>67535</t>
        </is>
      </c>
      <c r="B2151" s="2" t="inlineStr">
        <is>
          <t>Sicredi SNI</t>
        </is>
      </c>
      <c r="C2151" s="2" t="inlineStr">
        <is>
          <t>01/06/2026</t>
        </is>
      </c>
      <c r="D2151" s="2" t="inlineStr">
        <is>
          <t>01/06/2026</t>
        </is>
      </c>
      <c r="E2151" s="2" t="inlineStr">
        <is>
          <t>Dinheiro</t>
        </is>
      </c>
      <c r="F2151" s="2" t="inlineStr">
        <is>
          <t>Boleto "54889" do cliente "JOSE CARLOS DE LIMA"</t>
        </is>
      </c>
      <c r="G2151" s="2" t="inlineStr">
        <is>
          <t>system</t>
        </is>
      </c>
      <c r="H2151" s="2" t="inlineStr">
        <is>
          <t>02.03.02.01 : Cobrança Bancaria</t>
        </is>
      </c>
      <c r="I2151" s="2" t="n"/>
      <c r="J2151" s="3" t="n">
        <v>-1.08</v>
      </c>
      <c r="K2151" s="2">
        <f>IF(H2151="02.09 : Outras Saídas", IF(OR(ISNUMBER(SEARCH("CHEQUE COMPE SICREDI", F2151)), ISNUMBER(SEARCH("aniversario", F2151)), ISNUMBER(SEARCH("churrasco", F2151)), ISNUMBER(SEARCH("bolo", F2151)), ISNUMBER(SEARCH("SUPERMERCADO", F2151))), "6.1 Despesas Administrativas (Pessoal)", IF(OR(ISNUMBER(SEARCH("DLKNET", F2151)), ISNUMBER(SEARCH("TESTE", F2151))), "6.1 Despesas Administrativas (Gerais)", IFERROR(VLOOKUP(H2151, De_Para!A:B, 2, FALSE), "NÃO MAPEADO"))), IFERROR(VLOOKUP(H2151, De_Para!A:B, 2, FALSE), "NÃO MAPEADO"))</f>
        <v/>
      </c>
    </row>
    <row r="2152">
      <c r="A2152" s="2" t="inlineStr">
        <is>
          <t>67534</t>
        </is>
      </c>
      <c r="B2152" s="2" t="inlineStr">
        <is>
          <t>Sicredi SNI</t>
        </is>
      </c>
      <c r="C2152" s="2" t="inlineStr">
        <is>
          <t>01/06/2026</t>
        </is>
      </c>
      <c r="D2152" s="2" t="inlineStr">
        <is>
          <t>01/06/2026</t>
        </is>
      </c>
      <c r="E2152" s="2" t="inlineStr">
        <is>
          <t>Dinheiro</t>
        </is>
      </c>
      <c r="F2152" s="2" t="inlineStr">
        <is>
          <t>Boleto "54889" do cliente "JOSE CARLOS DE LIMA"</t>
        </is>
      </c>
      <c r="G2152" s="2" t="inlineStr">
        <is>
          <t>system</t>
        </is>
      </c>
      <c r="H2152" s="2" t="inlineStr">
        <is>
          <t>01.01.01 : Mensalidade</t>
        </is>
      </c>
      <c r="I2152" s="3" t="n">
        <v>80</v>
      </c>
      <c r="J2152" s="2" t="n"/>
      <c r="K2152" s="2">
        <f>IF(H2152="02.09 : Outras Saídas", IF(OR(ISNUMBER(SEARCH("CHEQUE COMPE SICREDI", F2152)), ISNUMBER(SEARCH("aniversario", F2152)), ISNUMBER(SEARCH("churrasco", F2152)), ISNUMBER(SEARCH("bolo", F2152)), ISNUMBER(SEARCH("SUPERMERCADO", F2152))), "6.1 Despesas Administrativas (Pessoal)", IF(OR(ISNUMBER(SEARCH("DLKNET", F2152)), ISNUMBER(SEARCH("TESTE", F2152))), "6.1 Despesas Administrativas (Gerais)", IFERROR(VLOOKUP(H2152, De_Para!A:B, 2, FALSE), "NÃO MAPEADO"))), IFERROR(VLOOKUP(H2152, De_Para!A:B, 2, FALSE), "NÃO MAPEADO"))</f>
        <v/>
      </c>
    </row>
    <row r="2153">
      <c r="A2153" s="2" t="inlineStr">
        <is>
          <t>67533</t>
        </is>
      </c>
      <c r="B2153" s="2" t="inlineStr">
        <is>
          <t>Sicoob</t>
        </is>
      </c>
      <c r="C2153" s="2" t="inlineStr">
        <is>
          <t>01/06/2026</t>
        </is>
      </c>
      <c r="D2153" s="2" t="inlineStr">
        <is>
          <t>01/06/2026</t>
        </is>
      </c>
      <c r="E2153" s="2" t="inlineStr">
        <is>
          <t>Dinheiro</t>
        </is>
      </c>
      <c r="F2153" s="2" t="inlineStr">
        <is>
          <t>Boleto "59555" do cliente "GENTIL PAULINO DE SIQUEIRA"</t>
        </is>
      </c>
      <c r="G2153" s="2" t="inlineStr">
        <is>
          <t>system</t>
        </is>
      </c>
      <c r="H2153" s="2" t="inlineStr">
        <is>
          <t>02.03.02.01 : Cobrança Bancaria</t>
        </is>
      </c>
      <c r="I2153" s="2" t="n"/>
      <c r="J2153" s="3" t="n">
        <v>-0.88</v>
      </c>
      <c r="K2153" s="2">
        <f>IF(H2153="02.09 : Outras Saídas", IF(OR(ISNUMBER(SEARCH("CHEQUE COMPE SICREDI", F2153)), ISNUMBER(SEARCH("aniversario", F2153)), ISNUMBER(SEARCH("churrasco", F2153)), ISNUMBER(SEARCH("bolo", F2153)), ISNUMBER(SEARCH("SUPERMERCADO", F2153))), "6.1 Despesas Administrativas (Pessoal)", IF(OR(ISNUMBER(SEARCH("DLKNET", F2153)), ISNUMBER(SEARCH("TESTE", F2153))), "6.1 Despesas Administrativas (Gerais)", IFERROR(VLOOKUP(H2153, De_Para!A:B, 2, FALSE), "NÃO MAPEADO"))), IFERROR(VLOOKUP(H2153, De_Para!A:B, 2, FALSE), "NÃO MAPEADO"))</f>
        <v/>
      </c>
    </row>
    <row r="2154">
      <c r="A2154" s="2" t="inlineStr">
        <is>
          <t>67532</t>
        </is>
      </c>
      <c r="B2154" s="2" t="inlineStr">
        <is>
          <t>Sicoob</t>
        </is>
      </c>
      <c r="C2154" s="2" t="inlineStr">
        <is>
          <t>01/06/2026</t>
        </is>
      </c>
      <c r="D2154" s="2" t="inlineStr">
        <is>
          <t>01/06/2026</t>
        </is>
      </c>
      <c r="E2154" s="2" t="inlineStr">
        <is>
          <t>Dinheiro</t>
        </is>
      </c>
      <c r="F2154" s="2" t="inlineStr">
        <is>
          <t>Boleto "59555" do cliente "GENTIL PAULINO DE SIQUEIRA"</t>
        </is>
      </c>
      <c r="G2154" s="2" t="inlineStr">
        <is>
          <t>system</t>
        </is>
      </c>
      <c r="H2154" s="2" t="inlineStr">
        <is>
          <t>01.01.01 : Mensalidade</t>
        </is>
      </c>
      <c r="I2154" s="3" t="n">
        <v>105</v>
      </c>
      <c r="J2154" s="2" t="n"/>
      <c r="K2154" s="2">
        <f>IF(H2154="02.09 : Outras Saídas", IF(OR(ISNUMBER(SEARCH("CHEQUE COMPE SICREDI", F2154)), ISNUMBER(SEARCH("aniversario", F2154)), ISNUMBER(SEARCH("churrasco", F2154)), ISNUMBER(SEARCH("bolo", F2154)), ISNUMBER(SEARCH("SUPERMERCADO", F2154))), "6.1 Despesas Administrativas (Pessoal)", IF(OR(ISNUMBER(SEARCH("DLKNET", F2154)), ISNUMBER(SEARCH("TESTE", F2154))), "6.1 Despesas Administrativas (Gerais)", IFERROR(VLOOKUP(H2154, De_Para!A:B, 2, FALSE), "NÃO MAPEADO"))), IFERROR(VLOOKUP(H2154, De_Para!A:B, 2, FALSE), "NÃO MAPEADO"))</f>
        <v/>
      </c>
    </row>
    <row r="2155">
      <c r="A2155" s="2" t="inlineStr">
        <is>
          <t>67531</t>
        </is>
      </c>
      <c r="B2155" s="2" t="inlineStr">
        <is>
          <t>Sicoob</t>
        </is>
      </c>
      <c r="C2155" s="2" t="inlineStr">
        <is>
          <t>01/06/2026</t>
        </is>
      </c>
      <c r="D2155" s="2" t="inlineStr">
        <is>
          <t>01/06/2026</t>
        </is>
      </c>
      <c r="E2155" s="2" t="inlineStr">
        <is>
          <t>Dinheiro</t>
        </is>
      </c>
      <c r="F2155" s="2" t="inlineStr">
        <is>
          <t>Boleto "56425" do cliente "JOAQUIM ALFERES JUNIOR"</t>
        </is>
      </c>
      <c r="G2155" s="2" t="inlineStr">
        <is>
          <t>system</t>
        </is>
      </c>
      <c r="H2155" s="2" t="inlineStr">
        <is>
          <t>02.03.02.01 : Cobrança Bancaria</t>
        </is>
      </c>
      <c r="I2155" s="2" t="n"/>
      <c r="J2155" s="3" t="n">
        <v>-0.88</v>
      </c>
      <c r="K2155" s="2">
        <f>IF(H2155="02.09 : Outras Saídas", IF(OR(ISNUMBER(SEARCH("CHEQUE COMPE SICREDI", F2155)), ISNUMBER(SEARCH("aniversario", F2155)), ISNUMBER(SEARCH("churrasco", F2155)), ISNUMBER(SEARCH("bolo", F2155)), ISNUMBER(SEARCH("SUPERMERCADO", F2155))), "6.1 Despesas Administrativas (Pessoal)", IF(OR(ISNUMBER(SEARCH("DLKNET", F2155)), ISNUMBER(SEARCH("TESTE", F2155))), "6.1 Despesas Administrativas (Gerais)", IFERROR(VLOOKUP(H2155, De_Para!A:B, 2, FALSE), "NÃO MAPEADO"))), IFERROR(VLOOKUP(H2155, De_Para!A:B, 2, FALSE), "NÃO MAPEADO"))</f>
        <v/>
      </c>
    </row>
    <row r="2156">
      <c r="A2156" s="2" t="inlineStr">
        <is>
          <t>67530</t>
        </is>
      </c>
      <c r="B2156" s="2" t="inlineStr">
        <is>
          <t>Sicoob</t>
        </is>
      </c>
      <c r="C2156" s="2" t="inlineStr">
        <is>
          <t>01/06/2026</t>
        </is>
      </c>
      <c r="D2156" s="2" t="inlineStr">
        <is>
          <t>01/06/2026</t>
        </is>
      </c>
      <c r="E2156" s="2" t="inlineStr">
        <is>
          <t>Dinheiro</t>
        </is>
      </c>
      <c r="F2156" s="2" t="inlineStr">
        <is>
          <t>Boleto "56425" do cliente "JOAQUIM ALFERES JUNIOR"</t>
        </is>
      </c>
      <c r="G2156" s="2" t="inlineStr">
        <is>
          <t>system</t>
        </is>
      </c>
      <c r="H2156" s="2" t="inlineStr">
        <is>
          <t>01.01.01 : Mensalidade</t>
        </is>
      </c>
      <c r="I2156" s="3" t="n">
        <v>105</v>
      </c>
      <c r="J2156" s="2" t="n"/>
      <c r="K2156" s="2">
        <f>IF(H2156="02.09 : Outras Saídas", IF(OR(ISNUMBER(SEARCH("CHEQUE COMPE SICREDI", F2156)), ISNUMBER(SEARCH("aniversario", F2156)), ISNUMBER(SEARCH("churrasco", F2156)), ISNUMBER(SEARCH("bolo", F2156)), ISNUMBER(SEARCH("SUPERMERCADO", F2156))), "6.1 Despesas Administrativas (Pessoal)", IF(OR(ISNUMBER(SEARCH("DLKNET", F2156)), ISNUMBER(SEARCH("TESTE", F2156))), "6.1 Despesas Administrativas (Gerais)", IFERROR(VLOOKUP(H2156, De_Para!A:B, 2, FALSE), "NÃO MAPEADO"))), IFERROR(VLOOKUP(H2156, De_Para!A:B, 2, FALSE), "NÃO MAPEADO"))</f>
        <v/>
      </c>
    </row>
    <row r="2157">
      <c r="A2157" s="2" t="inlineStr">
        <is>
          <t>67529</t>
        </is>
      </c>
      <c r="B2157" s="2" t="inlineStr">
        <is>
          <t>Sicoob</t>
        </is>
      </c>
      <c r="C2157" s="2" t="inlineStr">
        <is>
          <t>01/06/2026</t>
        </is>
      </c>
      <c r="D2157" s="2" t="inlineStr">
        <is>
          <t>01/06/2026</t>
        </is>
      </c>
      <c r="E2157" s="2" t="inlineStr">
        <is>
          <t>Dinheiro</t>
        </is>
      </c>
      <c r="F2157" s="2" t="inlineStr">
        <is>
          <t>Boleto "55438" do cliente "MARIA SELMA BATISTA DEPIZZOL"</t>
        </is>
      </c>
      <c r="G2157" s="2" t="inlineStr">
        <is>
          <t>system</t>
        </is>
      </c>
      <c r="H2157" s="2" t="inlineStr">
        <is>
          <t>02.03.02.01 : Cobrança Bancaria</t>
        </is>
      </c>
      <c r="I2157" s="2" t="n"/>
      <c r="J2157" s="3" t="n">
        <v>-0.88</v>
      </c>
      <c r="K2157" s="2">
        <f>IF(H2157="02.09 : Outras Saídas", IF(OR(ISNUMBER(SEARCH("CHEQUE COMPE SICREDI", F2157)), ISNUMBER(SEARCH("aniversario", F2157)), ISNUMBER(SEARCH("churrasco", F2157)), ISNUMBER(SEARCH("bolo", F2157)), ISNUMBER(SEARCH("SUPERMERCADO", F2157))), "6.1 Despesas Administrativas (Pessoal)", IF(OR(ISNUMBER(SEARCH("DLKNET", F2157)), ISNUMBER(SEARCH("TESTE", F2157))), "6.1 Despesas Administrativas (Gerais)", IFERROR(VLOOKUP(H2157, De_Para!A:B, 2, FALSE), "NÃO MAPEADO"))), IFERROR(VLOOKUP(H2157, De_Para!A:B, 2, FALSE), "NÃO MAPEADO"))</f>
        <v/>
      </c>
    </row>
    <row r="2158">
      <c r="A2158" s="2" t="inlineStr">
        <is>
          <t>67528</t>
        </is>
      </c>
      <c r="B2158" s="2" t="inlineStr">
        <is>
          <t>Sicoob</t>
        </is>
      </c>
      <c r="C2158" s="2" t="inlineStr">
        <is>
          <t>01/06/2026</t>
        </is>
      </c>
      <c r="D2158" s="2" t="inlineStr">
        <is>
          <t>01/06/2026</t>
        </is>
      </c>
      <c r="E2158" s="2" t="inlineStr">
        <is>
          <t>Dinheiro</t>
        </is>
      </c>
      <c r="F2158" s="2" t="inlineStr">
        <is>
          <t>Boleto "55438" do cliente "MARIA SELMA BATISTA DEPIZZOL"</t>
        </is>
      </c>
      <c r="G2158" s="2" t="inlineStr">
        <is>
          <t>system</t>
        </is>
      </c>
      <c r="H2158" s="2" t="inlineStr">
        <is>
          <t>01.01.01 : Mensalidade</t>
        </is>
      </c>
      <c r="I2158" s="3" t="n">
        <v>105</v>
      </c>
      <c r="J2158" s="2" t="n"/>
      <c r="K2158" s="2">
        <f>IF(H2158="02.09 : Outras Saídas", IF(OR(ISNUMBER(SEARCH("CHEQUE COMPE SICREDI", F2158)), ISNUMBER(SEARCH("aniversario", F2158)), ISNUMBER(SEARCH("churrasco", F2158)), ISNUMBER(SEARCH("bolo", F2158)), ISNUMBER(SEARCH("SUPERMERCADO", F2158))), "6.1 Despesas Administrativas (Pessoal)", IF(OR(ISNUMBER(SEARCH("DLKNET", F2158)), ISNUMBER(SEARCH("TESTE", F2158))), "6.1 Despesas Administrativas (Gerais)", IFERROR(VLOOKUP(H2158, De_Para!A:B, 2, FALSE), "NÃO MAPEADO"))), IFERROR(VLOOKUP(H2158, De_Para!A:B, 2, FALSE), "NÃO MAPEADO"))</f>
        <v/>
      </c>
    </row>
    <row r="2159">
      <c r="A2159" s="2" t="inlineStr">
        <is>
          <t>67527</t>
        </is>
      </c>
      <c r="B2159" s="2" t="inlineStr">
        <is>
          <t>Sicoob</t>
        </is>
      </c>
      <c r="C2159" s="2" t="inlineStr">
        <is>
          <t>01/06/2026</t>
        </is>
      </c>
      <c r="D2159" s="2" t="inlineStr">
        <is>
          <t>01/06/2026</t>
        </is>
      </c>
      <c r="E2159" s="2" t="inlineStr">
        <is>
          <t>Dinheiro</t>
        </is>
      </c>
      <c r="F2159" s="2" t="inlineStr">
        <is>
          <t>Boleto "55211" do cliente "NEUZA TERRA DE OLIVEIRA FONSECA"</t>
        </is>
      </c>
      <c r="G2159" s="2" t="inlineStr">
        <is>
          <t>system</t>
        </is>
      </c>
      <c r="H2159" s="2" t="inlineStr">
        <is>
          <t>02.03.02.01 : Cobrança Bancaria</t>
        </is>
      </c>
      <c r="I2159" s="2" t="n"/>
      <c r="J2159" s="3" t="n">
        <v>-0.88</v>
      </c>
      <c r="K2159" s="2">
        <f>IF(H2159="02.09 : Outras Saídas", IF(OR(ISNUMBER(SEARCH("CHEQUE COMPE SICREDI", F2159)), ISNUMBER(SEARCH("aniversario", F2159)), ISNUMBER(SEARCH("churrasco", F2159)), ISNUMBER(SEARCH("bolo", F2159)), ISNUMBER(SEARCH("SUPERMERCADO", F2159))), "6.1 Despesas Administrativas (Pessoal)", IF(OR(ISNUMBER(SEARCH("DLKNET", F2159)), ISNUMBER(SEARCH("TESTE", F2159))), "6.1 Despesas Administrativas (Gerais)", IFERROR(VLOOKUP(H2159, De_Para!A:B, 2, FALSE), "NÃO MAPEADO"))), IFERROR(VLOOKUP(H2159, De_Para!A:B, 2, FALSE), "NÃO MAPEADO"))</f>
        <v/>
      </c>
    </row>
    <row r="2160">
      <c r="A2160" s="2" t="inlineStr">
        <is>
          <t>67526</t>
        </is>
      </c>
      <c r="B2160" s="2" t="inlineStr">
        <is>
          <t>Sicoob</t>
        </is>
      </c>
      <c r="C2160" s="2" t="inlineStr">
        <is>
          <t>01/06/2026</t>
        </is>
      </c>
      <c r="D2160" s="2" t="inlineStr">
        <is>
          <t>01/06/2026</t>
        </is>
      </c>
      <c r="E2160" s="2" t="inlineStr">
        <is>
          <t>Dinheiro</t>
        </is>
      </c>
      <c r="F2160" s="2" t="inlineStr">
        <is>
          <t>Boleto "55211" do cliente "NEUZA TERRA DE OLIVEIRA FONSECA"</t>
        </is>
      </c>
      <c r="G2160" s="2" t="inlineStr">
        <is>
          <t>system</t>
        </is>
      </c>
      <c r="H2160" s="2" t="inlineStr">
        <is>
          <t>01.01.01 : Mensalidade</t>
        </is>
      </c>
      <c r="I2160" s="3" t="n">
        <v>105</v>
      </c>
      <c r="J2160" s="2" t="n"/>
      <c r="K2160" s="2">
        <f>IF(H2160="02.09 : Outras Saídas", IF(OR(ISNUMBER(SEARCH("CHEQUE COMPE SICREDI", F2160)), ISNUMBER(SEARCH("aniversario", F2160)), ISNUMBER(SEARCH("churrasco", F2160)), ISNUMBER(SEARCH("bolo", F2160)), ISNUMBER(SEARCH("SUPERMERCADO", F2160))), "6.1 Despesas Administrativas (Pessoal)", IF(OR(ISNUMBER(SEARCH("DLKNET", F2160)), ISNUMBER(SEARCH("TESTE", F2160))), "6.1 Despesas Administrativas (Gerais)", IFERROR(VLOOKUP(H2160, De_Para!A:B, 2, FALSE), "NÃO MAPEADO"))), IFERROR(VLOOKUP(H2160, De_Para!A:B, 2, FALSE), "NÃO MAPEADO"))</f>
        <v/>
      </c>
    </row>
    <row r="2161">
      <c r="A2161" s="2" t="inlineStr">
        <is>
          <t>67525</t>
        </is>
      </c>
      <c r="B2161" s="2" t="inlineStr">
        <is>
          <t>Sicoob</t>
        </is>
      </c>
      <c r="C2161" s="2" t="inlineStr">
        <is>
          <t>01/06/2026</t>
        </is>
      </c>
      <c r="D2161" s="2" t="inlineStr">
        <is>
          <t>01/06/2026</t>
        </is>
      </c>
      <c r="E2161" s="2" t="inlineStr">
        <is>
          <t>Dinheiro</t>
        </is>
      </c>
      <c r="F2161" s="2" t="inlineStr">
        <is>
          <t>Boleto "55112" do cliente "ADILSON PEREIRA VIDAL"</t>
        </is>
      </c>
      <c r="G2161" s="2" t="inlineStr">
        <is>
          <t>system</t>
        </is>
      </c>
      <c r="H2161" s="2" t="inlineStr">
        <is>
          <t>02.03.02.01 : Cobrança Bancaria</t>
        </is>
      </c>
      <c r="I2161" s="2" t="n"/>
      <c r="J2161" s="3" t="n">
        <v>-0.88</v>
      </c>
      <c r="K2161" s="2">
        <f>IF(H2161="02.09 : Outras Saídas", IF(OR(ISNUMBER(SEARCH("CHEQUE COMPE SICREDI", F2161)), ISNUMBER(SEARCH("aniversario", F2161)), ISNUMBER(SEARCH("churrasco", F2161)), ISNUMBER(SEARCH("bolo", F2161)), ISNUMBER(SEARCH("SUPERMERCADO", F2161))), "6.1 Despesas Administrativas (Pessoal)", IF(OR(ISNUMBER(SEARCH("DLKNET", F2161)), ISNUMBER(SEARCH("TESTE", F2161))), "6.1 Despesas Administrativas (Gerais)", IFERROR(VLOOKUP(H2161, De_Para!A:B, 2, FALSE), "NÃO MAPEADO"))), IFERROR(VLOOKUP(H2161, De_Para!A:B, 2, FALSE), "NÃO MAPEADO"))</f>
        <v/>
      </c>
    </row>
    <row r="2162">
      <c r="A2162" s="2" t="inlineStr">
        <is>
          <t>67524</t>
        </is>
      </c>
      <c r="B2162" s="2" t="inlineStr">
        <is>
          <t>Sicoob</t>
        </is>
      </c>
      <c r="C2162" s="2" t="inlineStr">
        <is>
          <t>01/06/2026</t>
        </is>
      </c>
      <c r="D2162" s="2" t="inlineStr">
        <is>
          <t>01/06/2026</t>
        </is>
      </c>
      <c r="E2162" s="2" t="inlineStr">
        <is>
          <t>Dinheiro</t>
        </is>
      </c>
      <c r="F2162" s="2" t="inlineStr">
        <is>
          <t>Boleto "55112" do cliente "ADILSON PEREIRA VIDAL"</t>
        </is>
      </c>
      <c r="G2162" s="2" t="inlineStr">
        <is>
          <t>system</t>
        </is>
      </c>
      <c r="H2162" s="2" t="inlineStr">
        <is>
          <t>01.01.01 : Mensalidade</t>
        </is>
      </c>
      <c r="I2162" s="3" t="n">
        <v>105</v>
      </c>
      <c r="J2162" s="2" t="n"/>
      <c r="K2162" s="2">
        <f>IF(H2162="02.09 : Outras Saídas", IF(OR(ISNUMBER(SEARCH("CHEQUE COMPE SICREDI", F2162)), ISNUMBER(SEARCH("aniversario", F2162)), ISNUMBER(SEARCH("churrasco", F2162)), ISNUMBER(SEARCH("bolo", F2162)), ISNUMBER(SEARCH("SUPERMERCADO", F2162))), "6.1 Despesas Administrativas (Pessoal)", IF(OR(ISNUMBER(SEARCH("DLKNET", F2162)), ISNUMBER(SEARCH("TESTE", F2162))), "6.1 Despesas Administrativas (Gerais)", IFERROR(VLOOKUP(H2162, De_Para!A:B, 2, FALSE), "NÃO MAPEADO"))), IFERROR(VLOOKUP(H2162, De_Para!A:B, 2, FALSE), "NÃO MAPEADO"))</f>
        <v/>
      </c>
    </row>
    <row r="2163">
      <c r="A2163" s="2" t="inlineStr">
        <is>
          <t>67523</t>
        </is>
      </c>
      <c r="B2163" s="2" t="inlineStr">
        <is>
          <t>Sicoob</t>
        </is>
      </c>
      <c r="C2163" s="2" t="inlineStr">
        <is>
          <t>01/06/2026</t>
        </is>
      </c>
      <c r="D2163" s="2" t="inlineStr">
        <is>
          <t>01/06/2026</t>
        </is>
      </c>
      <c r="E2163" s="2" t="inlineStr">
        <is>
          <t>Dinheiro</t>
        </is>
      </c>
      <c r="F2163" s="2" t="inlineStr">
        <is>
          <t>Boleto "70086" do cliente "ANGELICA APARECIDA QUINTILIANO VIEIRA DE ABREU"</t>
        </is>
      </c>
      <c r="G2163" s="2" t="inlineStr">
        <is>
          <t>system</t>
        </is>
      </c>
      <c r="H2163" s="2" t="inlineStr">
        <is>
          <t>02.03.02.01 : Cobrança Bancaria</t>
        </is>
      </c>
      <c r="I2163" s="2" t="n"/>
      <c r="J2163" s="3" t="n">
        <v>-0.88</v>
      </c>
      <c r="K2163" s="2">
        <f>IF(H2163="02.09 : Outras Saídas", IF(OR(ISNUMBER(SEARCH("CHEQUE COMPE SICREDI", F2163)), ISNUMBER(SEARCH("aniversario", F2163)), ISNUMBER(SEARCH("churrasco", F2163)), ISNUMBER(SEARCH("bolo", F2163)), ISNUMBER(SEARCH("SUPERMERCADO", F2163))), "6.1 Despesas Administrativas (Pessoal)", IF(OR(ISNUMBER(SEARCH("DLKNET", F2163)), ISNUMBER(SEARCH("TESTE", F2163))), "6.1 Despesas Administrativas (Gerais)", IFERROR(VLOOKUP(H2163, De_Para!A:B, 2, FALSE), "NÃO MAPEADO"))), IFERROR(VLOOKUP(H2163, De_Para!A:B, 2, FALSE), "NÃO MAPEADO"))</f>
        <v/>
      </c>
    </row>
    <row r="2164">
      <c r="A2164" s="2" t="inlineStr">
        <is>
          <t>67522</t>
        </is>
      </c>
      <c r="B2164" s="2" t="inlineStr">
        <is>
          <t>Sicoob</t>
        </is>
      </c>
      <c r="C2164" s="2" t="inlineStr">
        <is>
          <t>01/06/2026</t>
        </is>
      </c>
      <c r="D2164" s="2" t="inlineStr">
        <is>
          <t>01/06/2026</t>
        </is>
      </c>
      <c r="E2164" s="2" t="inlineStr">
        <is>
          <t>Dinheiro</t>
        </is>
      </c>
      <c r="F2164" s="2" t="inlineStr">
        <is>
          <t>Boleto "70086" do cliente "ANGELICA APARECIDA QUINTILIANO VIEIRA DE ABREU"</t>
        </is>
      </c>
      <c r="G2164" s="2" t="inlineStr">
        <is>
          <t>system</t>
        </is>
      </c>
      <c r="H2164" s="2" t="inlineStr">
        <is>
          <t>01.90 : Outras Entradas</t>
        </is>
      </c>
      <c r="I2164" s="3" t="n">
        <v>38.5</v>
      </c>
      <c r="J2164" s="2" t="n"/>
      <c r="K2164" s="2">
        <f>IF(H2164="02.09 : Outras Saídas", IF(OR(ISNUMBER(SEARCH("CHEQUE COMPE SICREDI", F2164)), ISNUMBER(SEARCH("aniversario", F2164)), ISNUMBER(SEARCH("churrasco", F2164)), ISNUMBER(SEARCH("bolo", F2164)), ISNUMBER(SEARCH("SUPERMERCADO", F2164))), "6.1 Despesas Administrativas (Pessoal)", IF(OR(ISNUMBER(SEARCH("DLKNET", F2164)), ISNUMBER(SEARCH("TESTE", F2164))), "6.1 Despesas Administrativas (Gerais)", IFERROR(VLOOKUP(H2164, De_Para!A:B, 2, FALSE), "NÃO MAPEADO"))), IFERROR(VLOOKUP(H2164, De_Para!A:B, 2, FALSE), "NÃO MAPEADO"))</f>
        <v/>
      </c>
    </row>
    <row r="2165">
      <c r="A2165" s="2" t="inlineStr">
        <is>
          <t>67521</t>
        </is>
      </c>
      <c r="B2165" s="2" t="inlineStr">
        <is>
          <t>Sicoob</t>
        </is>
      </c>
      <c r="C2165" s="2" t="inlineStr">
        <is>
          <t>01/06/2026</t>
        </is>
      </c>
      <c r="D2165" s="2" t="inlineStr">
        <is>
          <t>01/06/2026</t>
        </is>
      </c>
      <c r="E2165" s="2" t="inlineStr">
        <is>
          <t>Dinheiro</t>
        </is>
      </c>
      <c r="F2165" s="2" t="inlineStr">
        <is>
          <t>Boleto "66643" do cliente "GIOVANNA ANGELO COUTO"</t>
        </is>
      </c>
      <c r="G2165" s="2" t="inlineStr">
        <is>
          <t>system</t>
        </is>
      </c>
      <c r="H2165" s="2" t="inlineStr">
        <is>
          <t>02.03.02.01 : Cobrança Bancaria</t>
        </is>
      </c>
      <c r="I2165" s="2" t="n"/>
      <c r="J2165" s="3" t="n">
        <v>-0.88</v>
      </c>
      <c r="K2165" s="2">
        <f>IF(H2165="02.09 : Outras Saídas", IF(OR(ISNUMBER(SEARCH("CHEQUE COMPE SICREDI", F2165)), ISNUMBER(SEARCH("aniversario", F2165)), ISNUMBER(SEARCH("churrasco", F2165)), ISNUMBER(SEARCH("bolo", F2165)), ISNUMBER(SEARCH("SUPERMERCADO", F2165))), "6.1 Despesas Administrativas (Pessoal)", IF(OR(ISNUMBER(SEARCH("DLKNET", F2165)), ISNUMBER(SEARCH("TESTE", F2165))), "6.1 Despesas Administrativas (Gerais)", IFERROR(VLOOKUP(H2165, De_Para!A:B, 2, FALSE), "NÃO MAPEADO"))), IFERROR(VLOOKUP(H2165, De_Para!A:B, 2, FALSE), "NÃO MAPEADO"))</f>
        <v/>
      </c>
    </row>
    <row r="2166">
      <c r="A2166" s="2" t="inlineStr">
        <is>
          <t>67520</t>
        </is>
      </c>
      <c r="B2166" s="2" t="inlineStr">
        <is>
          <t>Sicoob</t>
        </is>
      </c>
      <c r="C2166" s="2" t="inlineStr">
        <is>
          <t>01/06/2026</t>
        </is>
      </c>
      <c r="D2166" s="2" t="inlineStr">
        <is>
          <t>01/06/2026</t>
        </is>
      </c>
      <c r="E2166" s="2" t="inlineStr">
        <is>
          <t>Dinheiro</t>
        </is>
      </c>
      <c r="F2166" s="2" t="inlineStr">
        <is>
          <t>Boleto "66643" do cliente "GIOVANNA ANGELO COUTO"</t>
        </is>
      </c>
      <c r="G2166" s="2" t="inlineStr">
        <is>
          <t>system</t>
        </is>
      </c>
      <c r="H2166" s="2" t="inlineStr">
        <is>
          <t>01.01.01 : Mensalidade</t>
        </is>
      </c>
      <c r="I2166" s="3" t="n">
        <v>112.52</v>
      </c>
      <c r="J2166" s="2" t="n"/>
      <c r="K2166" s="2">
        <f>IF(H2166="02.09 : Outras Saídas", IF(OR(ISNUMBER(SEARCH("CHEQUE COMPE SICREDI", F2166)), ISNUMBER(SEARCH("aniversario", F2166)), ISNUMBER(SEARCH("churrasco", F2166)), ISNUMBER(SEARCH("bolo", F2166)), ISNUMBER(SEARCH("SUPERMERCADO", F2166))), "6.1 Despesas Administrativas (Pessoal)", IF(OR(ISNUMBER(SEARCH("DLKNET", F2166)), ISNUMBER(SEARCH("TESTE", F2166))), "6.1 Despesas Administrativas (Gerais)", IFERROR(VLOOKUP(H2166, De_Para!A:B, 2, FALSE), "NÃO MAPEADO"))), IFERROR(VLOOKUP(H2166, De_Para!A:B, 2, FALSE), "NÃO MAPEADO"))</f>
        <v/>
      </c>
    </row>
    <row r="2167">
      <c r="A2167" s="2" t="inlineStr">
        <is>
          <t>67519</t>
        </is>
      </c>
      <c r="B2167" s="2" t="inlineStr">
        <is>
          <t>Sicoob</t>
        </is>
      </c>
      <c r="C2167" s="2" t="inlineStr">
        <is>
          <t>01/06/2026</t>
        </is>
      </c>
      <c r="D2167" s="2" t="inlineStr">
        <is>
          <t>01/06/2026</t>
        </is>
      </c>
      <c r="E2167" s="2" t="inlineStr">
        <is>
          <t>Dinheiro</t>
        </is>
      </c>
      <c r="F2167" s="2" t="inlineStr">
        <is>
          <t>Boleto "65341" do cliente "HERYON MATHEUS MARIANO DE BRITO"</t>
        </is>
      </c>
      <c r="G2167" s="2" t="inlineStr">
        <is>
          <t>system</t>
        </is>
      </c>
      <c r="H2167" s="2" t="inlineStr">
        <is>
          <t>02.03.02.01 : Cobrança Bancaria</t>
        </is>
      </c>
      <c r="I2167" s="2" t="n"/>
      <c r="J2167" s="3" t="n">
        <v>-0.88</v>
      </c>
      <c r="K2167" s="2">
        <f>IF(H2167="02.09 : Outras Saídas", IF(OR(ISNUMBER(SEARCH("CHEQUE COMPE SICREDI", F2167)), ISNUMBER(SEARCH("aniversario", F2167)), ISNUMBER(SEARCH("churrasco", F2167)), ISNUMBER(SEARCH("bolo", F2167)), ISNUMBER(SEARCH("SUPERMERCADO", F2167))), "6.1 Despesas Administrativas (Pessoal)", IF(OR(ISNUMBER(SEARCH("DLKNET", F2167)), ISNUMBER(SEARCH("TESTE", F2167))), "6.1 Despesas Administrativas (Gerais)", IFERROR(VLOOKUP(H2167, De_Para!A:B, 2, FALSE), "NÃO MAPEADO"))), IFERROR(VLOOKUP(H2167, De_Para!A:B, 2, FALSE), "NÃO MAPEADO"))</f>
        <v/>
      </c>
    </row>
    <row r="2168">
      <c r="A2168" s="2" t="inlineStr">
        <is>
          <t>67518</t>
        </is>
      </c>
      <c r="B2168" s="2" t="inlineStr">
        <is>
          <t>Sicoob</t>
        </is>
      </c>
      <c r="C2168" s="2" t="inlineStr">
        <is>
          <t>01/06/2026</t>
        </is>
      </c>
      <c r="D2168" s="2" t="inlineStr">
        <is>
          <t>01/06/2026</t>
        </is>
      </c>
      <c r="E2168" s="2" t="inlineStr">
        <is>
          <t>Dinheiro</t>
        </is>
      </c>
      <c r="F2168" s="2" t="inlineStr">
        <is>
          <t>Boleto "65341" do cliente "HERYON MATHEUS MARIANO DE BRITO"</t>
        </is>
      </c>
      <c r="G2168" s="2" t="inlineStr">
        <is>
          <t>system</t>
        </is>
      </c>
      <c r="H2168" s="2" t="inlineStr">
        <is>
          <t>01.01.01 : Mensalidade</t>
        </is>
      </c>
      <c r="I2168" s="3" t="n">
        <v>104.9</v>
      </c>
      <c r="J2168" s="2" t="n"/>
      <c r="K2168" s="2">
        <f>IF(H2168="02.09 : Outras Saídas", IF(OR(ISNUMBER(SEARCH("CHEQUE COMPE SICREDI", F2168)), ISNUMBER(SEARCH("aniversario", F2168)), ISNUMBER(SEARCH("churrasco", F2168)), ISNUMBER(SEARCH("bolo", F2168)), ISNUMBER(SEARCH("SUPERMERCADO", F2168))), "6.1 Despesas Administrativas (Pessoal)", IF(OR(ISNUMBER(SEARCH("DLKNET", F2168)), ISNUMBER(SEARCH("TESTE", F2168))), "6.1 Despesas Administrativas (Gerais)", IFERROR(VLOOKUP(H2168, De_Para!A:B, 2, FALSE), "NÃO MAPEADO"))), IFERROR(VLOOKUP(H2168, De_Para!A:B, 2, FALSE), "NÃO MAPEADO"))</f>
        <v/>
      </c>
    </row>
    <row r="2169">
      <c r="A2169" s="2" t="inlineStr">
        <is>
          <t>67517</t>
        </is>
      </c>
      <c r="B2169" s="2" t="inlineStr">
        <is>
          <t>Sicredi SNI</t>
        </is>
      </c>
      <c r="C2169" s="2" t="inlineStr">
        <is>
          <t>01/06/2026</t>
        </is>
      </c>
      <c r="D2169" s="2" t="inlineStr">
        <is>
          <t>01/06/2026</t>
        </is>
      </c>
      <c r="E2169" s="2" t="inlineStr">
        <is>
          <t>PIX</t>
        </is>
      </c>
      <c r="F2169" s="2" t="inlineStr">
        <is>
          <t>Boleto "64330" do cliente "VANESSA RODRIGUES CORREA"</t>
        </is>
      </c>
      <c r="G2169" s="2" t="inlineStr">
        <is>
          <t>system</t>
        </is>
      </c>
      <c r="H2169" s="2" t="inlineStr">
        <is>
          <t>02.03.02.01 : Cobrança Bancaria</t>
        </is>
      </c>
      <c r="I2169" s="2" t="n"/>
      <c r="J2169" s="3" t="n">
        <v>-0.49</v>
      </c>
      <c r="K2169" s="2">
        <f>IF(H2169="02.09 : Outras Saídas", IF(OR(ISNUMBER(SEARCH("CHEQUE COMPE SICREDI", F2169)), ISNUMBER(SEARCH("aniversario", F2169)), ISNUMBER(SEARCH("churrasco", F2169)), ISNUMBER(SEARCH("bolo", F2169)), ISNUMBER(SEARCH("SUPERMERCADO", F2169))), "6.1 Despesas Administrativas (Pessoal)", IF(OR(ISNUMBER(SEARCH("DLKNET", F2169)), ISNUMBER(SEARCH("TESTE", F2169))), "6.1 Despesas Administrativas (Gerais)", IFERROR(VLOOKUP(H2169, De_Para!A:B, 2, FALSE), "NÃO MAPEADO"))), IFERROR(VLOOKUP(H2169, De_Para!A:B, 2, FALSE), "NÃO MAPEADO"))</f>
        <v/>
      </c>
    </row>
    <row r="2170">
      <c r="A2170" s="2" t="inlineStr">
        <is>
          <t>67516</t>
        </is>
      </c>
      <c r="B2170" s="2" t="inlineStr">
        <is>
          <t>Sicredi SNI</t>
        </is>
      </c>
      <c r="C2170" s="2" t="inlineStr">
        <is>
          <t>01/06/2026</t>
        </is>
      </c>
      <c r="D2170" s="2" t="inlineStr">
        <is>
          <t>01/06/2026</t>
        </is>
      </c>
      <c r="E2170" s="2" t="inlineStr">
        <is>
          <t>PIX</t>
        </is>
      </c>
      <c r="F2170" s="2" t="inlineStr">
        <is>
          <t>Boleto "64330" do cliente "VANESSA RODRIGUES CORREA"</t>
        </is>
      </c>
      <c r="G2170" s="2" t="inlineStr">
        <is>
          <t>system</t>
        </is>
      </c>
      <c r="H2170" s="2" t="inlineStr">
        <is>
          <t>01.01.01 : Mensalidade</t>
        </is>
      </c>
      <c r="I2170" s="3" t="n">
        <v>104.9</v>
      </c>
      <c r="J2170" s="2" t="n"/>
      <c r="K2170" s="2">
        <f>IF(H2170="02.09 : Outras Saídas", IF(OR(ISNUMBER(SEARCH("CHEQUE COMPE SICREDI", F2170)), ISNUMBER(SEARCH("aniversario", F2170)), ISNUMBER(SEARCH("churrasco", F2170)), ISNUMBER(SEARCH("bolo", F2170)), ISNUMBER(SEARCH("SUPERMERCADO", F2170))), "6.1 Despesas Administrativas (Pessoal)", IF(OR(ISNUMBER(SEARCH("DLKNET", F2170)), ISNUMBER(SEARCH("TESTE", F2170))), "6.1 Despesas Administrativas (Gerais)", IFERROR(VLOOKUP(H2170, De_Para!A:B, 2, FALSE), "NÃO MAPEADO"))), IFERROR(VLOOKUP(H2170, De_Para!A:B, 2, FALSE), "NÃO MAPEADO"))</f>
        <v/>
      </c>
    </row>
    <row r="2171">
      <c r="A2171" s="2" t="inlineStr">
        <is>
          <t>67515</t>
        </is>
      </c>
      <c r="B2171" s="2" t="inlineStr">
        <is>
          <t>Sicredi SNI</t>
        </is>
      </c>
      <c r="C2171" s="2" t="inlineStr">
        <is>
          <t>01/06/2026</t>
        </is>
      </c>
      <c r="D2171" s="2" t="inlineStr">
        <is>
          <t>01/06/2026</t>
        </is>
      </c>
      <c r="E2171" s="2" t="inlineStr">
        <is>
          <t>PIX</t>
        </is>
      </c>
      <c r="F2171" s="2" t="inlineStr">
        <is>
          <t>Boleto "69208" do cliente "ANA CAROLINA FERREIRA LINO"</t>
        </is>
      </c>
      <c r="G2171" s="2" t="inlineStr">
        <is>
          <t>system</t>
        </is>
      </c>
      <c r="H2171" s="2" t="inlineStr">
        <is>
          <t>02.03.02.01 : Cobrança Bancaria</t>
        </is>
      </c>
      <c r="I2171" s="2" t="n"/>
      <c r="J2171" s="3" t="n">
        <v>-0.49</v>
      </c>
      <c r="K2171" s="2">
        <f>IF(H2171="02.09 : Outras Saídas", IF(OR(ISNUMBER(SEARCH("CHEQUE COMPE SICREDI", F2171)), ISNUMBER(SEARCH("aniversario", F2171)), ISNUMBER(SEARCH("churrasco", F2171)), ISNUMBER(SEARCH("bolo", F2171)), ISNUMBER(SEARCH("SUPERMERCADO", F2171))), "6.1 Despesas Administrativas (Pessoal)", IF(OR(ISNUMBER(SEARCH("DLKNET", F2171)), ISNUMBER(SEARCH("TESTE", F2171))), "6.1 Despesas Administrativas (Gerais)", IFERROR(VLOOKUP(H2171, De_Para!A:B, 2, FALSE), "NÃO MAPEADO"))), IFERROR(VLOOKUP(H2171, De_Para!A:B, 2, FALSE), "NÃO MAPEADO"))</f>
        <v/>
      </c>
    </row>
    <row r="2172">
      <c r="A2172" s="2" t="inlineStr">
        <is>
          <t>67514</t>
        </is>
      </c>
      <c r="B2172" s="2" t="inlineStr">
        <is>
          <t>Sicredi SNI</t>
        </is>
      </c>
      <c r="C2172" s="2" t="inlineStr">
        <is>
          <t>01/06/2026</t>
        </is>
      </c>
      <c r="D2172" s="2" t="inlineStr">
        <is>
          <t>01/06/2026</t>
        </is>
      </c>
      <c r="E2172" s="2" t="inlineStr">
        <is>
          <t>PIX</t>
        </is>
      </c>
      <c r="F2172" s="2" t="inlineStr">
        <is>
          <t>Boleto "69208" do cliente "ANA CAROLINA FERREIRA LINO"</t>
        </is>
      </c>
      <c r="G2172" s="2" t="inlineStr">
        <is>
          <t>system</t>
        </is>
      </c>
      <c r="H2172" s="2" t="inlineStr">
        <is>
          <t>01.01.02 : Adesão</t>
        </is>
      </c>
      <c r="I2172" s="3" t="n">
        <v>92.19</v>
      </c>
      <c r="J2172" s="2" t="n"/>
      <c r="K2172" s="2">
        <f>IF(H2172="02.09 : Outras Saídas", IF(OR(ISNUMBER(SEARCH("CHEQUE COMPE SICREDI", F2172)), ISNUMBER(SEARCH("aniversario", F2172)), ISNUMBER(SEARCH("churrasco", F2172)), ISNUMBER(SEARCH("bolo", F2172)), ISNUMBER(SEARCH("SUPERMERCADO", F2172))), "6.1 Despesas Administrativas (Pessoal)", IF(OR(ISNUMBER(SEARCH("DLKNET", F2172)), ISNUMBER(SEARCH("TESTE", F2172))), "6.1 Despesas Administrativas (Gerais)", IFERROR(VLOOKUP(H2172, De_Para!A:B, 2, FALSE), "NÃO MAPEADO"))), IFERROR(VLOOKUP(H2172, De_Para!A:B, 2, FALSE), "NÃO MAPEADO"))</f>
        <v/>
      </c>
    </row>
    <row r="2173">
      <c r="A2173" s="2" t="inlineStr">
        <is>
          <t>67513</t>
        </is>
      </c>
      <c r="B2173" s="2" t="inlineStr">
        <is>
          <t>Sicredi SNI</t>
        </is>
      </c>
      <c r="C2173" s="2" t="inlineStr">
        <is>
          <t>01/06/2026</t>
        </is>
      </c>
      <c r="D2173" s="2" t="inlineStr">
        <is>
          <t>01/06/2026</t>
        </is>
      </c>
      <c r="E2173" s="2" t="inlineStr">
        <is>
          <t>Dinheiro</t>
        </is>
      </c>
      <c r="F2173" s="2" t="inlineStr">
        <is>
          <t>Boleto "55287" do cliente "ROSIMERE MARTINS DIOGO"</t>
        </is>
      </c>
      <c r="G2173" s="2" t="inlineStr">
        <is>
          <t>system</t>
        </is>
      </c>
      <c r="H2173" s="2" t="inlineStr">
        <is>
          <t>02.03.02.01 : Cobrança Bancaria</t>
        </is>
      </c>
      <c r="I2173" s="2" t="n"/>
      <c r="J2173" s="3" t="n">
        <v>-1.08</v>
      </c>
      <c r="K2173" s="2">
        <f>IF(H2173="02.09 : Outras Saídas", IF(OR(ISNUMBER(SEARCH("CHEQUE COMPE SICREDI", F2173)), ISNUMBER(SEARCH("aniversario", F2173)), ISNUMBER(SEARCH("churrasco", F2173)), ISNUMBER(SEARCH("bolo", F2173)), ISNUMBER(SEARCH("SUPERMERCADO", F2173))), "6.1 Despesas Administrativas (Pessoal)", IF(OR(ISNUMBER(SEARCH("DLKNET", F2173)), ISNUMBER(SEARCH("TESTE", F2173))), "6.1 Despesas Administrativas (Gerais)", IFERROR(VLOOKUP(H2173, De_Para!A:B, 2, FALSE), "NÃO MAPEADO"))), IFERROR(VLOOKUP(H2173, De_Para!A:B, 2, FALSE), "NÃO MAPEADO"))</f>
        <v/>
      </c>
    </row>
    <row r="2174">
      <c r="A2174" s="2" t="inlineStr">
        <is>
          <t>67512</t>
        </is>
      </c>
      <c r="B2174" s="2" t="inlineStr">
        <is>
          <t>Sicredi SNI</t>
        </is>
      </c>
      <c r="C2174" s="2" t="inlineStr">
        <is>
          <t>01/06/2026</t>
        </is>
      </c>
      <c r="D2174" s="2" t="inlineStr">
        <is>
          <t>01/06/2026</t>
        </is>
      </c>
      <c r="E2174" s="2" t="inlineStr">
        <is>
          <t>Dinheiro</t>
        </is>
      </c>
      <c r="F2174" s="2" t="inlineStr">
        <is>
          <t>Boleto "55287" do cliente "ROSIMERE MARTINS DIOGO"</t>
        </is>
      </c>
      <c r="G2174" s="2" t="inlineStr">
        <is>
          <t>system</t>
        </is>
      </c>
      <c r="H2174" s="2" t="inlineStr">
        <is>
          <t>01.01.01 : Mensalidade</t>
        </is>
      </c>
      <c r="I2174" s="3" t="n">
        <v>102.36</v>
      </c>
      <c r="J2174" s="2" t="n"/>
      <c r="K2174" s="2">
        <f>IF(H2174="02.09 : Outras Saídas", IF(OR(ISNUMBER(SEARCH("CHEQUE COMPE SICREDI", F2174)), ISNUMBER(SEARCH("aniversario", F2174)), ISNUMBER(SEARCH("churrasco", F2174)), ISNUMBER(SEARCH("bolo", F2174)), ISNUMBER(SEARCH("SUPERMERCADO", F2174))), "6.1 Despesas Administrativas (Pessoal)", IF(OR(ISNUMBER(SEARCH("DLKNET", F2174)), ISNUMBER(SEARCH("TESTE", F2174))), "6.1 Despesas Administrativas (Gerais)", IFERROR(VLOOKUP(H2174, De_Para!A:B, 2, FALSE), "NÃO MAPEADO"))), IFERROR(VLOOKUP(H2174, De_Para!A:B, 2, FALSE), "NÃO MAPEADO"))</f>
        <v/>
      </c>
    </row>
    <row r="2175">
      <c r="A2175" s="2" t="inlineStr">
        <is>
          <t>67511</t>
        </is>
      </c>
      <c r="B2175" s="2" t="inlineStr">
        <is>
          <t>Sicoob</t>
        </is>
      </c>
      <c r="C2175" s="2" t="inlineStr">
        <is>
          <t>01/06/2026</t>
        </is>
      </c>
      <c r="D2175" s="2" t="inlineStr">
        <is>
          <t>01/06/2026</t>
        </is>
      </c>
      <c r="E2175" s="2" t="inlineStr">
        <is>
          <t>Dinheiro</t>
        </is>
      </c>
      <c r="F2175" s="2" t="inlineStr">
        <is>
          <t>Boleto "66628" do cliente "ELIAS JOSE GOMES"</t>
        </is>
      </c>
      <c r="G2175" s="2" t="inlineStr">
        <is>
          <t>system</t>
        </is>
      </c>
      <c r="H2175" s="2" t="inlineStr">
        <is>
          <t>02.03.02.01 : Cobrança Bancaria</t>
        </is>
      </c>
      <c r="I2175" s="2" t="n"/>
      <c r="J2175" s="3" t="n">
        <v>-0.88</v>
      </c>
      <c r="K2175" s="2">
        <f>IF(H2175="02.09 : Outras Saídas", IF(OR(ISNUMBER(SEARCH("CHEQUE COMPE SICREDI", F2175)), ISNUMBER(SEARCH("aniversario", F2175)), ISNUMBER(SEARCH("churrasco", F2175)), ISNUMBER(SEARCH("bolo", F2175)), ISNUMBER(SEARCH("SUPERMERCADO", F2175))), "6.1 Despesas Administrativas (Pessoal)", IF(OR(ISNUMBER(SEARCH("DLKNET", F2175)), ISNUMBER(SEARCH("TESTE", F2175))), "6.1 Despesas Administrativas (Gerais)", IFERROR(VLOOKUP(H2175, De_Para!A:B, 2, FALSE), "NÃO MAPEADO"))), IFERROR(VLOOKUP(H2175, De_Para!A:B, 2, FALSE), "NÃO MAPEADO"))</f>
        <v/>
      </c>
    </row>
    <row r="2176">
      <c r="A2176" s="2" t="inlineStr">
        <is>
          <t>67510</t>
        </is>
      </c>
      <c r="B2176" s="2" t="inlineStr">
        <is>
          <t>Sicoob</t>
        </is>
      </c>
      <c r="C2176" s="2" t="inlineStr">
        <is>
          <t>01/06/2026</t>
        </is>
      </c>
      <c r="D2176" s="2" t="inlineStr">
        <is>
          <t>01/06/2026</t>
        </is>
      </c>
      <c r="E2176" s="2" t="inlineStr">
        <is>
          <t>Dinheiro</t>
        </is>
      </c>
      <c r="F2176" s="2" t="inlineStr">
        <is>
          <t>Boleto "66628" do cliente "ELIAS JOSE GOMES"</t>
        </is>
      </c>
      <c r="G2176" s="2" t="inlineStr">
        <is>
          <t>system</t>
        </is>
      </c>
      <c r="H2176" s="2" t="inlineStr">
        <is>
          <t>01.01.01 : Mensalidade</t>
        </is>
      </c>
      <c r="I2176" s="3" t="n">
        <v>104.9</v>
      </c>
      <c r="J2176" s="2" t="n"/>
      <c r="K2176" s="2">
        <f>IF(H2176="02.09 : Outras Saídas", IF(OR(ISNUMBER(SEARCH("CHEQUE COMPE SICREDI", F2176)), ISNUMBER(SEARCH("aniversario", F2176)), ISNUMBER(SEARCH("churrasco", F2176)), ISNUMBER(SEARCH("bolo", F2176)), ISNUMBER(SEARCH("SUPERMERCADO", F2176))), "6.1 Despesas Administrativas (Pessoal)", IF(OR(ISNUMBER(SEARCH("DLKNET", F2176)), ISNUMBER(SEARCH("TESTE", F2176))), "6.1 Despesas Administrativas (Gerais)", IFERROR(VLOOKUP(H2176, De_Para!A:B, 2, FALSE), "NÃO MAPEADO"))), IFERROR(VLOOKUP(H2176, De_Para!A:B, 2, FALSE), "NÃO MAPEADO"))</f>
        <v/>
      </c>
    </row>
    <row r="2177">
      <c r="A2177" s="2" t="inlineStr">
        <is>
          <t>67509</t>
        </is>
      </c>
      <c r="B2177" s="2" t="inlineStr">
        <is>
          <t>Sicoob</t>
        </is>
      </c>
      <c r="C2177" s="2" t="inlineStr">
        <is>
          <t>01/06/2026</t>
        </is>
      </c>
      <c r="D2177" s="2" t="inlineStr">
        <is>
          <t>01/06/2026</t>
        </is>
      </c>
      <c r="E2177" s="2" t="inlineStr">
        <is>
          <t>Dinheiro</t>
        </is>
      </c>
      <c r="F2177" s="2" t="inlineStr">
        <is>
          <t>Boleto "66210" do cliente "ADIR MARQUES DE CARVALHO"</t>
        </is>
      </c>
      <c r="G2177" s="2" t="inlineStr">
        <is>
          <t>system</t>
        </is>
      </c>
      <c r="H2177" s="2" t="inlineStr">
        <is>
          <t>02.03.02.01 : Cobrança Bancaria</t>
        </is>
      </c>
      <c r="I2177" s="2" t="n"/>
      <c r="J2177" s="3" t="n">
        <v>-0.88</v>
      </c>
      <c r="K2177" s="2">
        <f>IF(H2177="02.09 : Outras Saídas", IF(OR(ISNUMBER(SEARCH("CHEQUE COMPE SICREDI", F2177)), ISNUMBER(SEARCH("aniversario", F2177)), ISNUMBER(SEARCH("churrasco", F2177)), ISNUMBER(SEARCH("bolo", F2177)), ISNUMBER(SEARCH("SUPERMERCADO", F2177))), "6.1 Despesas Administrativas (Pessoal)", IF(OR(ISNUMBER(SEARCH("DLKNET", F2177)), ISNUMBER(SEARCH("TESTE", F2177))), "6.1 Despesas Administrativas (Gerais)", IFERROR(VLOOKUP(H2177, De_Para!A:B, 2, FALSE), "NÃO MAPEADO"))), IFERROR(VLOOKUP(H2177, De_Para!A:B, 2, FALSE), "NÃO MAPEADO"))</f>
        <v/>
      </c>
    </row>
    <row r="2178">
      <c r="A2178" s="2" t="inlineStr">
        <is>
          <t>67508</t>
        </is>
      </c>
      <c r="B2178" s="2" t="inlineStr">
        <is>
          <t>Sicoob</t>
        </is>
      </c>
      <c r="C2178" s="2" t="inlineStr">
        <is>
          <t>01/06/2026</t>
        </is>
      </c>
      <c r="D2178" s="2" t="inlineStr">
        <is>
          <t>01/06/2026</t>
        </is>
      </c>
      <c r="E2178" s="2" t="inlineStr">
        <is>
          <t>Dinheiro</t>
        </is>
      </c>
      <c r="F2178" s="2" t="inlineStr">
        <is>
          <t>Boleto "66210" do cliente "ADIR MARQUES DE CARVALHO"</t>
        </is>
      </c>
      <c r="G2178" s="2" t="inlineStr">
        <is>
          <t>system</t>
        </is>
      </c>
      <c r="H2178" s="2" t="inlineStr">
        <is>
          <t>01.01.01 : Mensalidade</t>
        </is>
      </c>
      <c r="I2178" s="3" t="n">
        <v>102.22</v>
      </c>
      <c r="J2178" s="2" t="n"/>
      <c r="K2178" s="2">
        <f>IF(H2178="02.09 : Outras Saídas", IF(OR(ISNUMBER(SEARCH("CHEQUE COMPE SICREDI", F2178)), ISNUMBER(SEARCH("aniversario", F2178)), ISNUMBER(SEARCH("churrasco", F2178)), ISNUMBER(SEARCH("bolo", F2178)), ISNUMBER(SEARCH("SUPERMERCADO", F2178))), "6.1 Despesas Administrativas (Pessoal)", IF(OR(ISNUMBER(SEARCH("DLKNET", F2178)), ISNUMBER(SEARCH("TESTE", F2178))), "6.1 Despesas Administrativas (Gerais)", IFERROR(VLOOKUP(H2178, De_Para!A:B, 2, FALSE), "NÃO MAPEADO"))), IFERROR(VLOOKUP(H2178, De_Para!A:B, 2, FALSE), "NÃO MAPEADO"))</f>
        <v/>
      </c>
    </row>
    <row r="2179">
      <c r="A2179" s="2" t="inlineStr">
        <is>
          <t>67507</t>
        </is>
      </c>
      <c r="B2179" s="2" t="inlineStr">
        <is>
          <t>Sicoob</t>
        </is>
      </c>
      <c r="C2179" s="2" t="inlineStr">
        <is>
          <t>01/06/2026</t>
        </is>
      </c>
      <c r="D2179" s="2" t="inlineStr">
        <is>
          <t>01/06/2026</t>
        </is>
      </c>
      <c r="E2179" s="2" t="inlineStr">
        <is>
          <t>Dinheiro</t>
        </is>
      </c>
      <c r="F2179" s="2" t="inlineStr">
        <is>
          <t>Boleto "66105" do cliente "WALDIR MONTEIRO"</t>
        </is>
      </c>
      <c r="G2179" s="2" t="inlineStr">
        <is>
          <t>system</t>
        </is>
      </c>
      <c r="H2179" s="2" t="inlineStr">
        <is>
          <t>02.03.02.01 : Cobrança Bancaria</t>
        </is>
      </c>
      <c r="I2179" s="2" t="n"/>
      <c r="J2179" s="3" t="n">
        <v>-0.88</v>
      </c>
      <c r="K2179" s="2">
        <f>IF(H2179="02.09 : Outras Saídas", IF(OR(ISNUMBER(SEARCH("CHEQUE COMPE SICREDI", F2179)), ISNUMBER(SEARCH("aniversario", F2179)), ISNUMBER(SEARCH("churrasco", F2179)), ISNUMBER(SEARCH("bolo", F2179)), ISNUMBER(SEARCH("SUPERMERCADO", F2179))), "6.1 Despesas Administrativas (Pessoal)", IF(OR(ISNUMBER(SEARCH("DLKNET", F2179)), ISNUMBER(SEARCH("TESTE", F2179))), "6.1 Despesas Administrativas (Gerais)", IFERROR(VLOOKUP(H2179, De_Para!A:B, 2, FALSE), "NÃO MAPEADO"))), IFERROR(VLOOKUP(H2179, De_Para!A:B, 2, FALSE), "NÃO MAPEADO"))</f>
        <v/>
      </c>
    </row>
    <row r="2180">
      <c r="A2180" s="2" t="inlineStr">
        <is>
          <t>67506</t>
        </is>
      </c>
      <c r="B2180" s="2" t="inlineStr">
        <is>
          <t>Sicoob</t>
        </is>
      </c>
      <c r="C2180" s="2" t="inlineStr">
        <is>
          <t>01/06/2026</t>
        </is>
      </c>
      <c r="D2180" s="2" t="inlineStr">
        <is>
          <t>01/06/2026</t>
        </is>
      </c>
      <c r="E2180" s="2" t="inlineStr">
        <is>
          <t>Dinheiro</t>
        </is>
      </c>
      <c r="F2180" s="2" t="inlineStr">
        <is>
          <t>Boleto "66105" do cliente "WALDIR MONTEIRO"</t>
        </is>
      </c>
      <c r="G2180" s="2" t="inlineStr">
        <is>
          <t>system</t>
        </is>
      </c>
      <c r="H2180" s="2" t="inlineStr">
        <is>
          <t>01.01.01 : Mensalidade</t>
        </is>
      </c>
      <c r="I2180" s="3" t="n">
        <v>104.9</v>
      </c>
      <c r="J2180" s="2" t="n"/>
      <c r="K2180" s="2">
        <f>IF(H2180="02.09 : Outras Saídas", IF(OR(ISNUMBER(SEARCH("CHEQUE COMPE SICREDI", F2180)), ISNUMBER(SEARCH("aniversario", F2180)), ISNUMBER(SEARCH("churrasco", F2180)), ISNUMBER(SEARCH("bolo", F2180)), ISNUMBER(SEARCH("SUPERMERCADO", F2180))), "6.1 Despesas Administrativas (Pessoal)", IF(OR(ISNUMBER(SEARCH("DLKNET", F2180)), ISNUMBER(SEARCH("TESTE", F2180))), "6.1 Despesas Administrativas (Gerais)", IFERROR(VLOOKUP(H2180, De_Para!A:B, 2, FALSE), "NÃO MAPEADO"))), IFERROR(VLOOKUP(H2180, De_Para!A:B, 2, FALSE), "NÃO MAPEADO"))</f>
        <v/>
      </c>
    </row>
    <row r="2181">
      <c r="A2181" s="2" t="inlineStr">
        <is>
          <t>67505</t>
        </is>
      </c>
      <c r="B2181" s="2" t="inlineStr">
        <is>
          <t>Sicoob</t>
        </is>
      </c>
      <c r="C2181" s="2" t="inlineStr">
        <is>
          <t>01/06/2026</t>
        </is>
      </c>
      <c r="D2181" s="2" t="inlineStr">
        <is>
          <t>01/06/2026</t>
        </is>
      </c>
      <c r="E2181" s="2" t="inlineStr">
        <is>
          <t>Dinheiro</t>
        </is>
      </c>
      <c r="F2181" s="2" t="inlineStr">
        <is>
          <t>Boleto "66084" do cliente "ELITON FABIO MORFINATE"</t>
        </is>
      </c>
      <c r="G2181" s="2" t="inlineStr">
        <is>
          <t>system</t>
        </is>
      </c>
      <c r="H2181" s="2" t="inlineStr">
        <is>
          <t>02.03.02.01 : Cobrança Bancaria</t>
        </is>
      </c>
      <c r="I2181" s="2" t="n"/>
      <c r="J2181" s="3" t="n">
        <v>-0.88</v>
      </c>
      <c r="K2181" s="2">
        <f>IF(H2181="02.09 : Outras Saídas", IF(OR(ISNUMBER(SEARCH("CHEQUE COMPE SICREDI", F2181)), ISNUMBER(SEARCH("aniversario", F2181)), ISNUMBER(SEARCH("churrasco", F2181)), ISNUMBER(SEARCH("bolo", F2181)), ISNUMBER(SEARCH("SUPERMERCADO", F2181))), "6.1 Despesas Administrativas (Pessoal)", IF(OR(ISNUMBER(SEARCH("DLKNET", F2181)), ISNUMBER(SEARCH("TESTE", F2181))), "6.1 Despesas Administrativas (Gerais)", IFERROR(VLOOKUP(H2181, De_Para!A:B, 2, FALSE), "NÃO MAPEADO"))), IFERROR(VLOOKUP(H2181, De_Para!A:B, 2, FALSE), "NÃO MAPEADO"))</f>
        <v/>
      </c>
    </row>
    <row r="2182">
      <c r="A2182" s="2" t="inlineStr">
        <is>
          <t>67504</t>
        </is>
      </c>
      <c r="B2182" s="2" t="inlineStr">
        <is>
          <t>Sicoob</t>
        </is>
      </c>
      <c r="C2182" s="2" t="inlineStr">
        <is>
          <t>01/06/2026</t>
        </is>
      </c>
      <c r="D2182" s="2" t="inlineStr">
        <is>
          <t>01/06/2026</t>
        </is>
      </c>
      <c r="E2182" s="2" t="inlineStr">
        <is>
          <t>Dinheiro</t>
        </is>
      </c>
      <c r="F2182" s="2" t="inlineStr">
        <is>
          <t>Boleto "66084" do cliente "ELITON FABIO MORFINATE"</t>
        </is>
      </c>
      <c r="G2182" s="2" t="inlineStr">
        <is>
          <t>system</t>
        </is>
      </c>
      <c r="H2182" s="2" t="inlineStr">
        <is>
          <t>01.01.01 : Mensalidade</t>
        </is>
      </c>
      <c r="I2182" s="3" t="n">
        <v>107.51</v>
      </c>
      <c r="J2182" s="2" t="n"/>
      <c r="K2182" s="2">
        <f>IF(H2182="02.09 : Outras Saídas", IF(OR(ISNUMBER(SEARCH("CHEQUE COMPE SICREDI", F2182)), ISNUMBER(SEARCH("aniversario", F2182)), ISNUMBER(SEARCH("churrasco", F2182)), ISNUMBER(SEARCH("bolo", F2182)), ISNUMBER(SEARCH("SUPERMERCADO", F2182))), "6.1 Despesas Administrativas (Pessoal)", IF(OR(ISNUMBER(SEARCH("DLKNET", F2182)), ISNUMBER(SEARCH("TESTE", F2182))), "6.1 Despesas Administrativas (Gerais)", IFERROR(VLOOKUP(H2182, De_Para!A:B, 2, FALSE), "NÃO MAPEADO"))), IFERROR(VLOOKUP(H2182, De_Para!A:B, 2, FALSE), "NÃO MAPEADO"))</f>
        <v/>
      </c>
    </row>
    <row r="2183">
      <c r="A2183" s="2" t="inlineStr">
        <is>
          <t>67503</t>
        </is>
      </c>
      <c r="B2183" s="2" t="inlineStr">
        <is>
          <t>Sicoob</t>
        </is>
      </c>
      <c r="C2183" s="2" t="inlineStr">
        <is>
          <t>01/06/2026</t>
        </is>
      </c>
      <c r="D2183" s="2" t="inlineStr">
        <is>
          <t>01/06/2026</t>
        </is>
      </c>
      <c r="E2183" s="2" t="inlineStr">
        <is>
          <t>Dinheiro</t>
        </is>
      </c>
      <c r="F2183" s="2" t="inlineStr">
        <is>
          <t>Boleto "65404" do cliente "JOSE HUGO BRUNHARI"</t>
        </is>
      </c>
      <c r="G2183" s="2" t="inlineStr">
        <is>
          <t>system</t>
        </is>
      </c>
      <c r="H2183" s="2" t="inlineStr">
        <is>
          <t>02.03.02.01 : Cobrança Bancaria</t>
        </is>
      </c>
      <c r="I2183" s="2" t="n"/>
      <c r="J2183" s="3" t="n">
        <v>-0.88</v>
      </c>
      <c r="K2183" s="2">
        <f>IF(H2183="02.09 : Outras Saídas", IF(OR(ISNUMBER(SEARCH("CHEQUE COMPE SICREDI", F2183)), ISNUMBER(SEARCH("aniversario", F2183)), ISNUMBER(SEARCH("churrasco", F2183)), ISNUMBER(SEARCH("bolo", F2183)), ISNUMBER(SEARCH("SUPERMERCADO", F2183))), "6.1 Despesas Administrativas (Pessoal)", IF(OR(ISNUMBER(SEARCH("DLKNET", F2183)), ISNUMBER(SEARCH("TESTE", F2183))), "6.1 Despesas Administrativas (Gerais)", IFERROR(VLOOKUP(H2183, De_Para!A:B, 2, FALSE), "NÃO MAPEADO"))), IFERROR(VLOOKUP(H2183, De_Para!A:B, 2, FALSE), "NÃO MAPEADO"))</f>
        <v/>
      </c>
    </row>
    <row r="2184">
      <c r="A2184" s="2" t="inlineStr">
        <is>
          <t>67502</t>
        </is>
      </c>
      <c r="B2184" s="2" t="inlineStr">
        <is>
          <t>Sicoob</t>
        </is>
      </c>
      <c r="C2184" s="2" t="inlineStr">
        <is>
          <t>01/06/2026</t>
        </is>
      </c>
      <c r="D2184" s="2" t="inlineStr">
        <is>
          <t>01/06/2026</t>
        </is>
      </c>
      <c r="E2184" s="2" t="inlineStr">
        <is>
          <t>Dinheiro</t>
        </is>
      </c>
      <c r="F2184" s="2" t="inlineStr">
        <is>
          <t>Boleto "65404" do cliente "JOSE HUGO BRUNHARI"</t>
        </is>
      </c>
      <c r="G2184" s="2" t="inlineStr">
        <is>
          <t>system</t>
        </is>
      </c>
      <c r="H2184" s="2" t="inlineStr">
        <is>
          <t>01.01.01 : Mensalidade</t>
        </is>
      </c>
      <c r="I2184" s="3" t="n">
        <v>99.90000000000001</v>
      </c>
      <c r="J2184" s="2" t="n"/>
      <c r="K2184" s="2">
        <f>IF(H2184="02.09 : Outras Saídas", IF(OR(ISNUMBER(SEARCH("CHEQUE COMPE SICREDI", F2184)), ISNUMBER(SEARCH("aniversario", F2184)), ISNUMBER(SEARCH("churrasco", F2184)), ISNUMBER(SEARCH("bolo", F2184)), ISNUMBER(SEARCH("SUPERMERCADO", F2184))), "6.1 Despesas Administrativas (Pessoal)", IF(OR(ISNUMBER(SEARCH("DLKNET", F2184)), ISNUMBER(SEARCH("TESTE", F2184))), "6.1 Despesas Administrativas (Gerais)", IFERROR(VLOOKUP(H2184, De_Para!A:B, 2, FALSE), "NÃO MAPEADO"))), IFERROR(VLOOKUP(H2184, De_Para!A:B, 2, FALSE), "NÃO MAPEADO"))</f>
        <v/>
      </c>
    </row>
    <row r="2185">
      <c r="A2185" s="2" t="inlineStr">
        <is>
          <t>67501</t>
        </is>
      </c>
      <c r="B2185" s="2" t="inlineStr">
        <is>
          <t>Sicoob</t>
        </is>
      </c>
      <c r="C2185" s="2" t="inlineStr">
        <is>
          <t>01/06/2026</t>
        </is>
      </c>
      <c r="D2185" s="2" t="inlineStr">
        <is>
          <t>01/06/2026</t>
        </is>
      </c>
      <c r="E2185" s="2" t="inlineStr">
        <is>
          <t>Dinheiro</t>
        </is>
      </c>
      <c r="F2185" s="2" t="inlineStr">
        <is>
          <t>Boleto "64674" do cliente "ADILSON SILVIO AMBROSIO"</t>
        </is>
      </c>
      <c r="G2185" s="2" t="inlineStr">
        <is>
          <t>system</t>
        </is>
      </c>
      <c r="H2185" s="2" t="inlineStr">
        <is>
          <t>02.03.02.01 : Cobrança Bancaria</t>
        </is>
      </c>
      <c r="I2185" s="2" t="n"/>
      <c r="J2185" s="3" t="n">
        <v>-0.88</v>
      </c>
      <c r="K2185" s="2">
        <f>IF(H2185="02.09 : Outras Saídas", IF(OR(ISNUMBER(SEARCH("CHEQUE COMPE SICREDI", F2185)), ISNUMBER(SEARCH("aniversario", F2185)), ISNUMBER(SEARCH("churrasco", F2185)), ISNUMBER(SEARCH("bolo", F2185)), ISNUMBER(SEARCH("SUPERMERCADO", F2185))), "6.1 Despesas Administrativas (Pessoal)", IF(OR(ISNUMBER(SEARCH("DLKNET", F2185)), ISNUMBER(SEARCH("TESTE", F2185))), "6.1 Despesas Administrativas (Gerais)", IFERROR(VLOOKUP(H2185, De_Para!A:B, 2, FALSE), "NÃO MAPEADO"))), IFERROR(VLOOKUP(H2185, De_Para!A:B, 2, FALSE), "NÃO MAPEADO"))</f>
        <v/>
      </c>
    </row>
    <row r="2186">
      <c r="A2186" s="2" t="inlineStr">
        <is>
          <t>67500</t>
        </is>
      </c>
      <c r="B2186" s="2" t="inlineStr">
        <is>
          <t>Sicoob</t>
        </is>
      </c>
      <c r="C2186" s="2" t="inlineStr">
        <is>
          <t>01/06/2026</t>
        </is>
      </c>
      <c r="D2186" s="2" t="inlineStr">
        <is>
          <t>01/06/2026</t>
        </is>
      </c>
      <c r="E2186" s="2" t="inlineStr">
        <is>
          <t>Dinheiro</t>
        </is>
      </c>
      <c r="F2186" s="2" t="inlineStr">
        <is>
          <t>Boleto "64674" do cliente "ADILSON SILVIO AMBROSIO"</t>
        </is>
      </c>
      <c r="G2186" s="2" t="inlineStr">
        <is>
          <t>system</t>
        </is>
      </c>
      <c r="H2186" s="2" t="inlineStr">
        <is>
          <t>01.01.01 : Mensalidade</t>
        </is>
      </c>
      <c r="I2186" s="3" t="n">
        <v>107.51</v>
      </c>
      <c r="J2186" s="2" t="n"/>
      <c r="K2186" s="2">
        <f>IF(H2186="02.09 : Outras Saídas", IF(OR(ISNUMBER(SEARCH("CHEQUE COMPE SICREDI", F2186)), ISNUMBER(SEARCH("aniversario", F2186)), ISNUMBER(SEARCH("churrasco", F2186)), ISNUMBER(SEARCH("bolo", F2186)), ISNUMBER(SEARCH("SUPERMERCADO", F2186))), "6.1 Despesas Administrativas (Pessoal)", IF(OR(ISNUMBER(SEARCH("DLKNET", F2186)), ISNUMBER(SEARCH("TESTE", F2186))), "6.1 Despesas Administrativas (Gerais)", IFERROR(VLOOKUP(H2186, De_Para!A:B, 2, FALSE), "NÃO MAPEADO"))), IFERROR(VLOOKUP(H2186, De_Para!A:B, 2, FALSE), "NÃO MAPEADO"))</f>
        <v/>
      </c>
    </row>
    <row r="2187">
      <c r="A2187" s="2" t="inlineStr">
        <is>
          <t>67499</t>
        </is>
      </c>
      <c r="B2187" s="2" t="inlineStr">
        <is>
          <t>Sicoob</t>
        </is>
      </c>
      <c r="C2187" s="2" t="inlineStr">
        <is>
          <t>01/06/2026</t>
        </is>
      </c>
      <c r="D2187" s="2" t="inlineStr">
        <is>
          <t>01/06/2026</t>
        </is>
      </c>
      <c r="E2187" s="2" t="inlineStr">
        <is>
          <t>Dinheiro</t>
        </is>
      </c>
      <c r="F2187" s="2" t="inlineStr">
        <is>
          <t>Boleto "63587" do cliente "WILSON SULATO"</t>
        </is>
      </c>
      <c r="G2187" s="2" t="inlineStr">
        <is>
          <t>system</t>
        </is>
      </c>
      <c r="H2187" s="2" t="inlineStr">
        <is>
          <t>02.03.02.01 : Cobrança Bancaria</t>
        </is>
      </c>
      <c r="I2187" s="2" t="n"/>
      <c r="J2187" s="3" t="n">
        <v>-0.88</v>
      </c>
      <c r="K2187" s="2">
        <f>IF(H2187="02.09 : Outras Saídas", IF(OR(ISNUMBER(SEARCH("CHEQUE COMPE SICREDI", F2187)), ISNUMBER(SEARCH("aniversario", F2187)), ISNUMBER(SEARCH("churrasco", F2187)), ISNUMBER(SEARCH("bolo", F2187)), ISNUMBER(SEARCH("SUPERMERCADO", F2187))), "6.1 Despesas Administrativas (Pessoal)", IF(OR(ISNUMBER(SEARCH("DLKNET", F2187)), ISNUMBER(SEARCH("TESTE", F2187))), "6.1 Despesas Administrativas (Gerais)", IFERROR(VLOOKUP(H2187, De_Para!A:B, 2, FALSE), "NÃO MAPEADO"))), IFERROR(VLOOKUP(H2187, De_Para!A:B, 2, FALSE), "NÃO MAPEADO"))</f>
        <v/>
      </c>
    </row>
    <row r="2188">
      <c r="A2188" s="2" t="inlineStr">
        <is>
          <t>67498</t>
        </is>
      </c>
      <c r="B2188" s="2" t="inlineStr">
        <is>
          <t>Sicoob</t>
        </is>
      </c>
      <c r="C2188" s="2" t="inlineStr">
        <is>
          <t>01/06/2026</t>
        </is>
      </c>
      <c r="D2188" s="2" t="inlineStr">
        <is>
          <t>01/06/2026</t>
        </is>
      </c>
      <c r="E2188" s="2" t="inlineStr">
        <is>
          <t>Dinheiro</t>
        </is>
      </c>
      <c r="F2188" s="2" t="inlineStr">
        <is>
          <t>Boleto "63587" do cliente "WILSON SULATO"</t>
        </is>
      </c>
      <c r="G2188" s="2" t="inlineStr">
        <is>
          <t>system</t>
        </is>
      </c>
      <c r="H2188" s="2" t="inlineStr">
        <is>
          <t>01.03.01 : Mensalidade</t>
        </is>
      </c>
      <c r="I2188" s="3" t="n">
        <v>105</v>
      </c>
      <c r="J2188" s="2" t="n"/>
      <c r="K2188" s="2">
        <f>IF(H2188="02.09 : Outras Saídas", IF(OR(ISNUMBER(SEARCH("CHEQUE COMPE SICREDI", F2188)), ISNUMBER(SEARCH("aniversario", F2188)), ISNUMBER(SEARCH("churrasco", F2188)), ISNUMBER(SEARCH("bolo", F2188)), ISNUMBER(SEARCH("SUPERMERCADO", F2188))), "6.1 Despesas Administrativas (Pessoal)", IF(OR(ISNUMBER(SEARCH("DLKNET", F2188)), ISNUMBER(SEARCH("TESTE", F2188))), "6.1 Despesas Administrativas (Gerais)", IFERROR(VLOOKUP(H2188, De_Para!A:B, 2, FALSE), "NÃO MAPEADO"))), IFERROR(VLOOKUP(H2188, De_Para!A:B, 2, FALSE), "NÃO MAPEADO"))</f>
        <v/>
      </c>
    </row>
    <row r="2189">
      <c r="A2189" s="2" t="inlineStr">
        <is>
          <t>67497</t>
        </is>
      </c>
      <c r="B2189" s="2" t="inlineStr">
        <is>
          <t>Sicoob</t>
        </is>
      </c>
      <c r="C2189" s="2" t="inlineStr">
        <is>
          <t>01/06/2026</t>
        </is>
      </c>
      <c r="D2189" s="2" t="inlineStr">
        <is>
          <t>01/06/2026</t>
        </is>
      </c>
      <c r="E2189" s="2" t="inlineStr">
        <is>
          <t>Dinheiro</t>
        </is>
      </c>
      <c r="F2189" s="2" t="inlineStr">
        <is>
          <t>Boleto "61482" do cliente "SEBASTIAO INOCENCIO DE MORAIS"</t>
        </is>
      </c>
      <c r="G2189" s="2" t="inlineStr">
        <is>
          <t>system</t>
        </is>
      </c>
      <c r="H2189" s="2" t="inlineStr">
        <is>
          <t>02.03.02.01 : Cobrança Bancaria</t>
        </is>
      </c>
      <c r="I2189" s="2" t="n"/>
      <c r="J2189" s="3" t="n">
        <v>-0.88</v>
      </c>
      <c r="K2189" s="2">
        <f>IF(H2189="02.09 : Outras Saídas", IF(OR(ISNUMBER(SEARCH("CHEQUE COMPE SICREDI", F2189)), ISNUMBER(SEARCH("aniversario", F2189)), ISNUMBER(SEARCH("churrasco", F2189)), ISNUMBER(SEARCH("bolo", F2189)), ISNUMBER(SEARCH("SUPERMERCADO", F2189))), "6.1 Despesas Administrativas (Pessoal)", IF(OR(ISNUMBER(SEARCH("DLKNET", F2189)), ISNUMBER(SEARCH("TESTE", F2189))), "6.1 Despesas Administrativas (Gerais)", IFERROR(VLOOKUP(H2189, De_Para!A:B, 2, FALSE), "NÃO MAPEADO"))), IFERROR(VLOOKUP(H2189, De_Para!A:B, 2, FALSE), "NÃO MAPEADO"))</f>
        <v/>
      </c>
    </row>
    <row r="2190">
      <c r="A2190" s="2" t="inlineStr">
        <is>
          <t>67496</t>
        </is>
      </c>
      <c r="B2190" s="2" t="inlineStr">
        <is>
          <t>Sicoob</t>
        </is>
      </c>
      <c r="C2190" s="2" t="inlineStr">
        <is>
          <t>01/06/2026</t>
        </is>
      </c>
      <c r="D2190" s="2" t="inlineStr">
        <is>
          <t>01/06/2026</t>
        </is>
      </c>
      <c r="E2190" s="2" t="inlineStr">
        <is>
          <t>Dinheiro</t>
        </is>
      </c>
      <c r="F2190" s="2" t="inlineStr">
        <is>
          <t>Boleto "61482" do cliente "SEBASTIAO INOCENCIO DE MORAIS"</t>
        </is>
      </c>
      <c r="G2190" s="2" t="inlineStr">
        <is>
          <t>system</t>
        </is>
      </c>
      <c r="H2190" s="2" t="inlineStr">
        <is>
          <t>01.01.01 : Mensalidade</t>
        </is>
      </c>
      <c r="I2190" s="3" t="n">
        <v>105</v>
      </c>
      <c r="J2190" s="2" t="n"/>
      <c r="K2190" s="2">
        <f>IF(H2190="02.09 : Outras Saídas", IF(OR(ISNUMBER(SEARCH("CHEQUE COMPE SICREDI", F2190)), ISNUMBER(SEARCH("aniversario", F2190)), ISNUMBER(SEARCH("churrasco", F2190)), ISNUMBER(SEARCH("bolo", F2190)), ISNUMBER(SEARCH("SUPERMERCADO", F2190))), "6.1 Despesas Administrativas (Pessoal)", IF(OR(ISNUMBER(SEARCH("DLKNET", F2190)), ISNUMBER(SEARCH("TESTE", F2190))), "6.1 Despesas Administrativas (Gerais)", IFERROR(VLOOKUP(H2190, De_Para!A:B, 2, FALSE), "NÃO MAPEADO"))), IFERROR(VLOOKUP(H2190, De_Para!A:B, 2, FALSE), "NÃO MAPEADO"))</f>
        <v/>
      </c>
    </row>
    <row r="2191">
      <c r="A2191" s="2" t="inlineStr">
        <is>
          <t>67495</t>
        </is>
      </c>
      <c r="B2191" s="2" t="inlineStr">
        <is>
          <t>Sicoob</t>
        </is>
      </c>
      <c r="C2191" s="2" t="inlineStr">
        <is>
          <t>01/06/2026</t>
        </is>
      </c>
      <c r="D2191" s="2" t="inlineStr">
        <is>
          <t>01/06/2026</t>
        </is>
      </c>
      <c r="E2191" s="2" t="inlineStr">
        <is>
          <t>Dinheiro</t>
        </is>
      </c>
      <c r="F2191" s="2" t="inlineStr">
        <is>
          <t>Boleto "60826" do cliente "ANDERSON LAUREANO DA SILVA"</t>
        </is>
      </c>
      <c r="G2191" s="2" t="inlineStr">
        <is>
          <t>system</t>
        </is>
      </c>
      <c r="H2191" s="2" t="inlineStr">
        <is>
          <t>02.03.02.01 : Cobrança Bancaria</t>
        </is>
      </c>
      <c r="I2191" s="2" t="n"/>
      <c r="J2191" s="3" t="n">
        <v>-0.88</v>
      </c>
      <c r="K2191" s="2">
        <f>IF(H2191="02.09 : Outras Saídas", IF(OR(ISNUMBER(SEARCH("CHEQUE COMPE SICREDI", F2191)), ISNUMBER(SEARCH("aniversario", F2191)), ISNUMBER(SEARCH("churrasco", F2191)), ISNUMBER(SEARCH("bolo", F2191)), ISNUMBER(SEARCH("SUPERMERCADO", F2191))), "6.1 Despesas Administrativas (Pessoal)", IF(OR(ISNUMBER(SEARCH("DLKNET", F2191)), ISNUMBER(SEARCH("TESTE", F2191))), "6.1 Despesas Administrativas (Gerais)", IFERROR(VLOOKUP(H2191, De_Para!A:B, 2, FALSE), "NÃO MAPEADO"))), IFERROR(VLOOKUP(H2191, De_Para!A:B, 2, FALSE), "NÃO MAPEADO"))</f>
        <v/>
      </c>
    </row>
    <row r="2192">
      <c r="A2192" s="2" t="inlineStr">
        <is>
          <t>67494</t>
        </is>
      </c>
      <c r="B2192" s="2" t="inlineStr">
        <is>
          <t>Sicoob</t>
        </is>
      </c>
      <c r="C2192" s="2" t="inlineStr">
        <is>
          <t>01/06/2026</t>
        </is>
      </c>
      <c r="D2192" s="2" t="inlineStr">
        <is>
          <t>01/06/2026</t>
        </is>
      </c>
      <c r="E2192" s="2" t="inlineStr">
        <is>
          <t>Dinheiro</t>
        </is>
      </c>
      <c r="F2192" s="2" t="inlineStr">
        <is>
          <t>Boleto "60826" do cliente "ANDERSON LAUREANO DA SILVA"</t>
        </is>
      </c>
      <c r="G2192" s="2" t="inlineStr">
        <is>
          <t>system</t>
        </is>
      </c>
      <c r="H2192" s="2" t="inlineStr">
        <is>
          <t>01.01.01 : Mensalidade</t>
        </is>
      </c>
      <c r="I2192" s="3" t="n">
        <v>69.90000000000001</v>
      </c>
      <c r="J2192" s="2" t="n"/>
      <c r="K2192" s="2">
        <f>IF(H2192="02.09 : Outras Saídas", IF(OR(ISNUMBER(SEARCH("CHEQUE COMPE SICREDI", F2192)), ISNUMBER(SEARCH("aniversario", F2192)), ISNUMBER(SEARCH("churrasco", F2192)), ISNUMBER(SEARCH("bolo", F2192)), ISNUMBER(SEARCH("SUPERMERCADO", F2192))), "6.1 Despesas Administrativas (Pessoal)", IF(OR(ISNUMBER(SEARCH("DLKNET", F2192)), ISNUMBER(SEARCH("TESTE", F2192))), "6.1 Despesas Administrativas (Gerais)", IFERROR(VLOOKUP(H2192, De_Para!A:B, 2, FALSE), "NÃO MAPEADO"))), IFERROR(VLOOKUP(H2192, De_Para!A:B, 2, FALSE), "NÃO MAPEADO"))</f>
        <v/>
      </c>
    </row>
    <row r="2193">
      <c r="A2193" s="2" t="inlineStr">
        <is>
          <t>67493</t>
        </is>
      </c>
      <c r="B2193" s="2" t="inlineStr">
        <is>
          <t>Sicoob</t>
        </is>
      </c>
      <c r="C2193" s="2" t="inlineStr">
        <is>
          <t>01/06/2026</t>
        </is>
      </c>
      <c r="D2193" s="2" t="inlineStr">
        <is>
          <t>01/06/2026</t>
        </is>
      </c>
      <c r="E2193" s="2" t="inlineStr">
        <is>
          <t>Dinheiro</t>
        </is>
      </c>
      <c r="F2193" s="2" t="inlineStr">
        <is>
          <t>Boleto "59729" do cliente "NALI RIBEIRO DA SILVA VALE"</t>
        </is>
      </c>
      <c r="G2193" s="2" t="inlineStr">
        <is>
          <t>system</t>
        </is>
      </c>
      <c r="H2193" s="2" t="inlineStr">
        <is>
          <t>02.03.02.01 : Cobrança Bancaria</t>
        </is>
      </c>
      <c r="I2193" s="2" t="n"/>
      <c r="J2193" s="3" t="n">
        <v>-0.88</v>
      </c>
      <c r="K2193" s="2">
        <f>IF(H2193="02.09 : Outras Saídas", IF(OR(ISNUMBER(SEARCH("CHEQUE COMPE SICREDI", F2193)), ISNUMBER(SEARCH("aniversario", F2193)), ISNUMBER(SEARCH("churrasco", F2193)), ISNUMBER(SEARCH("bolo", F2193)), ISNUMBER(SEARCH("SUPERMERCADO", F2193))), "6.1 Despesas Administrativas (Pessoal)", IF(OR(ISNUMBER(SEARCH("DLKNET", F2193)), ISNUMBER(SEARCH("TESTE", F2193))), "6.1 Despesas Administrativas (Gerais)", IFERROR(VLOOKUP(H2193, De_Para!A:B, 2, FALSE), "NÃO MAPEADO"))), IFERROR(VLOOKUP(H2193, De_Para!A:B, 2, FALSE), "NÃO MAPEADO"))</f>
        <v/>
      </c>
    </row>
    <row r="2194">
      <c r="A2194" s="2" t="inlineStr">
        <is>
          <t>67492</t>
        </is>
      </c>
      <c r="B2194" s="2" t="inlineStr">
        <is>
          <t>Sicoob</t>
        </is>
      </c>
      <c r="C2194" s="2" t="inlineStr">
        <is>
          <t>01/06/2026</t>
        </is>
      </c>
      <c r="D2194" s="2" t="inlineStr">
        <is>
          <t>01/06/2026</t>
        </is>
      </c>
      <c r="E2194" s="2" t="inlineStr">
        <is>
          <t>Dinheiro</t>
        </is>
      </c>
      <c r="F2194" s="2" t="inlineStr">
        <is>
          <t>Boleto "59729" do cliente "NALI RIBEIRO DA SILVA VALE"</t>
        </is>
      </c>
      <c r="G2194" s="2" t="inlineStr">
        <is>
          <t>system</t>
        </is>
      </c>
      <c r="H2194" s="2" t="inlineStr">
        <is>
          <t>01.01.01 : Mensalidade</t>
        </is>
      </c>
      <c r="I2194" s="3" t="n">
        <v>105</v>
      </c>
      <c r="J2194" s="2" t="n"/>
      <c r="K2194" s="2">
        <f>IF(H2194="02.09 : Outras Saídas", IF(OR(ISNUMBER(SEARCH("CHEQUE COMPE SICREDI", F2194)), ISNUMBER(SEARCH("aniversario", F2194)), ISNUMBER(SEARCH("churrasco", F2194)), ISNUMBER(SEARCH("bolo", F2194)), ISNUMBER(SEARCH("SUPERMERCADO", F2194))), "6.1 Despesas Administrativas (Pessoal)", IF(OR(ISNUMBER(SEARCH("DLKNET", F2194)), ISNUMBER(SEARCH("TESTE", F2194))), "6.1 Despesas Administrativas (Gerais)", IFERROR(VLOOKUP(H2194, De_Para!A:B, 2, FALSE), "NÃO MAPEADO"))), IFERROR(VLOOKUP(H2194, De_Para!A:B, 2, FALSE), "NÃO MAPEADO"))</f>
        <v/>
      </c>
    </row>
    <row r="2195">
      <c r="A2195" s="2" t="inlineStr">
        <is>
          <t>67491</t>
        </is>
      </c>
      <c r="B2195" s="2" t="inlineStr">
        <is>
          <t>Sicoob</t>
        </is>
      </c>
      <c r="C2195" s="2" t="inlineStr">
        <is>
          <t>01/06/2026</t>
        </is>
      </c>
      <c r="D2195" s="2" t="inlineStr">
        <is>
          <t>01/06/2026</t>
        </is>
      </c>
      <c r="E2195" s="2" t="inlineStr">
        <is>
          <t>Dinheiro</t>
        </is>
      </c>
      <c r="F2195" s="2" t="inlineStr">
        <is>
          <t>Boleto "57879" do cliente "DORIVAL TUONO"</t>
        </is>
      </c>
      <c r="G2195" s="2" t="inlineStr">
        <is>
          <t>system</t>
        </is>
      </c>
      <c r="H2195" s="2" t="inlineStr">
        <is>
          <t>02.03.02.01 : Cobrança Bancaria</t>
        </is>
      </c>
      <c r="I2195" s="2" t="n"/>
      <c r="J2195" s="3" t="n">
        <v>-0.88</v>
      </c>
      <c r="K2195" s="2">
        <f>IF(H2195="02.09 : Outras Saídas", IF(OR(ISNUMBER(SEARCH("CHEQUE COMPE SICREDI", F2195)), ISNUMBER(SEARCH("aniversario", F2195)), ISNUMBER(SEARCH("churrasco", F2195)), ISNUMBER(SEARCH("bolo", F2195)), ISNUMBER(SEARCH("SUPERMERCADO", F2195))), "6.1 Despesas Administrativas (Pessoal)", IF(OR(ISNUMBER(SEARCH("DLKNET", F2195)), ISNUMBER(SEARCH("TESTE", F2195))), "6.1 Despesas Administrativas (Gerais)", IFERROR(VLOOKUP(H2195, De_Para!A:B, 2, FALSE), "NÃO MAPEADO"))), IFERROR(VLOOKUP(H2195, De_Para!A:B, 2, FALSE), "NÃO MAPEADO"))</f>
        <v/>
      </c>
    </row>
    <row r="2196">
      <c r="A2196" s="2" t="inlineStr">
        <is>
          <t>67490</t>
        </is>
      </c>
      <c r="B2196" s="2" t="inlineStr">
        <is>
          <t>Sicoob</t>
        </is>
      </c>
      <c r="C2196" s="2" t="inlineStr">
        <is>
          <t>01/06/2026</t>
        </is>
      </c>
      <c r="D2196" s="2" t="inlineStr">
        <is>
          <t>01/06/2026</t>
        </is>
      </c>
      <c r="E2196" s="2" t="inlineStr">
        <is>
          <t>Dinheiro</t>
        </is>
      </c>
      <c r="F2196" s="2" t="inlineStr">
        <is>
          <t>Boleto "57879" do cliente "DORIVAL TUONO"</t>
        </is>
      </c>
      <c r="G2196" s="2" t="inlineStr">
        <is>
          <t>system</t>
        </is>
      </c>
      <c r="H2196" s="2" t="inlineStr">
        <is>
          <t>01.03.01 : Mensalidade</t>
        </is>
      </c>
      <c r="I2196" s="3" t="n">
        <v>105</v>
      </c>
      <c r="J2196" s="2" t="n"/>
      <c r="K2196" s="2">
        <f>IF(H2196="02.09 : Outras Saídas", IF(OR(ISNUMBER(SEARCH("CHEQUE COMPE SICREDI", F2196)), ISNUMBER(SEARCH("aniversario", F2196)), ISNUMBER(SEARCH("churrasco", F2196)), ISNUMBER(SEARCH("bolo", F2196)), ISNUMBER(SEARCH("SUPERMERCADO", F2196))), "6.1 Despesas Administrativas (Pessoal)", IF(OR(ISNUMBER(SEARCH("DLKNET", F2196)), ISNUMBER(SEARCH("TESTE", F2196))), "6.1 Despesas Administrativas (Gerais)", IFERROR(VLOOKUP(H2196, De_Para!A:B, 2, FALSE), "NÃO MAPEADO"))), IFERROR(VLOOKUP(H2196, De_Para!A:B, 2, FALSE), "NÃO MAPEADO"))</f>
        <v/>
      </c>
    </row>
    <row r="2197">
      <c r="A2197" s="2" t="inlineStr">
        <is>
          <t>67489</t>
        </is>
      </c>
      <c r="B2197" s="2" t="inlineStr">
        <is>
          <t>Sicoob</t>
        </is>
      </c>
      <c r="C2197" s="2" t="inlineStr">
        <is>
          <t>01/06/2026</t>
        </is>
      </c>
      <c r="D2197" s="2" t="inlineStr">
        <is>
          <t>01/06/2026</t>
        </is>
      </c>
      <c r="E2197" s="2" t="inlineStr">
        <is>
          <t>Dinheiro</t>
        </is>
      </c>
      <c r="F2197" s="2" t="inlineStr">
        <is>
          <t>Boleto "55255" do cliente "PAULO PAULINO RODRIGUES"</t>
        </is>
      </c>
      <c r="G2197" s="2" t="inlineStr">
        <is>
          <t>system</t>
        </is>
      </c>
      <c r="H2197" s="2" t="inlineStr">
        <is>
          <t>02.03.02.01 : Cobrança Bancaria</t>
        </is>
      </c>
      <c r="I2197" s="2" t="n"/>
      <c r="J2197" s="3" t="n">
        <v>-0.88</v>
      </c>
      <c r="K2197" s="2">
        <f>IF(H2197="02.09 : Outras Saídas", IF(OR(ISNUMBER(SEARCH("CHEQUE COMPE SICREDI", F2197)), ISNUMBER(SEARCH("aniversario", F2197)), ISNUMBER(SEARCH("churrasco", F2197)), ISNUMBER(SEARCH("bolo", F2197)), ISNUMBER(SEARCH("SUPERMERCADO", F2197))), "6.1 Despesas Administrativas (Pessoal)", IF(OR(ISNUMBER(SEARCH("DLKNET", F2197)), ISNUMBER(SEARCH("TESTE", F2197))), "6.1 Despesas Administrativas (Gerais)", IFERROR(VLOOKUP(H2197, De_Para!A:B, 2, FALSE), "NÃO MAPEADO"))), IFERROR(VLOOKUP(H2197, De_Para!A:B, 2, FALSE), "NÃO MAPEADO"))</f>
        <v/>
      </c>
    </row>
    <row r="2198">
      <c r="A2198" s="2" t="inlineStr">
        <is>
          <t>67488</t>
        </is>
      </c>
      <c r="B2198" s="2" t="inlineStr">
        <is>
          <t>Sicoob</t>
        </is>
      </c>
      <c r="C2198" s="2" t="inlineStr">
        <is>
          <t>01/06/2026</t>
        </is>
      </c>
      <c r="D2198" s="2" t="inlineStr">
        <is>
          <t>01/06/2026</t>
        </is>
      </c>
      <c r="E2198" s="2" t="inlineStr">
        <is>
          <t>Dinheiro</t>
        </is>
      </c>
      <c r="F2198" s="2" t="inlineStr">
        <is>
          <t>Boleto "55255" do cliente "PAULO PAULINO RODRIGUES"</t>
        </is>
      </c>
      <c r="G2198" s="2" t="inlineStr">
        <is>
          <t>system</t>
        </is>
      </c>
      <c r="H2198" s="2" t="inlineStr">
        <is>
          <t>01.01.01 : Mensalidade</t>
        </is>
      </c>
      <c r="I2198" s="3" t="n">
        <v>105</v>
      </c>
      <c r="J2198" s="2" t="n"/>
      <c r="K2198" s="2">
        <f>IF(H2198="02.09 : Outras Saídas", IF(OR(ISNUMBER(SEARCH("CHEQUE COMPE SICREDI", F2198)), ISNUMBER(SEARCH("aniversario", F2198)), ISNUMBER(SEARCH("churrasco", F2198)), ISNUMBER(SEARCH("bolo", F2198)), ISNUMBER(SEARCH("SUPERMERCADO", F2198))), "6.1 Despesas Administrativas (Pessoal)", IF(OR(ISNUMBER(SEARCH("DLKNET", F2198)), ISNUMBER(SEARCH("TESTE", F2198))), "6.1 Despesas Administrativas (Gerais)", IFERROR(VLOOKUP(H2198, De_Para!A:B, 2, FALSE), "NÃO MAPEADO"))), IFERROR(VLOOKUP(H2198, De_Para!A:B, 2, FALSE), "NÃO MAPEADO"))</f>
        <v/>
      </c>
    </row>
    <row r="2199">
      <c r="A2199" s="2" t="inlineStr">
        <is>
          <t>67487</t>
        </is>
      </c>
      <c r="B2199" s="2" t="inlineStr">
        <is>
          <t>Sicoob</t>
        </is>
      </c>
      <c r="C2199" s="2" t="inlineStr">
        <is>
          <t>01/06/2026</t>
        </is>
      </c>
      <c r="D2199" s="2" t="inlineStr">
        <is>
          <t>01/06/2026</t>
        </is>
      </c>
      <c r="E2199" s="2" t="inlineStr">
        <is>
          <t>Dinheiro</t>
        </is>
      </c>
      <c r="F2199" s="2" t="inlineStr">
        <is>
          <t>Boleto "55144" do cliente "TIAGO APARECIDO DA SILVA"</t>
        </is>
      </c>
      <c r="G2199" s="2" t="inlineStr">
        <is>
          <t>system</t>
        </is>
      </c>
      <c r="H2199" s="2" t="inlineStr">
        <is>
          <t>02.03.02.01 : Cobrança Bancaria</t>
        </is>
      </c>
      <c r="I2199" s="2" t="n"/>
      <c r="J2199" s="3" t="n">
        <v>-0.88</v>
      </c>
      <c r="K2199" s="2">
        <f>IF(H2199="02.09 : Outras Saídas", IF(OR(ISNUMBER(SEARCH("CHEQUE COMPE SICREDI", F2199)), ISNUMBER(SEARCH("aniversario", F2199)), ISNUMBER(SEARCH("churrasco", F2199)), ISNUMBER(SEARCH("bolo", F2199)), ISNUMBER(SEARCH("SUPERMERCADO", F2199))), "6.1 Despesas Administrativas (Pessoal)", IF(OR(ISNUMBER(SEARCH("DLKNET", F2199)), ISNUMBER(SEARCH("TESTE", F2199))), "6.1 Despesas Administrativas (Gerais)", IFERROR(VLOOKUP(H2199, De_Para!A:B, 2, FALSE), "NÃO MAPEADO"))), IFERROR(VLOOKUP(H2199, De_Para!A:B, 2, FALSE), "NÃO MAPEADO"))</f>
        <v/>
      </c>
    </row>
    <row r="2200">
      <c r="A2200" s="2" t="inlineStr">
        <is>
          <t>67486</t>
        </is>
      </c>
      <c r="B2200" s="2" t="inlineStr">
        <is>
          <t>Sicoob</t>
        </is>
      </c>
      <c r="C2200" s="2" t="inlineStr">
        <is>
          <t>01/06/2026</t>
        </is>
      </c>
      <c r="D2200" s="2" t="inlineStr">
        <is>
          <t>01/06/2026</t>
        </is>
      </c>
      <c r="E2200" s="2" t="inlineStr">
        <is>
          <t>Dinheiro</t>
        </is>
      </c>
      <c r="F2200" s="2" t="inlineStr">
        <is>
          <t>Boleto "55144" do cliente "TIAGO APARECIDO DA SILVA"</t>
        </is>
      </c>
      <c r="G2200" s="2" t="inlineStr">
        <is>
          <t>system</t>
        </is>
      </c>
      <c r="H2200" s="2" t="inlineStr">
        <is>
          <t>01.01.01 : Mensalidade</t>
        </is>
      </c>
      <c r="I2200" s="3" t="n">
        <v>107.27</v>
      </c>
      <c r="J2200" s="2" t="n"/>
      <c r="K2200" s="2">
        <f>IF(H2200="02.09 : Outras Saídas", IF(OR(ISNUMBER(SEARCH("CHEQUE COMPE SICREDI", F2200)), ISNUMBER(SEARCH("aniversario", F2200)), ISNUMBER(SEARCH("churrasco", F2200)), ISNUMBER(SEARCH("bolo", F2200)), ISNUMBER(SEARCH("SUPERMERCADO", F2200))), "6.1 Despesas Administrativas (Pessoal)", IF(OR(ISNUMBER(SEARCH("DLKNET", F2200)), ISNUMBER(SEARCH("TESTE", F2200))), "6.1 Despesas Administrativas (Gerais)", IFERROR(VLOOKUP(H2200, De_Para!A:B, 2, FALSE), "NÃO MAPEADO"))), IFERROR(VLOOKUP(H2200, De_Para!A:B, 2, FALSE), "NÃO MAPEADO"))</f>
        <v/>
      </c>
    </row>
    <row r="2201">
      <c r="A2201" s="2" t="inlineStr">
        <is>
          <t>67485</t>
        </is>
      </c>
      <c r="B2201" s="2" t="inlineStr">
        <is>
          <t>Sicoob</t>
        </is>
      </c>
      <c r="C2201" s="2" t="inlineStr">
        <is>
          <t>01/06/2026</t>
        </is>
      </c>
      <c r="D2201" s="2" t="inlineStr">
        <is>
          <t>01/06/2026</t>
        </is>
      </c>
      <c r="E2201" s="2" t="inlineStr">
        <is>
          <t>Dinheiro</t>
        </is>
      </c>
      <c r="F2201" s="2" t="inlineStr">
        <is>
          <t>Boleto "54931" do cliente "MARIA APARECIDA DE MOURA"</t>
        </is>
      </c>
      <c r="G2201" s="2" t="inlineStr">
        <is>
          <t>system</t>
        </is>
      </c>
      <c r="H2201" s="2" t="inlineStr">
        <is>
          <t>02.03.02.01 : Cobrança Bancaria</t>
        </is>
      </c>
      <c r="I2201" s="2" t="n"/>
      <c r="J2201" s="3" t="n">
        <v>-0.88</v>
      </c>
      <c r="K2201" s="2">
        <f>IF(H2201="02.09 : Outras Saídas", IF(OR(ISNUMBER(SEARCH("CHEQUE COMPE SICREDI", F2201)), ISNUMBER(SEARCH("aniversario", F2201)), ISNUMBER(SEARCH("churrasco", F2201)), ISNUMBER(SEARCH("bolo", F2201)), ISNUMBER(SEARCH("SUPERMERCADO", F2201))), "6.1 Despesas Administrativas (Pessoal)", IF(OR(ISNUMBER(SEARCH("DLKNET", F2201)), ISNUMBER(SEARCH("TESTE", F2201))), "6.1 Despesas Administrativas (Gerais)", IFERROR(VLOOKUP(H2201, De_Para!A:B, 2, FALSE), "NÃO MAPEADO"))), IFERROR(VLOOKUP(H2201, De_Para!A:B, 2, FALSE), "NÃO MAPEADO"))</f>
        <v/>
      </c>
    </row>
    <row r="2202">
      <c r="A2202" s="2" t="inlineStr">
        <is>
          <t>67484</t>
        </is>
      </c>
      <c r="B2202" s="2" t="inlineStr">
        <is>
          <t>Sicoob</t>
        </is>
      </c>
      <c r="C2202" s="2" t="inlineStr">
        <is>
          <t>01/06/2026</t>
        </is>
      </c>
      <c r="D2202" s="2" t="inlineStr">
        <is>
          <t>01/06/2026</t>
        </is>
      </c>
      <c r="E2202" s="2" t="inlineStr">
        <is>
          <t>Dinheiro</t>
        </is>
      </c>
      <c r="F2202" s="2" t="inlineStr">
        <is>
          <t>Boleto "54931" do cliente "MARIA APARECIDA DE MOURA"</t>
        </is>
      </c>
      <c r="G2202" s="2" t="inlineStr">
        <is>
          <t>system</t>
        </is>
      </c>
      <c r="H2202" s="2" t="inlineStr">
        <is>
          <t>01.01.01 : Mensalidade</t>
        </is>
      </c>
      <c r="I2202" s="3" t="n">
        <v>80</v>
      </c>
      <c r="J2202" s="2" t="n"/>
      <c r="K2202" s="2">
        <f>IF(H2202="02.09 : Outras Saídas", IF(OR(ISNUMBER(SEARCH("CHEQUE COMPE SICREDI", F2202)), ISNUMBER(SEARCH("aniversario", F2202)), ISNUMBER(SEARCH("churrasco", F2202)), ISNUMBER(SEARCH("bolo", F2202)), ISNUMBER(SEARCH("SUPERMERCADO", F2202))), "6.1 Despesas Administrativas (Pessoal)", IF(OR(ISNUMBER(SEARCH("DLKNET", F2202)), ISNUMBER(SEARCH("TESTE", F2202))), "6.1 Despesas Administrativas (Gerais)", IFERROR(VLOOKUP(H2202, De_Para!A:B, 2, FALSE), "NÃO MAPEADO"))), IFERROR(VLOOKUP(H2202, De_Para!A:B, 2, FALSE), "NÃO MAPEADO"))</f>
        <v/>
      </c>
    </row>
    <row r="2203">
      <c r="A2203" s="2" t="inlineStr">
        <is>
          <t>67483</t>
        </is>
      </c>
      <c r="B2203" s="2" t="inlineStr">
        <is>
          <t>Sicoob</t>
        </is>
      </c>
      <c r="C2203" s="2" t="inlineStr">
        <is>
          <t>01/06/2026</t>
        </is>
      </c>
      <c r="D2203" s="2" t="inlineStr">
        <is>
          <t>01/06/2026</t>
        </is>
      </c>
      <c r="E2203" s="2" t="inlineStr">
        <is>
          <t>Dinheiro</t>
        </is>
      </c>
      <c r="F2203" s="2" t="inlineStr">
        <is>
          <t>Boleto "54909" do cliente "INGRID DE OLIVEIRA CAMARGO"</t>
        </is>
      </c>
      <c r="G2203" s="2" t="inlineStr">
        <is>
          <t>system</t>
        </is>
      </c>
      <c r="H2203" s="2" t="inlineStr">
        <is>
          <t>02.03.02.01 : Cobrança Bancaria</t>
        </is>
      </c>
      <c r="I2203" s="2" t="n"/>
      <c r="J2203" s="3" t="n">
        <v>-0.88</v>
      </c>
      <c r="K2203" s="2">
        <f>IF(H2203="02.09 : Outras Saídas", IF(OR(ISNUMBER(SEARCH("CHEQUE COMPE SICREDI", F2203)), ISNUMBER(SEARCH("aniversario", F2203)), ISNUMBER(SEARCH("churrasco", F2203)), ISNUMBER(SEARCH("bolo", F2203)), ISNUMBER(SEARCH("SUPERMERCADO", F2203))), "6.1 Despesas Administrativas (Pessoal)", IF(OR(ISNUMBER(SEARCH("DLKNET", F2203)), ISNUMBER(SEARCH("TESTE", F2203))), "6.1 Despesas Administrativas (Gerais)", IFERROR(VLOOKUP(H2203, De_Para!A:B, 2, FALSE), "NÃO MAPEADO"))), IFERROR(VLOOKUP(H2203, De_Para!A:B, 2, FALSE), "NÃO MAPEADO"))</f>
        <v/>
      </c>
    </row>
    <row r="2204">
      <c r="A2204" s="2" t="inlineStr">
        <is>
          <t>67482</t>
        </is>
      </c>
      <c r="B2204" s="2" t="inlineStr">
        <is>
          <t>Sicoob</t>
        </is>
      </c>
      <c r="C2204" s="2" t="inlineStr">
        <is>
          <t>01/06/2026</t>
        </is>
      </c>
      <c r="D2204" s="2" t="inlineStr">
        <is>
          <t>01/06/2026</t>
        </is>
      </c>
      <c r="E2204" s="2" t="inlineStr">
        <is>
          <t>Dinheiro</t>
        </is>
      </c>
      <c r="F2204" s="2" t="inlineStr">
        <is>
          <t>Boleto "54909" do cliente "INGRID DE OLIVEIRA CAMARGO"</t>
        </is>
      </c>
      <c r="G2204" s="2" t="inlineStr">
        <is>
          <t>system</t>
        </is>
      </c>
      <c r="H2204" s="2" t="inlineStr">
        <is>
          <t>01.01.01 : Mensalidade</t>
        </is>
      </c>
      <c r="I2204" s="3" t="n">
        <v>105</v>
      </c>
      <c r="J2204" s="2" t="n"/>
      <c r="K2204" s="2">
        <f>IF(H2204="02.09 : Outras Saídas", IF(OR(ISNUMBER(SEARCH("CHEQUE COMPE SICREDI", F2204)), ISNUMBER(SEARCH("aniversario", F2204)), ISNUMBER(SEARCH("churrasco", F2204)), ISNUMBER(SEARCH("bolo", F2204)), ISNUMBER(SEARCH("SUPERMERCADO", F2204))), "6.1 Despesas Administrativas (Pessoal)", IF(OR(ISNUMBER(SEARCH("DLKNET", F2204)), ISNUMBER(SEARCH("TESTE", F2204))), "6.1 Despesas Administrativas (Gerais)", IFERROR(VLOOKUP(H2204, De_Para!A:B, 2, FALSE), "NÃO MAPEADO"))), IFERROR(VLOOKUP(H2204, De_Para!A:B, 2, FALSE), "NÃO MAPEADO"))</f>
        <v/>
      </c>
    </row>
    <row r="2205">
      <c r="A2205" s="2" t="inlineStr">
        <is>
          <t>67481</t>
        </is>
      </c>
      <c r="B2205" s="2" t="inlineStr">
        <is>
          <t>Sicoob</t>
        </is>
      </c>
      <c r="C2205" s="2" t="inlineStr">
        <is>
          <t>01/06/2026</t>
        </is>
      </c>
      <c r="D2205" s="2" t="inlineStr">
        <is>
          <t>01/06/2026</t>
        </is>
      </c>
      <c r="E2205" s="2" t="inlineStr">
        <is>
          <t>Dinheiro</t>
        </is>
      </c>
      <c r="F2205" s="2" t="inlineStr">
        <is>
          <t>Boleto "54419" do cliente "MAURO VITTURI"</t>
        </is>
      </c>
      <c r="G2205" s="2" t="inlineStr">
        <is>
          <t>system</t>
        </is>
      </c>
      <c r="H2205" s="2" t="inlineStr">
        <is>
          <t>02.03.02.01 : Cobrança Bancaria</t>
        </is>
      </c>
      <c r="I2205" s="2" t="n"/>
      <c r="J2205" s="3" t="n">
        <v>-0.88</v>
      </c>
      <c r="K2205" s="2">
        <f>IF(H2205="02.09 : Outras Saídas", IF(OR(ISNUMBER(SEARCH("CHEQUE COMPE SICREDI", F2205)), ISNUMBER(SEARCH("aniversario", F2205)), ISNUMBER(SEARCH("churrasco", F2205)), ISNUMBER(SEARCH("bolo", F2205)), ISNUMBER(SEARCH("SUPERMERCADO", F2205))), "6.1 Despesas Administrativas (Pessoal)", IF(OR(ISNUMBER(SEARCH("DLKNET", F2205)), ISNUMBER(SEARCH("TESTE", F2205))), "6.1 Despesas Administrativas (Gerais)", IFERROR(VLOOKUP(H2205, De_Para!A:B, 2, FALSE), "NÃO MAPEADO"))), IFERROR(VLOOKUP(H2205, De_Para!A:B, 2, FALSE), "NÃO MAPEADO"))</f>
        <v/>
      </c>
    </row>
    <row r="2206">
      <c r="A2206" s="2" t="inlineStr">
        <is>
          <t>67480</t>
        </is>
      </c>
      <c r="B2206" s="2" t="inlineStr">
        <is>
          <t>Sicoob</t>
        </is>
      </c>
      <c r="C2206" s="2" t="inlineStr">
        <is>
          <t>01/06/2026</t>
        </is>
      </c>
      <c r="D2206" s="2" t="inlineStr">
        <is>
          <t>01/06/2026</t>
        </is>
      </c>
      <c r="E2206" s="2" t="inlineStr">
        <is>
          <t>Dinheiro</t>
        </is>
      </c>
      <c r="F2206" s="2" t="inlineStr">
        <is>
          <t>Boleto "54419" do cliente "MAURO VITTURI"</t>
        </is>
      </c>
      <c r="G2206" s="2" t="inlineStr">
        <is>
          <t>system</t>
        </is>
      </c>
      <c r="H2206" s="2" t="inlineStr">
        <is>
          <t>01.01.01 : Mensalidade</t>
        </is>
      </c>
      <c r="I2206" s="3" t="n">
        <v>107.34</v>
      </c>
      <c r="J2206" s="2" t="n"/>
      <c r="K2206" s="2">
        <f>IF(H2206="02.09 : Outras Saídas", IF(OR(ISNUMBER(SEARCH("CHEQUE COMPE SICREDI", F2206)), ISNUMBER(SEARCH("aniversario", F2206)), ISNUMBER(SEARCH("churrasco", F2206)), ISNUMBER(SEARCH("bolo", F2206)), ISNUMBER(SEARCH("SUPERMERCADO", F2206))), "6.1 Despesas Administrativas (Pessoal)", IF(OR(ISNUMBER(SEARCH("DLKNET", F2206)), ISNUMBER(SEARCH("TESTE", F2206))), "6.1 Despesas Administrativas (Gerais)", IFERROR(VLOOKUP(H2206, De_Para!A:B, 2, FALSE), "NÃO MAPEADO"))), IFERROR(VLOOKUP(H2206, De_Para!A:B, 2, FALSE), "NÃO MAPEADO"))</f>
        <v/>
      </c>
    </row>
    <row r="2207">
      <c r="A2207" s="2" t="inlineStr">
        <is>
          <t>67479</t>
        </is>
      </c>
      <c r="B2207" s="2" t="inlineStr">
        <is>
          <t>Sicoob</t>
        </is>
      </c>
      <c r="C2207" s="2" t="inlineStr">
        <is>
          <t>01/06/2026</t>
        </is>
      </c>
      <c r="D2207" s="2" t="inlineStr">
        <is>
          <t>01/06/2026</t>
        </is>
      </c>
      <c r="E2207" s="2" t="inlineStr">
        <is>
          <t>Dinheiro</t>
        </is>
      </c>
      <c r="F2207" s="2" t="inlineStr">
        <is>
          <t>Boleto "54083" do cliente "RUTE NILCEIA DOS SANTOS"</t>
        </is>
      </c>
      <c r="G2207" s="2" t="inlineStr">
        <is>
          <t>system</t>
        </is>
      </c>
      <c r="H2207" s="2" t="inlineStr">
        <is>
          <t>02.03.02.01 : Cobrança Bancaria</t>
        </is>
      </c>
      <c r="I2207" s="2" t="n"/>
      <c r="J2207" s="3" t="n">
        <v>-0.88</v>
      </c>
      <c r="K2207" s="2">
        <f>IF(H2207="02.09 : Outras Saídas", IF(OR(ISNUMBER(SEARCH("CHEQUE COMPE SICREDI", F2207)), ISNUMBER(SEARCH("aniversario", F2207)), ISNUMBER(SEARCH("churrasco", F2207)), ISNUMBER(SEARCH("bolo", F2207)), ISNUMBER(SEARCH("SUPERMERCADO", F2207))), "6.1 Despesas Administrativas (Pessoal)", IF(OR(ISNUMBER(SEARCH("DLKNET", F2207)), ISNUMBER(SEARCH("TESTE", F2207))), "6.1 Despesas Administrativas (Gerais)", IFERROR(VLOOKUP(H2207, De_Para!A:B, 2, FALSE), "NÃO MAPEADO"))), IFERROR(VLOOKUP(H2207, De_Para!A:B, 2, FALSE), "NÃO MAPEADO"))</f>
        <v/>
      </c>
    </row>
    <row r="2208">
      <c r="A2208" s="2" t="inlineStr">
        <is>
          <t>67478</t>
        </is>
      </c>
      <c r="B2208" s="2" t="inlineStr">
        <is>
          <t>Sicoob</t>
        </is>
      </c>
      <c r="C2208" s="2" t="inlineStr">
        <is>
          <t>01/06/2026</t>
        </is>
      </c>
      <c r="D2208" s="2" t="inlineStr">
        <is>
          <t>01/06/2026</t>
        </is>
      </c>
      <c r="E2208" s="2" t="inlineStr">
        <is>
          <t>Dinheiro</t>
        </is>
      </c>
      <c r="F2208" s="2" t="inlineStr">
        <is>
          <t>Boleto "54083" do cliente "RUTE NILCEIA DOS SANTOS"</t>
        </is>
      </c>
      <c r="G2208" s="2" t="inlineStr">
        <is>
          <t>system</t>
        </is>
      </c>
      <c r="H2208" s="2" t="inlineStr">
        <is>
          <t>01.01.01 : Mensalidade</t>
        </is>
      </c>
      <c r="I2208" s="3" t="n">
        <v>81.86</v>
      </c>
      <c r="J2208" s="2" t="n"/>
      <c r="K2208" s="2">
        <f>IF(H2208="02.09 : Outras Saídas", IF(OR(ISNUMBER(SEARCH("CHEQUE COMPE SICREDI", F2208)), ISNUMBER(SEARCH("aniversario", F2208)), ISNUMBER(SEARCH("churrasco", F2208)), ISNUMBER(SEARCH("bolo", F2208)), ISNUMBER(SEARCH("SUPERMERCADO", F2208))), "6.1 Despesas Administrativas (Pessoal)", IF(OR(ISNUMBER(SEARCH("DLKNET", F2208)), ISNUMBER(SEARCH("TESTE", F2208))), "6.1 Despesas Administrativas (Gerais)", IFERROR(VLOOKUP(H2208, De_Para!A:B, 2, FALSE), "NÃO MAPEADO"))), IFERROR(VLOOKUP(H2208, De_Para!A:B, 2, FALSE), "NÃO MAPEADO"))</f>
        <v/>
      </c>
    </row>
    <row r="2209">
      <c r="A2209" s="2" t="inlineStr">
        <is>
          <t>67477</t>
        </is>
      </c>
      <c r="B2209" s="2" t="inlineStr">
        <is>
          <t>Sicredi SNI</t>
        </is>
      </c>
      <c r="C2209" s="2" t="inlineStr">
        <is>
          <t>01/06/2026</t>
        </is>
      </c>
      <c r="D2209" s="2" t="inlineStr">
        <is>
          <t>01/06/2026</t>
        </is>
      </c>
      <c r="E2209" s="2" t="inlineStr">
        <is>
          <t>PIX</t>
        </is>
      </c>
      <c r="F2209" s="2" t="inlineStr">
        <is>
          <t>Boleto "63096" do cliente "MARIA APARECIDA BREKE BONDARYK"</t>
        </is>
      </c>
      <c r="G2209" s="2" t="inlineStr">
        <is>
          <t>system</t>
        </is>
      </c>
      <c r="H2209" s="2" t="inlineStr">
        <is>
          <t>02.03.02.01 : Cobrança Bancaria</t>
        </is>
      </c>
      <c r="I2209" s="2" t="n"/>
      <c r="J2209" s="3" t="n">
        <v>-0.49</v>
      </c>
      <c r="K2209" s="2">
        <f>IF(H2209="02.09 : Outras Saídas", IF(OR(ISNUMBER(SEARCH("CHEQUE COMPE SICREDI", F2209)), ISNUMBER(SEARCH("aniversario", F2209)), ISNUMBER(SEARCH("churrasco", F2209)), ISNUMBER(SEARCH("bolo", F2209)), ISNUMBER(SEARCH("SUPERMERCADO", F2209))), "6.1 Despesas Administrativas (Pessoal)", IF(OR(ISNUMBER(SEARCH("DLKNET", F2209)), ISNUMBER(SEARCH("TESTE", F2209))), "6.1 Despesas Administrativas (Gerais)", IFERROR(VLOOKUP(H2209, De_Para!A:B, 2, FALSE), "NÃO MAPEADO"))), IFERROR(VLOOKUP(H2209, De_Para!A:B, 2, FALSE), "NÃO MAPEADO"))</f>
        <v/>
      </c>
    </row>
    <row r="2210">
      <c r="A2210" s="2" t="inlineStr">
        <is>
          <t>67476</t>
        </is>
      </c>
      <c r="B2210" s="2" t="inlineStr">
        <is>
          <t>Sicredi SNI</t>
        </is>
      </c>
      <c r="C2210" s="2" t="inlineStr">
        <is>
          <t>01/06/2026</t>
        </is>
      </c>
      <c r="D2210" s="2" t="inlineStr">
        <is>
          <t>01/06/2026</t>
        </is>
      </c>
      <c r="E2210" s="2" t="inlineStr">
        <is>
          <t>PIX</t>
        </is>
      </c>
      <c r="F2210" s="2" t="inlineStr">
        <is>
          <t>Boleto "63096" do cliente "MARIA APARECIDA BREKE BONDARYK"</t>
        </is>
      </c>
      <c r="G2210" s="2" t="inlineStr">
        <is>
          <t>system</t>
        </is>
      </c>
      <c r="H2210" s="2" t="inlineStr">
        <is>
          <t>01.01.01 : Mensalidade</t>
        </is>
      </c>
      <c r="I2210" s="3" t="n">
        <v>104.9</v>
      </c>
      <c r="J2210" s="2" t="n"/>
      <c r="K2210" s="2">
        <f>IF(H2210="02.09 : Outras Saídas", IF(OR(ISNUMBER(SEARCH("CHEQUE COMPE SICREDI", F2210)), ISNUMBER(SEARCH("aniversario", F2210)), ISNUMBER(SEARCH("churrasco", F2210)), ISNUMBER(SEARCH("bolo", F2210)), ISNUMBER(SEARCH("SUPERMERCADO", F2210))), "6.1 Despesas Administrativas (Pessoal)", IF(OR(ISNUMBER(SEARCH("DLKNET", F2210)), ISNUMBER(SEARCH("TESTE", F2210))), "6.1 Despesas Administrativas (Gerais)", IFERROR(VLOOKUP(H2210, De_Para!A:B, 2, FALSE), "NÃO MAPEADO"))), IFERROR(VLOOKUP(H2210, De_Para!A:B, 2, FALSE), "NÃO MAPEADO"))</f>
        <v/>
      </c>
    </row>
    <row r="2211">
      <c r="A2211" s="2" t="inlineStr">
        <is>
          <t>67475</t>
        </is>
      </c>
      <c r="B2211" s="2" t="inlineStr">
        <is>
          <t>Sicredi SNI</t>
        </is>
      </c>
      <c r="C2211" s="2" t="inlineStr">
        <is>
          <t>01/06/2026</t>
        </is>
      </c>
      <c r="D2211" s="2" t="inlineStr">
        <is>
          <t>01/06/2026</t>
        </is>
      </c>
      <c r="E2211" s="2" t="inlineStr">
        <is>
          <t>PIX</t>
        </is>
      </c>
      <c r="F2211" s="2" t="inlineStr">
        <is>
          <t>Boleto "55354" do cliente "MARCOS STEVAN"</t>
        </is>
      </c>
      <c r="G2211" s="2" t="inlineStr">
        <is>
          <t>system</t>
        </is>
      </c>
      <c r="H2211" s="2" t="inlineStr">
        <is>
          <t>02.03.02.01 : Cobrança Bancaria</t>
        </is>
      </c>
      <c r="I2211" s="2" t="n"/>
      <c r="J2211" s="3" t="n">
        <v>-0.49</v>
      </c>
      <c r="K2211" s="2">
        <f>IF(H2211="02.09 : Outras Saídas", IF(OR(ISNUMBER(SEARCH("CHEQUE COMPE SICREDI", F2211)), ISNUMBER(SEARCH("aniversario", F2211)), ISNUMBER(SEARCH("churrasco", F2211)), ISNUMBER(SEARCH("bolo", F2211)), ISNUMBER(SEARCH("SUPERMERCADO", F2211))), "6.1 Despesas Administrativas (Pessoal)", IF(OR(ISNUMBER(SEARCH("DLKNET", F2211)), ISNUMBER(SEARCH("TESTE", F2211))), "6.1 Despesas Administrativas (Gerais)", IFERROR(VLOOKUP(H2211, De_Para!A:B, 2, FALSE), "NÃO MAPEADO"))), IFERROR(VLOOKUP(H2211, De_Para!A:B, 2, FALSE), "NÃO MAPEADO"))</f>
        <v/>
      </c>
    </row>
    <row r="2212">
      <c r="A2212" s="2" t="inlineStr">
        <is>
          <t>67474</t>
        </is>
      </c>
      <c r="B2212" s="2" t="inlineStr">
        <is>
          <t>Sicredi SNI</t>
        </is>
      </c>
      <c r="C2212" s="2" t="inlineStr">
        <is>
          <t>01/06/2026</t>
        </is>
      </c>
      <c r="D2212" s="2" t="inlineStr">
        <is>
          <t>01/06/2026</t>
        </is>
      </c>
      <c r="E2212" s="2" t="inlineStr">
        <is>
          <t>PIX</t>
        </is>
      </c>
      <c r="F2212" s="2" t="inlineStr">
        <is>
          <t>Boleto "55354" do cliente "MARCOS STEVAN"</t>
        </is>
      </c>
      <c r="G2212" s="2" t="inlineStr">
        <is>
          <t>system</t>
        </is>
      </c>
      <c r="H2212" s="2" t="inlineStr">
        <is>
          <t>01.01.01 : Mensalidade</t>
        </is>
      </c>
      <c r="I2212" s="3" t="n">
        <v>105</v>
      </c>
      <c r="J2212" s="2" t="n"/>
      <c r="K2212" s="2">
        <f>IF(H2212="02.09 : Outras Saídas", IF(OR(ISNUMBER(SEARCH("CHEQUE COMPE SICREDI", F2212)), ISNUMBER(SEARCH("aniversario", F2212)), ISNUMBER(SEARCH("churrasco", F2212)), ISNUMBER(SEARCH("bolo", F2212)), ISNUMBER(SEARCH("SUPERMERCADO", F2212))), "6.1 Despesas Administrativas (Pessoal)", IF(OR(ISNUMBER(SEARCH("DLKNET", F2212)), ISNUMBER(SEARCH("TESTE", F2212))), "6.1 Despesas Administrativas (Gerais)", IFERROR(VLOOKUP(H2212, De_Para!A:B, 2, FALSE), "NÃO MAPEADO"))), IFERROR(VLOOKUP(H2212, De_Para!A:B, 2, FALSE), "NÃO MAPEADO"))</f>
        <v/>
      </c>
    </row>
    <row r="2213">
      <c r="A2213" s="2" t="inlineStr">
        <is>
          <t>67473</t>
        </is>
      </c>
      <c r="B2213" s="2" t="inlineStr">
        <is>
          <t>Sicredi SNI</t>
        </is>
      </c>
      <c r="C2213" s="2" t="inlineStr">
        <is>
          <t>01/06/2026</t>
        </is>
      </c>
      <c r="D2213" s="2" t="inlineStr">
        <is>
          <t>01/06/2026</t>
        </is>
      </c>
      <c r="E2213" s="2" t="inlineStr">
        <is>
          <t>PIX</t>
        </is>
      </c>
      <c r="F2213" s="2" t="inlineStr">
        <is>
          <t>Boleto "55878" do cliente "ANDREA BAGATIN PRIOLI DE MATOS"</t>
        </is>
      </c>
      <c r="G2213" s="2" t="inlineStr">
        <is>
          <t>system</t>
        </is>
      </c>
      <c r="H2213" s="2" t="inlineStr">
        <is>
          <t>02.03.02.01 : Cobrança Bancaria</t>
        </is>
      </c>
      <c r="I2213" s="2" t="n"/>
      <c r="J2213" s="3" t="n">
        <v>-0.49</v>
      </c>
      <c r="K2213" s="2">
        <f>IF(H2213="02.09 : Outras Saídas", IF(OR(ISNUMBER(SEARCH("CHEQUE COMPE SICREDI", F2213)), ISNUMBER(SEARCH("aniversario", F2213)), ISNUMBER(SEARCH("churrasco", F2213)), ISNUMBER(SEARCH("bolo", F2213)), ISNUMBER(SEARCH("SUPERMERCADO", F2213))), "6.1 Despesas Administrativas (Pessoal)", IF(OR(ISNUMBER(SEARCH("DLKNET", F2213)), ISNUMBER(SEARCH("TESTE", F2213))), "6.1 Despesas Administrativas (Gerais)", IFERROR(VLOOKUP(H2213, De_Para!A:B, 2, FALSE), "NÃO MAPEADO"))), IFERROR(VLOOKUP(H2213, De_Para!A:B, 2, FALSE), "NÃO MAPEADO"))</f>
        <v/>
      </c>
    </row>
    <row r="2214">
      <c r="A2214" s="2" t="inlineStr">
        <is>
          <t>67472</t>
        </is>
      </c>
      <c r="B2214" s="2" t="inlineStr">
        <is>
          <t>Sicredi SNI</t>
        </is>
      </c>
      <c r="C2214" s="2" t="inlineStr">
        <is>
          <t>01/06/2026</t>
        </is>
      </c>
      <c r="D2214" s="2" t="inlineStr">
        <is>
          <t>01/06/2026</t>
        </is>
      </c>
      <c r="E2214" s="2" t="inlineStr">
        <is>
          <t>PIX</t>
        </is>
      </c>
      <c r="F2214" s="2" t="inlineStr">
        <is>
          <t>Boleto "55878" do cliente "ANDREA BAGATIN PRIOLI DE MATOS"</t>
        </is>
      </c>
      <c r="G2214" s="2" t="inlineStr">
        <is>
          <t>system</t>
        </is>
      </c>
      <c r="H2214" s="2" t="inlineStr">
        <is>
          <t>01.01.01 : Mensalidade</t>
        </is>
      </c>
      <c r="I2214" s="3" t="n">
        <v>105</v>
      </c>
      <c r="J2214" s="2" t="n"/>
      <c r="K2214" s="2">
        <f>IF(H2214="02.09 : Outras Saídas", IF(OR(ISNUMBER(SEARCH("CHEQUE COMPE SICREDI", F2214)), ISNUMBER(SEARCH("aniversario", F2214)), ISNUMBER(SEARCH("churrasco", F2214)), ISNUMBER(SEARCH("bolo", F2214)), ISNUMBER(SEARCH("SUPERMERCADO", F2214))), "6.1 Despesas Administrativas (Pessoal)", IF(OR(ISNUMBER(SEARCH("DLKNET", F2214)), ISNUMBER(SEARCH("TESTE", F2214))), "6.1 Despesas Administrativas (Gerais)", IFERROR(VLOOKUP(H2214, De_Para!A:B, 2, FALSE), "NÃO MAPEADO"))), IFERROR(VLOOKUP(H2214, De_Para!A:B, 2, FALSE), "NÃO MAPEADO"))</f>
        <v/>
      </c>
    </row>
    <row r="2215">
      <c r="A2215" s="2" t="inlineStr">
        <is>
          <t>67471</t>
        </is>
      </c>
      <c r="B2215" s="2" t="inlineStr">
        <is>
          <t>Sicredi SNI</t>
        </is>
      </c>
      <c r="C2215" s="2" t="inlineStr">
        <is>
          <t>01/06/2026</t>
        </is>
      </c>
      <c r="D2215" s="2" t="inlineStr">
        <is>
          <t>01/06/2026</t>
        </is>
      </c>
      <c r="E2215" s="2" t="inlineStr">
        <is>
          <t>Dinheiro</t>
        </is>
      </c>
      <c r="F2215" s="2" t="inlineStr">
        <is>
          <t>Boleto "55342" do cliente "REINALDO RAMOS DE ALMEIDA"</t>
        </is>
      </c>
      <c r="G2215" s="2" t="inlineStr">
        <is>
          <t>system</t>
        </is>
      </c>
      <c r="H2215" s="2" t="inlineStr">
        <is>
          <t>02.03.02.01 : Cobrança Bancaria</t>
        </is>
      </c>
      <c r="I2215" s="2" t="n"/>
      <c r="J2215" s="3" t="n">
        <v>-1.08</v>
      </c>
      <c r="K2215" s="2">
        <f>IF(H2215="02.09 : Outras Saídas", IF(OR(ISNUMBER(SEARCH("CHEQUE COMPE SICREDI", F2215)), ISNUMBER(SEARCH("aniversario", F2215)), ISNUMBER(SEARCH("churrasco", F2215)), ISNUMBER(SEARCH("bolo", F2215)), ISNUMBER(SEARCH("SUPERMERCADO", F2215))), "6.1 Despesas Administrativas (Pessoal)", IF(OR(ISNUMBER(SEARCH("DLKNET", F2215)), ISNUMBER(SEARCH("TESTE", F2215))), "6.1 Despesas Administrativas (Gerais)", IFERROR(VLOOKUP(H2215, De_Para!A:B, 2, FALSE), "NÃO MAPEADO"))), IFERROR(VLOOKUP(H2215, De_Para!A:B, 2, FALSE), "NÃO MAPEADO"))</f>
        <v/>
      </c>
    </row>
    <row r="2216">
      <c r="A2216" s="2" t="inlineStr">
        <is>
          <t>67470</t>
        </is>
      </c>
      <c r="B2216" s="2" t="inlineStr">
        <is>
          <t>Sicredi SNI</t>
        </is>
      </c>
      <c r="C2216" s="2" t="inlineStr">
        <is>
          <t>01/06/2026</t>
        </is>
      </c>
      <c r="D2216" s="2" t="inlineStr">
        <is>
          <t>01/06/2026</t>
        </is>
      </c>
      <c r="E2216" s="2" t="inlineStr">
        <is>
          <t>Dinheiro</t>
        </is>
      </c>
      <c r="F2216" s="2" t="inlineStr">
        <is>
          <t>Boleto "55342" do cliente "REINALDO RAMOS DE ALMEIDA"</t>
        </is>
      </c>
      <c r="G2216" s="2" t="inlineStr">
        <is>
          <t>system</t>
        </is>
      </c>
      <c r="H2216" s="2" t="inlineStr">
        <is>
          <t>01.01.01 : Mensalidade</t>
        </is>
      </c>
      <c r="I2216" s="3" t="n">
        <v>84</v>
      </c>
      <c r="J2216" s="2" t="n"/>
      <c r="K2216" s="2">
        <f>IF(H2216="02.09 : Outras Saídas", IF(OR(ISNUMBER(SEARCH("CHEQUE COMPE SICREDI", F2216)), ISNUMBER(SEARCH("aniversario", F2216)), ISNUMBER(SEARCH("churrasco", F2216)), ISNUMBER(SEARCH("bolo", F2216)), ISNUMBER(SEARCH("SUPERMERCADO", F2216))), "6.1 Despesas Administrativas (Pessoal)", IF(OR(ISNUMBER(SEARCH("DLKNET", F2216)), ISNUMBER(SEARCH("TESTE", F2216))), "6.1 Despesas Administrativas (Gerais)", IFERROR(VLOOKUP(H2216, De_Para!A:B, 2, FALSE), "NÃO MAPEADO"))), IFERROR(VLOOKUP(H2216, De_Para!A:B, 2, FALSE), "NÃO MAPEADO"))</f>
        <v/>
      </c>
    </row>
    <row r="2217">
      <c r="A2217" s="2" t="inlineStr">
        <is>
          <t>67469</t>
        </is>
      </c>
      <c r="B2217" s="2" t="inlineStr">
        <is>
          <t>Sicredi SNI</t>
        </is>
      </c>
      <c r="C2217" s="2" t="inlineStr">
        <is>
          <t>01/06/2026</t>
        </is>
      </c>
      <c r="D2217" s="2" t="inlineStr">
        <is>
          <t>01/06/2026</t>
        </is>
      </c>
      <c r="E2217" s="2" t="inlineStr">
        <is>
          <t>Dinheiro</t>
        </is>
      </c>
      <c r="F2217" s="2" t="inlineStr">
        <is>
          <t>Boleto "54190" do cliente "JOSE DJALMA DA SILVA"</t>
        </is>
      </c>
      <c r="G2217" s="2" t="inlineStr">
        <is>
          <t>system</t>
        </is>
      </c>
      <c r="H2217" s="2" t="inlineStr">
        <is>
          <t>02.03.02.01 : Cobrança Bancaria</t>
        </is>
      </c>
      <c r="I2217" s="2" t="n"/>
      <c r="J2217" s="3" t="n">
        <v>-1.08</v>
      </c>
      <c r="K2217" s="2">
        <f>IF(H2217="02.09 : Outras Saídas", IF(OR(ISNUMBER(SEARCH("CHEQUE COMPE SICREDI", F2217)), ISNUMBER(SEARCH("aniversario", F2217)), ISNUMBER(SEARCH("churrasco", F2217)), ISNUMBER(SEARCH("bolo", F2217)), ISNUMBER(SEARCH("SUPERMERCADO", F2217))), "6.1 Despesas Administrativas (Pessoal)", IF(OR(ISNUMBER(SEARCH("DLKNET", F2217)), ISNUMBER(SEARCH("TESTE", F2217))), "6.1 Despesas Administrativas (Gerais)", IFERROR(VLOOKUP(H2217, De_Para!A:B, 2, FALSE), "NÃO MAPEADO"))), IFERROR(VLOOKUP(H2217, De_Para!A:B, 2, FALSE), "NÃO MAPEADO"))</f>
        <v/>
      </c>
    </row>
    <row r="2218">
      <c r="A2218" s="2" t="inlineStr">
        <is>
          <t>67468</t>
        </is>
      </c>
      <c r="B2218" s="2" t="inlineStr">
        <is>
          <t>Sicredi SNI</t>
        </is>
      </c>
      <c r="C2218" s="2" t="inlineStr">
        <is>
          <t>01/06/2026</t>
        </is>
      </c>
      <c r="D2218" s="2" t="inlineStr">
        <is>
          <t>01/06/2026</t>
        </is>
      </c>
      <c r="E2218" s="2" t="inlineStr">
        <is>
          <t>Dinheiro</t>
        </is>
      </c>
      <c r="F2218" s="2" t="inlineStr">
        <is>
          <t>Boleto "54190" do cliente "JOSE DJALMA DA SILVA"</t>
        </is>
      </c>
      <c r="G2218" s="2" t="inlineStr">
        <is>
          <t>system</t>
        </is>
      </c>
      <c r="H2218" s="2" t="inlineStr">
        <is>
          <t>01.01.01 : Mensalidade</t>
        </is>
      </c>
      <c r="I2218" s="3" t="n">
        <v>102.36</v>
      </c>
      <c r="J2218" s="2" t="n"/>
      <c r="K2218" s="2">
        <f>IF(H2218="02.09 : Outras Saídas", IF(OR(ISNUMBER(SEARCH("CHEQUE COMPE SICREDI", F2218)), ISNUMBER(SEARCH("aniversario", F2218)), ISNUMBER(SEARCH("churrasco", F2218)), ISNUMBER(SEARCH("bolo", F2218)), ISNUMBER(SEARCH("SUPERMERCADO", F2218))), "6.1 Despesas Administrativas (Pessoal)", IF(OR(ISNUMBER(SEARCH("DLKNET", F2218)), ISNUMBER(SEARCH("TESTE", F2218))), "6.1 Despesas Administrativas (Gerais)", IFERROR(VLOOKUP(H2218, De_Para!A:B, 2, FALSE), "NÃO MAPEADO"))), IFERROR(VLOOKUP(H2218, De_Para!A:B, 2, FALSE), "NÃO MAPEADO"))</f>
        <v/>
      </c>
    </row>
    <row r="2219">
      <c r="A2219" s="2" t="inlineStr">
        <is>
          <t>67467</t>
        </is>
      </c>
      <c r="B2219" s="2" t="inlineStr">
        <is>
          <t>Sicredi SNI</t>
        </is>
      </c>
      <c r="C2219" s="2" t="inlineStr">
        <is>
          <t>01/06/2026</t>
        </is>
      </c>
      <c r="D2219" s="2" t="inlineStr">
        <is>
          <t>01/06/2026</t>
        </is>
      </c>
      <c r="E2219" s="2" t="inlineStr">
        <is>
          <t>PIX</t>
        </is>
      </c>
      <c r="F2219" s="2" t="inlineStr">
        <is>
          <t>Boleto "60120" do cliente "LUIZ CARLOS DA SILVA"</t>
        </is>
      </c>
      <c r="G2219" s="2" t="inlineStr">
        <is>
          <t>system</t>
        </is>
      </c>
      <c r="H2219" s="2" t="inlineStr">
        <is>
          <t>02.03.02.01 : Cobrança Bancaria</t>
        </is>
      </c>
      <c r="I2219" s="2" t="n"/>
      <c r="J2219" s="3" t="n">
        <v>-0.49</v>
      </c>
      <c r="K2219" s="2">
        <f>IF(H2219="02.09 : Outras Saídas", IF(OR(ISNUMBER(SEARCH("CHEQUE COMPE SICREDI", F2219)), ISNUMBER(SEARCH("aniversario", F2219)), ISNUMBER(SEARCH("churrasco", F2219)), ISNUMBER(SEARCH("bolo", F2219)), ISNUMBER(SEARCH("SUPERMERCADO", F2219))), "6.1 Despesas Administrativas (Pessoal)", IF(OR(ISNUMBER(SEARCH("DLKNET", F2219)), ISNUMBER(SEARCH("TESTE", F2219))), "6.1 Despesas Administrativas (Gerais)", IFERROR(VLOOKUP(H2219, De_Para!A:B, 2, FALSE), "NÃO MAPEADO"))), IFERROR(VLOOKUP(H2219, De_Para!A:B, 2, FALSE), "NÃO MAPEADO"))</f>
        <v/>
      </c>
    </row>
    <row r="2220">
      <c r="A2220" s="2" t="inlineStr">
        <is>
          <t>67466</t>
        </is>
      </c>
      <c r="B2220" s="2" t="inlineStr">
        <is>
          <t>Sicredi SNI</t>
        </is>
      </c>
      <c r="C2220" s="2" t="inlineStr">
        <is>
          <t>01/06/2026</t>
        </is>
      </c>
      <c r="D2220" s="2" t="inlineStr">
        <is>
          <t>01/06/2026</t>
        </is>
      </c>
      <c r="E2220" s="2" t="inlineStr">
        <is>
          <t>PIX</t>
        </is>
      </c>
      <c r="F2220" s="2" t="inlineStr">
        <is>
          <t>Boleto "60120" do cliente "LUIZ CARLOS DA SILVA"</t>
        </is>
      </c>
      <c r="G2220" s="2" t="inlineStr">
        <is>
          <t>system</t>
        </is>
      </c>
      <c r="H2220" s="2" t="inlineStr">
        <is>
          <t>01.01.01 : Mensalidade</t>
        </is>
      </c>
      <c r="I2220" s="3" t="n">
        <v>105</v>
      </c>
      <c r="J2220" s="2" t="n"/>
      <c r="K2220" s="2">
        <f>IF(H2220="02.09 : Outras Saídas", IF(OR(ISNUMBER(SEARCH("CHEQUE COMPE SICREDI", F2220)), ISNUMBER(SEARCH("aniversario", F2220)), ISNUMBER(SEARCH("churrasco", F2220)), ISNUMBER(SEARCH("bolo", F2220)), ISNUMBER(SEARCH("SUPERMERCADO", F2220))), "6.1 Despesas Administrativas (Pessoal)", IF(OR(ISNUMBER(SEARCH("DLKNET", F2220)), ISNUMBER(SEARCH("TESTE", F2220))), "6.1 Despesas Administrativas (Gerais)", IFERROR(VLOOKUP(H2220, De_Para!A:B, 2, FALSE), "NÃO MAPEADO"))), IFERROR(VLOOKUP(H2220, De_Para!A:B, 2, FALSE), "NÃO MAPEADO"))</f>
        <v/>
      </c>
    </row>
    <row r="2221">
      <c r="A2221" s="2" t="inlineStr">
        <is>
          <t>69364</t>
        </is>
      </c>
      <c r="B2221" s="2" t="inlineStr">
        <is>
          <t>Sicredi SNI</t>
        </is>
      </c>
      <c r="C2221" s="2" t="inlineStr">
        <is>
          <t>01/06/2026</t>
        </is>
      </c>
      <c r="D2221" s="2" t="inlineStr">
        <is>
          <t>01/06/2026</t>
        </is>
      </c>
      <c r="E2221" s="2" t="inlineStr">
        <is>
          <t>Débito em Conta</t>
        </is>
      </c>
      <c r="F2221" s="2" t="inlineStr">
        <is>
          <t>PAGTO JUROS CONTR ROTATIV-B60930795</t>
        </is>
      </c>
      <c r="G2221" s="2" t="inlineStr">
        <is>
          <t>edisoncarlos</t>
        </is>
      </c>
      <c r="H2221" s="2" t="inlineStr">
        <is>
          <t>02.03.02.01 : Cobrança Bancaria</t>
        </is>
      </c>
      <c r="I2221" s="2" t="n"/>
      <c r="J2221" s="3" t="n">
        <v>-740.96</v>
      </c>
      <c r="K2221" s="2">
        <f>IF(H2221="02.09 : Outras Saídas", IF(OR(ISNUMBER(SEARCH("CHEQUE COMPE SICREDI", F2221)), ISNUMBER(SEARCH("aniversario", F2221)), ISNUMBER(SEARCH("churrasco", F2221)), ISNUMBER(SEARCH("bolo", F2221)), ISNUMBER(SEARCH("SUPERMERCADO", F2221))), "6.1 Despesas Administrativas (Pessoal)", IF(OR(ISNUMBER(SEARCH("DLKNET", F2221)), ISNUMBER(SEARCH("TESTE", F2221))), "6.1 Despesas Administrativas (Gerais)", IFERROR(VLOOKUP(H2221, De_Para!A:B, 2, FALSE), "NÃO MAPEADO"))), IFERROR(VLOOKUP(H2221, De_Para!A:B, 2, FALSE), "NÃO MAPEADO"))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Plano de Contas ERP</t>
        </is>
      </c>
      <c r="B1" s="1" t="inlineStr">
        <is>
          <t>Categoria DRE</t>
        </is>
      </c>
    </row>
    <row r="2">
      <c r="A2" s="2" t="inlineStr">
        <is>
          <t>01.01.01 : Mensalidade</t>
        </is>
      </c>
      <c r="B2" s="2" t="inlineStr">
        <is>
          <t>1.2 Receita de Internet (SVA)</t>
        </is>
      </c>
    </row>
    <row r="3">
      <c r="A3" s="2" t="inlineStr">
        <is>
          <t>01.01.02 : Adesão</t>
        </is>
      </c>
      <c r="B3" s="2" t="inlineStr">
        <is>
          <t>1.3 Taxas de Instalação e Adesão</t>
        </is>
      </c>
    </row>
    <row r="4">
      <c r="A4" s="2" t="inlineStr">
        <is>
          <t>01.01.03.03 : VALE ALIMENTAÇÃO</t>
        </is>
      </c>
      <c r="B4" s="2" t="inlineStr">
        <is>
          <t>6.1 Despesas Administrativas (Pessoal)</t>
        </is>
      </c>
    </row>
    <row r="5">
      <c r="A5" s="2" t="inlineStr">
        <is>
          <t>01.03.01 : Mensalidade</t>
        </is>
      </c>
      <c r="B5" s="2" t="inlineStr">
        <is>
          <t>1.2 Receita de Internet (SVA)</t>
        </is>
      </c>
    </row>
    <row r="6">
      <c r="A6" s="2" t="inlineStr">
        <is>
          <t>01.03.02 : Adesão</t>
        </is>
      </c>
      <c r="B6" s="2" t="inlineStr">
        <is>
          <t>1.3 Taxas de Instalação e Adesão</t>
        </is>
      </c>
    </row>
    <row r="7">
      <c r="A7" s="2" t="inlineStr">
        <is>
          <t>01.05.02 : Adesão</t>
        </is>
      </c>
      <c r="B7" s="2" t="inlineStr">
        <is>
          <t>1.3 Taxas de Instalação e Adesão</t>
        </is>
      </c>
    </row>
    <row r="8">
      <c r="A8" s="2" t="inlineStr">
        <is>
          <t>01.50.02 : Equipamentos</t>
        </is>
      </c>
      <c r="B8" s="2" t="inlineStr">
        <is>
          <t>1.4 Outras Receitas (Equipamentos)</t>
        </is>
      </c>
    </row>
    <row r="9">
      <c r="A9" s="2" t="inlineStr">
        <is>
          <t>01.60.01 : Serviço de reparo e manutenção</t>
        </is>
      </c>
      <c r="B9" s="2" t="inlineStr">
        <is>
          <t>1.4 Outras Receitas (Serviços Avulsos)</t>
        </is>
      </c>
    </row>
    <row r="10">
      <c r="A10" s="2" t="inlineStr">
        <is>
          <t>01.90 : Outras Entradas</t>
        </is>
      </c>
      <c r="B10" s="2" t="inlineStr">
        <is>
          <t>1.4 Outras Receitas (Diversas)</t>
        </is>
      </c>
    </row>
    <row r="11">
      <c r="A11" s="2" t="inlineStr">
        <is>
          <t>02,07 : DÉB.EMPRÉSTIMO</t>
        </is>
      </c>
      <c r="B11" s="2" t="inlineStr">
        <is>
          <t>8.1 Amortização de Empréstimos e Financiamentos</t>
        </is>
      </c>
    </row>
    <row r="12">
      <c r="A12" s="2" t="inlineStr">
        <is>
          <t>02.01.02.01 : Folha de Pagamento</t>
        </is>
      </c>
      <c r="B12" s="2" t="inlineStr">
        <is>
          <t>6.1 Despesas Administrativas (Pessoal)</t>
        </is>
      </c>
    </row>
    <row r="13">
      <c r="A13" s="2" t="inlineStr">
        <is>
          <t>02.01.02.05 : Consultoria Técnica</t>
        </is>
      </c>
      <c r="B13" s="2" t="inlineStr">
        <is>
          <t>4.5 Manutenção de Rede / Licenças Técnicas</t>
        </is>
      </c>
    </row>
    <row r="14">
      <c r="A14" s="2" t="inlineStr">
        <is>
          <t>02.01.02.07 : Plano de Saúde</t>
        </is>
      </c>
      <c r="B14" s="2" t="inlineStr">
        <is>
          <t>6.1 Despesas Administrativas (Pessoal)</t>
        </is>
      </c>
    </row>
    <row r="15">
      <c r="A15" s="2" t="inlineStr">
        <is>
          <t>02.01.03.01 : Reposição de Ferramentas</t>
        </is>
      </c>
      <c r="B15" s="2" t="inlineStr">
        <is>
          <t>4.5 Manutenção de Rede / Licenças Técnicas</t>
        </is>
      </c>
    </row>
    <row r="16">
      <c r="A16" s="2" t="inlineStr">
        <is>
          <t>02.01.04.01 : Combustivel</t>
        </is>
      </c>
      <c r="B16" s="2" t="inlineStr">
        <is>
          <t>4.5 Manutenção de Rede / Licenças Técnicas</t>
        </is>
      </c>
    </row>
    <row r="17">
      <c r="A17" s="2" t="inlineStr">
        <is>
          <t>02.01.05 : Custo c/ Loc das Torres</t>
        </is>
      </c>
      <c r="B17" s="2" t="inlineStr">
        <is>
          <t>4.2 Postes e Aluguel de Infraestrutura</t>
        </is>
      </c>
    </row>
    <row r="18">
      <c r="A18" s="2" t="inlineStr">
        <is>
          <t>02.02.03.04 : FATURA CARTAO CREDITO</t>
        </is>
      </c>
      <c r="B18" s="2" t="inlineStr">
        <is>
          <t>6.1 Despesas Administrativas (Gerais)</t>
        </is>
      </c>
    </row>
    <row r="19">
      <c r="A19" s="2" t="inlineStr">
        <is>
          <t>02.02.05 : DARF</t>
        </is>
      </c>
      <c r="B19" s="2" t="inlineStr">
        <is>
          <t>2.1 Tributos sobre Serviços (DARF)</t>
        </is>
      </c>
    </row>
    <row r="20">
      <c r="A20" s="2" t="inlineStr">
        <is>
          <t>02.02.11 : APLICAÇÃO FINANCEIRA</t>
        </is>
      </c>
      <c r="B20" s="2" t="inlineStr">
        <is>
          <t>EXCLUÍDO DA DRE</t>
        </is>
      </c>
    </row>
    <row r="21">
      <c r="A21" s="2" t="inlineStr">
        <is>
          <t>02.03.02.01 : Cobrança Bancaria</t>
        </is>
      </c>
      <c r="B21" s="2" t="inlineStr">
        <is>
          <t>6.3 Despesas Financeiras (Taxas Boleto)</t>
        </is>
      </c>
    </row>
    <row r="22">
      <c r="A22" s="2" t="inlineStr">
        <is>
          <t>02.03.02.04 : Energia Eletrica</t>
        </is>
      </c>
      <c r="B22" s="2" t="inlineStr">
        <is>
          <t>6.1 Despesas Administrativas (Infra)</t>
        </is>
      </c>
    </row>
    <row r="23">
      <c r="A23" s="2" t="inlineStr">
        <is>
          <t>02.03.02.06 : Aluguel</t>
        </is>
      </c>
      <c r="B23" s="2" t="inlineStr">
        <is>
          <t>6.1 Despesas Administrativas (Infra)</t>
        </is>
      </c>
    </row>
    <row r="24">
      <c r="A24" s="2" t="inlineStr">
        <is>
          <t>02.03.02.07 : Pro-Labore</t>
        </is>
      </c>
      <c r="B24" s="2" t="inlineStr">
        <is>
          <t>6.1 Despesas Administrativas (Pessoal)</t>
        </is>
      </c>
    </row>
    <row r="25">
      <c r="A25" s="2" t="inlineStr">
        <is>
          <t>02.03.02.10 : Contabilidade</t>
        </is>
      </c>
      <c r="B25" s="2" t="inlineStr">
        <is>
          <t>6.1 Despesas Administrativas (Infra)</t>
        </is>
      </c>
    </row>
    <row r="26">
      <c r="A26" s="2" t="inlineStr">
        <is>
          <t>02.03.02.15 : Fardamento</t>
        </is>
      </c>
      <c r="B26" s="2" t="inlineStr">
        <is>
          <t>4.5 Manutenção de Rede / Licenças Técnicas</t>
        </is>
      </c>
    </row>
    <row r="27">
      <c r="A27" s="2" t="inlineStr">
        <is>
          <t>02.03.02.21 : Mat de Limpeza</t>
        </is>
      </c>
      <c r="B27" s="2" t="inlineStr">
        <is>
          <t>6.1 Despesas Administrativas (Infra)</t>
        </is>
      </c>
    </row>
    <row r="28">
      <c r="A28" s="2" t="inlineStr">
        <is>
          <t>02.03.02.24 : Custo do Link</t>
        </is>
      </c>
      <c r="B28" s="2" t="inlineStr">
        <is>
          <t>4.1 Links Dedicados / Trânsito IP</t>
        </is>
      </c>
    </row>
    <row r="29">
      <c r="A29" s="2" t="inlineStr">
        <is>
          <t>02.03.02.25 : Acessoria</t>
        </is>
      </c>
      <c r="B29" s="2" t="inlineStr">
        <is>
          <t>6.1 Despesas Administrativas (Infra)</t>
        </is>
      </c>
    </row>
    <row r="30">
      <c r="A30" s="2" t="inlineStr">
        <is>
          <t>02.03.02.26 : Diarista</t>
        </is>
      </c>
      <c r="B30" s="2" t="inlineStr">
        <is>
          <t>6.1 Despesas Administrativas (Infra)</t>
        </is>
      </c>
    </row>
    <row r="31">
      <c r="A31" s="2" t="inlineStr">
        <is>
          <t>02.03.02.27 : Água/esgoto</t>
        </is>
      </c>
      <c r="B31" s="2" t="inlineStr">
        <is>
          <t>6.1 Despesas Administrativas (Infra)</t>
        </is>
      </c>
    </row>
    <row r="32">
      <c r="A32" s="2" t="inlineStr">
        <is>
          <t>02.03.03.01 : Tarifas Bancarias</t>
        </is>
      </c>
      <c r="B32" s="2" t="inlineStr">
        <is>
          <t>6.3 Despesas Financeiras (Gerais)</t>
        </is>
      </c>
    </row>
    <row r="33">
      <c r="A33" s="2" t="inlineStr">
        <is>
          <t>02.03.03.05 : PAGTO JUROS CONTR ROTATIVO</t>
        </is>
      </c>
      <c r="B33" s="2" t="inlineStr">
        <is>
          <t>6.3 Despesas Financeiras (Encargos)</t>
        </is>
      </c>
    </row>
    <row r="34">
      <c r="A34" s="2" t="inlineStr">
        <is>
          <t>02.03.03.06 : MANUTENCAO DE TITULOS</t>
        </is>
      </c>
      <c r="B34" s="2" t="inlineStr">
        <is>
          <t>6.3 Despesas Financeiras (Encargos)</t>
        </is>
      </c>
    </row>
    <row r="35">
      <c r="A35" s="2" t="inlineStr">
        <is>
          <t>02.03.03.07 : IOF BASICO CH PJ</t>
        </is>
      </c>
      <c r="B35" s="2" t="inlineStr">
        <is>
          <t>6.3 Despesas Financeiras (Encargos)</t>
        </is>
      </c>
    </row>
    <row r="36">
      <c r="A36" s="2" t="inlineStr">
        <is>
          <t>02.03.03.08 : IOF ADICIONAL PJ-CH. ESPE</t>
        </is>
      </c>
      <c r="B36" s="2" t="inlineStr">
        <is>
          <t>6.3 Despesas Financeiras (Encargos)</t>
        </is>
      </c>
    </row>
    <row r="37">
      <c r="A37" s="2" t="inlineStr">
        <is>
          <t>02.03.03.09 : TARIFA COM R LIQUIDACAO</t>
        </is>
      </c>
      <c r="B37" s="2" t="inlineStr">
        <is>
          <t>6.3 Despesas Financeiras (Encargos)</t>
        </is>
      </c>
    </row>
    <row r="38">
      <c r="A38" s="2" t="inlineStr">
        <is>
          <t>02.03.03.10 : JUROS UTILIZ.CH.ESPECIAL</t>
        </is>
      </c>
      <c r="B38" s="2" t="inlineStr">
        <is>
          <t>6.3 Despesas Financeiras (Encargos)</t>
        </is>
      </c>
    </row>
    <row r="39">
      <c r="A39" s="2" t="inlineStr">
        <is>
          <t>02.03.03.11 : JUROS CONTA GARANTIDA</t>
        </is>
      </c>
      <c r="B39" s="2" t="inlineStr">
        <is>
          <t>6.3 Despesas Financeiras (Encargos)</t>
        </is>
      </c>
    </row>
    <row r="40">
      <c r="A40" s="2" t="inlineStr">
        <is>
          <t>02.03.04.05 : FINANCIAMENTO VEICULO</t>
        </is>
      </c>
      <c r="B40" s="2" t="inlineStr">
        <is>
          <t>8.1 Amortização de Empréstimos e Financiamentos</t>
        </is>
      </c>
    </row>
    <row r="41">
      <c r="A41" s="2" t="inlineStr">
        <is>
          <t>02.03.04.07 : ALUGUEL POSTE</t>
        </is>
      </c>
      <c r="B41" s="2" t="inlineStr">
        <is>
          <t>4.2 Postes e Aluguel de Infraestrutura</t>
        </is>
      </c>
    </row>
    <row r="42">
      <c r="A42" s="2" t="inlineStr">
        <is>
          <t>02.09 : Outras Saídas</t>
        </is>
      </c>
      <c r="B42" s="2" t="inlineStr">
        <is>
          <t>6.4 Outras Despesas Operacionais</t>
        </is>
      </c>
    </row>
    <row r="43">
      <c r="A43" s="2" t="inlineStr">
        <is>
          <t>02.10.01 : SEGURO CARRO</t>
        </is>
      </c>
      <c r="B43" s="2" t="inlineStr">
        <is>
          <t>4.5 Manutenção de Rede / Licenças Técnicas</t>
        </is>
      </c>
    </row>
    <row r="44">
      <c r="A44" s="2" t="inlineStr">
        <is>
          <t>02.10.02 : SEGURO</t>
        </is>
      </c>
      <c r="B44" s="2" t="inlineStr">
        <is>
          <t>6.1 Despesas Administrativas (Infra)</t>
        </is>
      </c>
    </row>
    <row r="45">
      <c r="A45" s="2" t="inlineStr">
        <is>
          <t>02.12 : CASHBACKS</t>
        </is>
      </c>
      <c r="B45" s="2" t="inlineStr">
        <is>
          <t>1.4 Outras Receitas (Diversas)</t>
        </is>
      </c>
    </row>
    <row r="46">
      <c r="A46" s="2" t="inlineStr">
        <is>
          <t>03.02 : TRANSFERENCIA ENTRE CONTAS</t>
        </is>
      </c>
      <c r="B46" s="2" t="inlineStr">
        <is>
          <t>EXCLUÍDO DA DRE</t>
        </is>
      </c>
    </row>
    <row r="47">
      <c r="A47" s="2" t="inlineStr">
        <is>
          <t>DÉB.IOF : 02.03.09</t>
        </is>
      </c>
      <c r="B47" s="2" t="inlineStr">
        <is>
          <t>6.3 Despesas Financeiras (Encargos)</t>
        </is>
      </c>
    </row>
    <row r="48">
      <c r="A48" s="2" t="inlineStr">
        <is>
          <t>TRANSF.ENTRE CONTAS : 02.12</t>
        </is>
      </c>
      <c r="B48" s="2" t="inlineStr">
        <is>
          <t>EXCLUÍDO DA DRE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</cols>
  <sheetData>
    <row r="1" ht="35" customHeight="1">
      <c r="A1" s="4" t="inlineStr">
        <is>
          <t>DEMONSTRATIVO DE RESULTADOS DO EXERCÍCIO - DRE</t>
        </is>
      </c>
    </row>
    <row r="2" ht="20" customHeight="1">
      <c r="A2" s="5" t="inlineStr">
        <is>
          <t>Provedor de Internet (ISP) - Relatório Gerencial Dinâmico</t>
        </is>
      </c>
    </row>
    <row r="4" ht="25" customHeight="1">
      <c r="A4" s="6" t="inlineStr">
        <is>
          <t>Estrutura do Plano de Contas</t>
        </is>
      </c>
      <c r="B4" s="7" t="inlineStr">
        <is>
          <t>Valor (R$)</t>
        </is>
      </c>
      <c r="C4" s="7" t="inlineStr">
        <is>
          <t>% Rec. Bruta</t>
        </is>
      </c>
    </row>
    <row r="5">
      <c r="A5" s="8" t="inlineStr">
        <is>
          <t>1. RECEITA OPERACIONAL BRUTA</t>
        </is>
      </c>
      <c r="B5" s="9">
        <f>SUM(B6:B10)</f>
        <v/>
      </c>
      <c r="C5" s="10" t="n"/>
    </row>
    <row r="6">
      <c r="A6" s="11" t="inlineStr">
        <is>
          <t xml:space="preserve">  1.2 Receita de Internet (SVA)</t>
        </is>
      </c>
      <c r="B6" s="12">
        <f>SUMIFS(Lançamentos!I:I, Lançamentos!K:K, "1.2 Receita de Internet (SVA)")</f>
        <v/>
      </c>
      <c r="C6" s="13">
        <f>B6/$B$11</f>
        <v/>
      </c>
    </row>
    <row r="7">
      <c r="A7" s="11" t="inlineStr">
        <is>
          <t xml:space="preserve">  1.3 Taxas de Instalação e Adesão</t>
        </is>
      </c>
      <c r="B7" s="12">
        <f>SUMIFS(Lançamentos!I:I, Lançamentos!K:K, "1.3 Taxas de Instalação e Adesão")</f>
        <v/>
      </c>
      <c r="C7" s="13">
        <f>B7/$B$11</f>
        <v/>
      </c>
    </row>
    <row r="8">
      <c r="A8" s="11" t="inlineStr">
        <is>
          <t xml:space="preserve">  1.4 Outras Receitas (Equipamentos)</t>
        </is>
      </c>
      <c r="B8" s="12">
        <f>SUMIFS(Lançamentos!I:I, Lançamentos!K:K, "1.4 Outras Receitas (Equipamentos)")</f>
        <v/>
      </c>
      <c r="C8" s="13">
        <f>B8/$B$11</f>
        <v/>
      </c>
    </row>
    <row r="9">
      <c r="A9" s="11" t="inlineStr">
        <is>
          <t xml:space="preserve">  1.4 Outras Receitas (Serviços Avulsos)</t>
        </is>
      </c>
      <c r="B9" s="12">
        <f>SUMIFS(Lançamentos!I:I, Lançamentos!K:K, "1.4 Outras Receitas (Serviços Avulsos)")</f>
        <v/>
      </c>
      <c r="C9" s="13">
        <f>B9/$B$11</f>
        <v/>
      </c>
    </row>
    <row r="10">
      <c r="A10" s="11" t="inlineStr">
        <is>
          <t xml:space="preserve">  1.4 Outras Receitas (Diversas)</t>
        </is>
      </c>
      <c r="B10" s="12">
        <f>SUMIFS(Lançamentos!I:I, Lançamentos!K:K, "1.4 Outras Receitas (Diversas)")</f>
        <v/>
      </c>
      <c r="C10" s="13">
        <f>B10/$B$11</f>
        <v/>
      </c>
    </row>
    <row r="11">
      <c r="A11" s="14" t="inlineStr">
        <is>
          <t xml:space="preserve">  (=) Total Receita Bruta</t>
        </is>
      </c>
      <c r="B11" s="15">
        <f>SUM(B6:B10)</f>
        <v/>
      </c>
      <c r="C11" s="16">
        <f>B11/$B$11</f>
        <v/>
      </c>
    </row>
    <row r="12">
      <c r="A12" s="8" t="inlineStr">
        <is>
          <t>2. (-) DEDUÇÕES E TRIBUTOS</t>
        </is>
      </c>
      <c r="B12" s="9">
        <f>B14</f>
        <v/>
      </c>
      <c r="C12" s="10" t="n"/>
    </row>
    <row r="13">
      <c r="A13" s="11" t="inlineStr">
        <is>
          <t xml:space="preserve">  2.1 Tributos sobre Serviços (DARF)</t>
        </is>
      </c>
      <c r="B13" s="12">
        <f>-SUMIFS(Lançamentos!J:J, Lançamentos!K:K, "2.1 Tributos sobre Serviços (DARF)")</f>
        <v/>
      </c>
      <c r="C13" s="13">
        <f>B13/$B$11</f>
        <v/>
      </c>
    </row>
    <row r="14">
      <c r="A14" s="14" t="inlineStr">
        <is>
          <t xml:space="preserve">  (=) Total Deduções</t>
        </is>
      </c>
      <c r="B14" s="15">
        <f>B13</f>
        <v/>
      </c>
      <c r="C14" s="16">
        <f>B14/$B$11</f>
        <v/>
      </c>
    </row>
    <row r="15">
      <c r="A15" s="17" t="inlineStr">
        <is>
          <t>3. (=) RECEITA OPERACIONAL LÍQUIDA (ROL)</t>
        </is>
      </c>
      <c r="B15" s="18">
        <f>B11-B14</f>
        <v/>
      </c>
      <c r="C15" s="19">
        <f>B15/$B$11</f>
        <v/>
      </c>
    </row>
    <row r="16">
      <c r="A16" s="8" t="inlineStr">
        <is>
          <t>4. (-) CUSTOS DOS SERVIÇOS PRESTADOS (CSP)</t>
        </is>
      </c>
      <c r="B16" s="9">
        <f>B20</f>
        <v/>
      </c>
      <c r="C16" s="10" t="n"/>
    </row>
    <row r="17">
      <c r="A17" s="11" t="inlineStr">
        <is>
          <t xml:space="preserve">  4.1 Links Dedicados / Trânsito IP</t>
        </is>
      </c>
      <c r="B17" s="12">
        <f>-SUMIFS(Lançamentos!J:J, Lançamentos!K:K, "4.1 Links Dedicados / Trânsito IP")</f>
        <v/>
      </c>
      <c r="C17" s="13">
        <f>B17/$B$11</f>
        <v/>
      </c>
    </row>
    <row r="18">
      <c r="A18" s="11" t="inlineStr">
        <is>
          <t xml:space="preserve">  4.2 Postes e Aluguel de Infraestrutura</t>
        </is>
      </c>
      <c r="B18" s="12">
        <f>-SUMIFS(Lançamentos!J:J, Lançamentos!K:K, "4.2 Postes e Aluguel de Infraestrutura")</f>
        <v/>
      </c>
      <c r="C18" s="13">
        <f>B18/$B$11</f>
        <v/>
      </c>
    </row>
    <row r="19">
      <c r="A19" s="11" t="inlineStr">
        <is>
          <t xml:space="preserve">  4.5 Manutenção de Rede / Licenças Técnicas</t>
        </is>
      </c>
      <c r="B19" s="12">
        <f>-SUMIFS(Lançamentos!J:J, Lançamentos!K:K, "4.5 Manutenção de Rede / Licenças Técnicas")</f>
        <v/>
      </c>
      <c r="C19" s="13">
        <f>B19/$B$11</f>
        <v/>
      </c>
    </row>
    <row r="20">
      <c r="A20" s="14" t="inlineStr">
        <is>
          <t xml:space="preserve">  (=) Total Custos (CSP)</t>
        </is>
      </c>
      <c r="B20" s="15">
        <f>SUM(B17:B19)</f>
        <v/>
      </c>
      <c r="C20" s="16">
        <f>B20/$B$11</f>
        <v/>
      </c>
    </row>
    <row r="21">
      <c r="A21" s="17" t="inlineStr">
        <is>
          <t>5. (=) MARGEM DE CONTRIBUIÇÃO / LUCRO BRUTO</t>
        </is>
      </c>
      <c r="B21" s="18">
        <f>B15-B20</f>
        <v/>
      </c>
      <c r="C21" s="19">
        <f>B21/$B$11</f>
        <v/>
      </c>
    </row>
    <row r="22">
      <c r="A22" s="8" t="inlineStr">
        <is>
          <t>6. (-) DESPESAS OPERACIONAIS (OPEX)</t>
        </is>
      </c>
      <c r="B22" s="9">
        <f>B30</f>
        <v/>
      </c>
      <c r="C22" s="10" t="n"/>
    </row>
    <row r="23">
      <c r="A23" s="11" t="inlineStr">
        <is>
          <t xml:space="preserve">  6.1 Despesas Administrativas (Pessoal)</t>
        </is>
      </c>
      <c r="B23" s="12">
        <f>-SUMIFS(Lançamentos!J:J, Lançamentos!K:K, "6.1 Despesas Administrativas (Pessoal)")</f>
        <v/>
      </c>
      <c r="C23" s="13">
        <f>B23/$B$11</f>
        <v/>
      </c>
    </row>
    <row r="24">
      <c r="A24" s="11" t="inlineStr">
        <is>
          <t xml:space="preserve">  6.1 Despesas Administrativas (Infra)</t>
        </is>
      </c>
      <c r="B24" s="12">
        <f>-SUMIFS(Lançamentos!J:J, Lançamentos!K:K, "6.1 Despesas Administrativas (Infra)")</f>
        <v/>
      </c>
      <c r="C24" s="13">
        <f>B24/$B$11</f>
        <v/>
      </c>
    </row>
    <row r="25">
      <c r="A25" s="11" t="inlineStr">
        <is>
          <t xml:space="preserve">  6.1 Despesas Administrativas (Gerais)</t>
        </is>
      </c>
      <c r="B25" s="12">
        <f>-SUMIFS(Lançamentos!J:J, Lançamentos!K:K, "6.1 Despesas Administrativas (Gerais)")</f>
        <v/>
      </c>
      <c r="C25" s="13">
        <f>B25/$B$11</f>
        <v/>
      </c>
    </row>
    <row r="26">
      <c r="A26" s="11" t="inlineStr">
        <is>
          <t xml:space="preserve">  6.3 Despesas Financeiras (Taxas Boleto)</t>
        </is>
      </c>
      <c r="B26" s="12">
        <f>-SUMIFS(Lançamentos!J:J, Lançamentos!K:K, "6.3 Despesas Financeiras (Taxas Boleto)")</f>
        <v/>
      </c>
      <c r="C26" s="13">
        <f>B26/$B$11</f>
        <v/>
      </c>
    </row>
    <row r="27">
      <c r="A27" s="11" t="inlineStr">
        <is>
          <t xml:space="preserve">  6.3 Despesas Financeiras (Gerais)</t>
        </is>
      </c>
      <c r="B27" s="12">
        <f>-SUMIFS(Lançamentos!J:J, Lançamentos!K:K, "6.3 Despesas Financeiras (Gerais)")</f>
        <v/>
      </c>
      <c r="C27" s="13">
        <f>B27/$B$11</f>
        <v/>
      </c>
    </row>
    <row r="28">
      <c r="A28" s="11" t="inlineStr">
        <is>
          <t xml:space="preserve">  6.3 Despesas Financeiras (Encargos)</t>
        </is>
      </c>
      <c r="B28" s="12">
        <f>-SUMIFS(Lançamentos!J:J, Lançamentos!K:K, "6.3 Despesas Financeiras (Encargos)")</f>
        <v/>
      </c>
      <c r="C28" s="13">
        <f>B28/$B$11</f>
        <v/>
      </c>
    </row>
    <row r="29">
      <c r="A29" s="11" t="inlineStr">
        <is>
          <t xml:space="preserve">  6.4 Outras Despesas Operacionais</t>
        </is>
      </c>
      <c r="B29" s="12">
        <f>-SUMIFS(Lançamentos!J:J, Lançamentos!K:K, "6.4 Outras Despesas Operacionais")</f>
        <v/>
      </c>
      <c r="C29" s="13">
        <f>B29/$B$11</f>
        <v/>
      </c>
    </row>
    <row r="30">
      <c r="A30" s="14" t="inlineStr">
        <is>
          <t xml:space="preserve">  (=) Total Despesas (OPEX)</t>
        </is>
      </c>
      <c r="B30" s="15">
        <f>SUM(B23:B29)</f>
        <v/>
      </c>
      <c r="C30" s="16">
        <f>B30/$B$11</f>
        <v/>
      </c>
    </row>
    <row r="31">
      <c r="A31" s="17" t="inlineStr">
        <is>
          <t>7. (=) RESULTADO OPERACIONAL (EBITDA)</t>
        </is>
      </c>
      <c r="B31" s="18">
        <f>B21-B30</f>
        <v/>
      </c>
      <c r="C31" s="19">
        <f>B31/$B$11</f>
        <v/>
      </c>
    </row>
    <row r="32">
      <c r="A32" s="8" t="inlineStr">
        <is>
          <t>8. (-) AMORTIZAÇÃO E OUTROS</t>
        </is>
      </c>
      <c r="B32" s="9">
        <f>B34</f>
        <v/>
      </c>
      <c r="C32" s="10" t="n"/>
    </row>
    <row r="33">
      <c r="A33" s="11" t="inlineStr">
        <is>
          <t xml:space="preserve">  8.1 Amortização de Empréstimos e Financiamentos</t>
        </is>
      </c>
      <c r="B33" s="12">
        <f>-SUMIFS(Lançamentos!J:J, Lançamentos!K:K, "8.1 Amortização de Empréstimos e Financiamentos")</f>
        <v/>
      </c>
      <c r="C33" s="13">
        <f>B33/$B$11</f>
        <v/>
      </c>
    </row>
    <row r="34">
      <c r="A34" s="14" t="inlineStr">
        <is>
          <t xml:space="preserve">  (=) Total Amortização</t>
        </is>
      </c>
      <c r="B34" s="15">
        <f>B33</f>
        <v/>
      </c>
      <c r="C34" s="16">
        <f>B34/$B$11</f>
        <v/>
      </c>
    </row>
    <row r="35">
      <c r="A35" s="17" t="inlineStr">
        <is>
          <t>9. (=) RESULTADO LÍQUIDO DO EXERCÍCIO</t>
        </is>
      </c>
      <c r="B35" s="18">
        <f>B31-B34</f>
        <v/>
      </c>
      <c r="C35" s="19">
        <f>B35/$B$11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2026-07-09T01:23:55Z</dcterms:created>
  <dcterms:modified xsi:type="dcterms:W3CDTF">2026-07-09T01:23:56Z</dcterms:modified>
</cp:coreProperties>
</file>